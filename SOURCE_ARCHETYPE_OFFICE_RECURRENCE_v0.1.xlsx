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d1eb5ff12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7623795894e46ad"/>
    <x:sheet xmlns:r="http://schemas.openxmlformats.org/officeDocument/2006/relationships" name="Bridge" sheetId="2" r:id="Rd150de87a9a44475"/>
    <x:sheet xmlns:r="http://schemas.openxmlformats.org/officeDocument/2006/relationships" name="Source Details" sheetId="3" r:id="R72a143cbbb354c6c"/>
    <x:sheet xmlns:r="http://schemas.openxmlformats.org/officeDocument/2006/relationships" name="Signatures" sheetId="4" r:id="Rc1352b225c6149f4"/>
    <x:sheet xmlns:r="http://schemas.openxmlformats.org/officeDocument/2006/relationships" name="Comparisons" sheetId="5" r:id="Ra2c79f61bd7448ea"/>
    <x:sheet xmlns:r="http://schemas.openxmlformats.org/officeDocument/2006/relationships" name="Join Audit" sheetId="6" r:id="R6656c3b2467645cd"/>
    <x:sheet xmlns:r="http://schemas.openxmlformats.org/officeDocument/2006/relationships" name="Issues" sheetId="7" r:id="R16eb6a46ed154a3a"/>
    <x:sheet xmlns:r="http://schemas.openxmlformats.org/officeDocument/2006/relationships" name="Checks" sheetId="8" r:id="Re99a859d32844fe4"/>
    <x:sheet xmlns:r="http://schemas.openxmlformats.org/officeDocument/2006/relationships" name="Sources" sheetId="9" r:id="Rc6d11a8b39df42af"/>
    <x:sheet xmlns:r="http://schemas.openxmlformats.org/officeDocument/2006/relationships" name="Next Tests" sheetId="10" r:id="R70b9e1b9166e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52606D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2F5F8"/>
      </x:patternFill>
    </x:fill>
    <x:fill>
      <x:patternFill patternType="solid">
        <x:fgColor rgb="FF0B6E75"/>
      </x:patternFill>
    </x:fill>
    <x:fill>
      <x:patternFill patternType="solid">
        <x:fgColor rgb="FFEAF4F3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1CC"/>
        </x:patternFill>
      </x:fill>
    </x:dxf>
    <x:dxf>
      <x:fill>
        <x:patternFill patternType="solid">
          <x:bgColor rgb="FFDEF1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aaa6b7dd484893" /><Relationship Type="http://schemas.openxmlformats.org/officeDocument/2006/relationships/theme" Target="/xl/theme/theme1.xml" Id="R6fb207e93d4e43bd" /><Relationship Type="http://schemas.openxmlformats.org/officeDocument/2006/relationships/sharedStrings" Target="/xl/sharedStrings.xml" Id="Rdfce17ddadb14588" /><Relationship Type="http://schemas.openxmlformats.org/officeDocument/2006/relationships/worksheet" Target="/xl/worksheets/sheet1.xml" Id="R77623795894e46ad" /><Relationship Type="http://schemas.openxmlformats.org/officeDocument/2006/relationships/worksheet" Target="/xl/worksheets/sheet2.xml" Id="Rd150de87a9a44475" /><Relationship Type="http://schemas.openxmlformats.org/officeDocument/2006/relationships/worksheet" Target="/xl/worksheets/sheet3.xml" Id="R72a143cbbb354c6c" /><Relationship Type="http://schemas.openxmlformats.org/officeDocument/2006/relationships/worksheet" Target="/xl/worksheets/sheet4.xml" Id="Rc1352b225c6149f4" /><Relationship Type="http://schemas.openxmlformats.org/officeDocument/2006/relationships/worksheet" Target="/xl/worksheets/sheet5.xml" Id="Ra2c79f61bd7448ea" /><Relationship Type="http://schemas.openxmlformats.org/officeDocument/2006/relationships/worksheet" Target="/xl/worksheets/sheet6.xml" Id="R6656c3b2467645cd" /><Relationship Type="http://schemas.openxmlformats.org/officeDocument/2006/relationships/worksheet" Target="/xl/worksheets/sheet7.xml" Id="R16eb6a46ed154a3a" /><Relationship Type="http://schemas.openxmlformats.org/officeDocument/2006/relationships/worksheet" Target="/xl/worksheets/sheet8.xml" Id="Re99a859d32844fe4" /><Relationship Type="http://schemas.openxmlformats.org/officeDocument/2006/relationships/worksheet" Target="/xl/worksheets/sheet9.xml" Id="Rc6d11a8b39df42af" /><Relationship Type="http://schemas.openxmlformats.org/officeDocument/2006/relationships/worksheet" Target="/xl/worksheets/sheet10.xml" Id="R70b9e1b9166e4d39" /></Relationships>
</file>

<file path=xl/tables/table1.xml><?xml version="1.0" encoding="utf-8"?>
<x:table xmlns:x="http://schemas.openxmlformats.org/spreadsheetml/2006/main" id="1" name="BridgeTable" displayName="BridgeTable" ref="A5:H38" headerRowCount="1" totalsRowCount="0" totalsRowShown="0">
  <x:tableColumns count="8">
    <x:tableColumn id="1" name="ID"/>
    <x:tableColumn id="2" name="Object / comparison"/>
    <x:tableColumn id="3" name="Record type"/>
    <x:tableColumn id="4" name="Source-archetype field"/>
    <x:tableColumn id="5" name="Office / function"/>
    <x:tableColumn id="6" name="Relation type"/>
    <x:tableColumn id="7" name="Source status"/>
    <x:tableColumn id="8" name="Source and loc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DetailsTable" displayName="SourceDetailsTable" ref="A5:G38" headerRowCount="1" totalsRowCount="0" totalsRowShown="0">
  <x:tableColumns count="7">
    <x:tableColumn id="1" name="ID"/>
    <x:tableColumn id="2" name="Source quote — excerpt"/>
    <x:tableColumn id="3" name="Representation / lost distinction"/>
    <x:tableColumn id="4" name="Source-declared route — excerpt"/>
    <x:tableColumn id="5" name="Counter-reading / limit — excerpt"/>
    <x:tableColumn id="6" name="Primary lead URL (unverified here)"/>
    <x:tableColumn id="7" name="Full-record loca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gnaturesTable" displayName="SignaturesTable" ref="A5:K14" headerRowCount="1" totalsRowCount="0" totalsRowShown="0">
  <x:tableColumns count="11">
    <x:tableColumn id="1" name="ID"/>
    <x:tableColumn id="2" name="Visible occupant / interface"/>
    <x:tableColumn id="3" name="Route"/>
    <x:tableColumn id="4" name="Authority"/>
    <x:tableColumn id="5" name="Clock"/>
    <x:tableColumn id="6" name="Transform"/>
    <x:tableColumn id="7" name="Bypass"/>
    <x:tableColumn id="8" name="Residual"/>
    <x:tableColumn id="9" name="Execution provenance"/>
    <x:tableColumn id="10" name="Observed clock type"/>
    <x:tableColumn id="11" name="Display clo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risonsTable" displayName="ComparisonsTable" ref="A5:H8" headerRowCount="1" totalsRowCount="0" totalsRowShown="0">
  <x:tableColumns count="8">
    <x:tableColumn id="1" name="Pair"/>
    <x:tableColumn id="2" name="Left"/>
    <x:tableColumn id="3" name="Right"/>
    <x:tableColumn id="4" name="Comparison scope"/>
    <x:tableColumn id="5" name="Known coordinate pairs"/>
    <x:tableColumn id="6" name="Required pairs"/>
    <x:tableColumn id="7" name="Disposition"/>
    <x:tableColumn id="8" name="Missing coordina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JoinAuditTable" displayName="JoinAuditTable" ref="A5:O13" headerRowCount="1" totalsRowCount="0" totalsRowShown="0">
  <x:tableColumns count="15">
    <x:tableColumn id="1" name="Join"/>
    <x:tableColumn id="2" name="Source result"/>
    <x:tableColumn id="3" name="Edge 1"/>
    <x:tableColumn id="4" name="Edge 2"/>
    <x:tableColumn id="5" name="Edge 3"/>
    <x:tableColumn id="6" name="Edge 4"/>
    <x:tableColumn id="7" name="Edge 5"/>
    <x:tableColumn id="8" name="Edge 6"/>
    <x:tableColumn id="9" name="Source debt"/>
    <x:tableColumn id="10" name="Recomputed debt"/>
    <x:tableColumn id="11" name="PARTIAL count"/>
    <x:tableColumn id="12" name="Applicable edges"/>
    <x:tableColumn id="13" name="Edge completeness"/>
    <x:tableColumn id="14" name="Score agreement"/>
    <x:tableColumn id="15" name="Source formul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suesTable" displayName="IssuesTable" ref="A5:E15" headerRowCount="1" totalsRowCount="0" totalsRowShown="0">
  <x:tableColumns count="5">
    <x:tableColumn id="1" name="ID"/>
    <x:tableColumn id="2" name="Type"/>
    <x:tableColumn id="3" name="Finding"/>
    <x:tableColumn id="4" name="Source"/>
    <x:tableColumn id="5" name="Disposi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hecksTable" displayName="ChecksTable" ref="A5:F50" headerRowCount="1" totalsRowCount="0" totalsRowShown="0">
  <x:tableColumns count="6">
    <x:tableColumn id="1" name="ID"/>
    <x:tableColumn id="2" name="Check kind"/>
    <x:tableColumn id="3" name="Check"/>
    <x:tableColumn id="4" name="Actual"/>
    <x:tableColumn id="5" name="Expected"/>
    <x:tableColumn id="6" name="Resul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5:G24" headerRowCount="1" totalsRowCount="0" totalsRowShown="0">
  <x:tableColumns count="7">
    <x:tableColumn id="1" name="ID"/>
    <x:tableColumn id="2" name="Filename"/>
    <x:tableColumn id="3" name="Format"/>
    <x:tableColumn id="4" name="Source family"/>
    <x:tableColumn id="5" name="SHA-256"/>
    <x:tableColumn id="6" name="Source URL / package path"/>
    <x:tableColumn id="7" name="Snapshot observed at (UTC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NextTestsTable" displayName="NextTestsTable" ref="A5:F8" headerRowCount="1" totalsRowCount="0" totalsRowShown="0">
  <x:tableColumns count="6">
    <x:tableColumn id="1" name="ID"/>
    <x:tableColumn id="2" name="Question"/>
    <x:tableColumn id="3" name="Status"/>
    <x:tableColumn id="4" name="Available"/>
    <x:tableColumn id="5" name="Still required"/>
    <x:tableColumn id="6" name="Decision 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f0290140df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ef9091c5ea4a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5d2a0170e144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6e2b41040e40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a90b6411834f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3d340ad3114f6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ffcd37faa343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199d354e0f48a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c59850704ec49c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3" customHeight="1">
      <x:c r="A1" s="4" t="str">
        <x:v>SOURCE • ARCHETYPE • OFFICE • RECURRENCE | v0.1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3">
      <x:c r="A3" s="11" t="str">
        <x:v>Executed 8 September 2026. A source-based bridge and local test harness—not a live platform investigation or a hidden-identity finding.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6" ht="24" customHeight="1">
      <x:c r="A6" s="35" t="str">
        <x:v>BRIDGE RECORDS</x:v>
      </x:c>
      <x:c r="B6" s="35"/>
      <x:c r="C6" s="35" t="str">
        <x:v>SOURCE SNAPSHOTS</x:v>
      </x:c>
      <x:c r="D6" s="35"/>
      <x:c r="E6" s="35" t="str">
        <x:v>LOCAL CHECKS PASSED</x:v>
      </x:c>
      <x:c r="F6" s="35"/>
      <x:c r="G6" s="35" t="str">
        <x:v>LIVE MODEL SESSIONS</x:v>
      </x:c>
      <x:c r="H6" s="35"/>
    </x:row>
    <x:row r="7" ht="24" customHeight="1">
      <x:c r="A7" s="35" t="n">
        <x:f>COUNTA(Bridge!A6:A38)</x:f>
        <x:v>33</x:v>
      </x:c>
      <x:c r="B7" s="35"/>
      <x:c r="C7" s="35" t="n">
        <x:f>COUNTA(Sources!A6:A24)</x:f>
        <x:v>19</x:v>
      </x:c>
      <x:c r="D7" s="35"/>
      <x:c r="E7" s="35" t="n">
        <x:f>COUNTIF(Checks!F6:F50,"PASS")</x:f>
        <x:v>45</x:v>
      </x:c>
      <x:c r="F7" s="35"/>
      <x:c r="G7" s="35" t="n">
        <x:v>0</x:v>
      </x:c>
      <x:c r="H7" s="35"/>
    </x:row>
    <x:row r="8" ht="24" customHeight="1">
      <x:c r="A8" s="35"/>
      <x:c r="B8" s="35"/>
      <x:c r="C8" s="35"/>
      <x:c r="D8" s="35"/>
      <x:c r="E8" s="35"/>
      <x:c r="F8" s="35"/>
      <x:c r="G8" s="35"/>
      <x:c r="H8" s="35"/>
    </x:row>
    <x:row r="10" ht="22" customHeight="1">
      <x:c r="A10" s="42" t="str">
        <x:v>Main result: the bridge is built; the mechanism is unresolved. All three real execution-signature comparisons are NOT_TESTABLE.</x:v>
      </x:c>
      <x:c r="B10" s="42"/>
      <x:c r="C10" s="42"/>
      <x:c r="D10" s="42"/>
      <x:c r="E10" s="42"/>
      <x:c r="F10" s="42"/>
      <x:c r="G10" s="42"/>
      <x:c r="H10" s="42"/>
    </x:row>
    <x:row r="11" ht="22" customHeight="1">
      <x:c r="A11" s="42"/>
      <x:c r="B11" s="42"/>
      <x:c r="C11" s="42"/>
      <x:c r="D11" s="42"/>
      <x:c r="E11" s="42"/>
      <x:c r="F11" s="42"/>
      <x:c r="G11" s="42"/>
      <x:c r="H11" s="42"/>
    </x:row>
    <x:row r="13" ht="22" customHeight="1">
      <x:c r="A13" s="42" t="str">
        <x:v>New source check: J-004 has debt 0 but one PARTIAL link. Use Join Audit to inspect the score and completeness separately.</x:v>
      </x:c>
      <x:c r="B13" s="42"/>
      <x:c r="C13" s="42"/>
      <x:c r="D13" s="42"/>
      <x:c r="E13" s="42"/>
      <x:c r="F13" s="42"/>
      <x:c r="G13" s="42"/>
      <x:c r="H13" s="42"/>
    </x:row>
    <x:row r="14" ht="22" customHeight="1">
      <x:c r="A14" s="42"/>
      <x:c r="B14" s="42"/>
      <x:c r="C14" s="42"/>
      <x:c r="D14" s="42"/>
      <x:c r="E14" s="42"/>
      <x:c r="F14" s="42"/>
      <x:c r="G14" s="42"/>
      <x:c r="H14" s="42"/>
    </x:row>
    <x:row r="16" ht="22" customHeight="1">
      <x:c r="A16" s="42" t="str">
        <x:v>Exact geometry: 5, 53 and 1,034 slips at 39, 507 and 10,000 departures. Same starting bin 0 can lead to bins 14 or 15.</x:v>
      </x:c>
      <x:c r="B16" s="42"/>
      <x:c r="C16" s="42"/>
      <x:c r="D16" s="42"/>
      <x:c r="E16" s="42"/>
      <x:c r="F16" s="42"/>
      <x:c r="G16" s="42"/>
      <x:c r="H16" s="42"/>
    </x:row>
    <x:row r="17" ht="22" customHeight="1">
      <x:c r="A17" s="42"/>
      <x:c r="B17" s="42"/>
      <x:c r="C17" s="42"/>
      <x:c r="D17" s="42"/>
      <x:c r="E17" s="42"/>
      <x:c r="F17" s="42"/>
      <x:c r="G17" s="42"/>
      <x:c r="H17" s="42"/>
    </x:row>
    <x:row r="19" ht="22" customHeight="1">
      <x:c r="A19" s="42" t="str">
        <x:v>Current Reflex v3 removes the compulsory O→R→S overlay. The bridge does not assume that a third office must exist.</x:v>
      </x:c>
      <x:c r="B19" s="42"/>
      <x:c r="C19" s="42"/>
      <x:c r="D19" s="42"/>
      <x:c r="E19" s="42"/>
      <x:c r="F19" s="42"/>
      <x:c r="G19" s="42"/>
      <x:c r="H19" s="42"/>
    </x:row>
    <x:row r="20" ht="22" customHeight="1">
      <x:c r="A20" s="42"/>
      <x:c r="B20" s="42"/>
      <x:c r="C20" s="42"/>
      <x:c r="D20" s="42"/>
      <x:c r="E20" s="42"/>
      <x:c r="F20" s="42"/>
      <x:c r="G20" s="42"/>
      <x:c r="H20" s="42"/>
    </x:row>
    <x:row r="22" ht="22" customHeight="1">
      <x:c r="A22" s="42" t="str">
        <x:v>Read Bridge → Source Details → Comparisons. Checks and Sources provide the audit trail. RUN_REPORT.pdf explains scope and corrections.</x:v>
      </x:c>
      <x:c r="B22" s="42"/>
      <x:c r="C22" s="42"/>
      <x:c r="D22" s="42"/>
      <x:c r="E22" s="42"/>
      <x:c r="F22" s="42"/>
      <x:c r="G22" s="42"/>
      <x:c r="H22" s="42"/>
    </x:row>
    <x:row r="23" ht="22" customHeight="1">
      <x:c r="A23" s="42"/>
      <x:c r="B23" s="42"/>
      <x:c r="C23" s="42"/>
      <x:c r="D23" s="42"/>
      <x:c r="E23" s="42"/>
      <x:c r="F23" s="42"/>
      <x:c r="G23" s="42"/>
      <x:c r="H23" s="42"/>
    </x:row>
    <x:row r="25" ht="22" customHeight="1">
      <x:c r="A25" s="42" t="str">
        <x:v>Replay: python code/run_analysis.py --output my_replay --tamper-self-test. Original Matrix and Black Furnace files are unchanged. No Matrix v0.22 adoption or live-platform experiment is implied.</x:v>
      </x:c>
      <x:c r="B25" s="42"/>
      <x:c r="C25" s="42"/>
      <x:c r="D25" s="42"/>
      <x:c r="E25" s="42"/>
      <x:c r="F25" s="42"/>
      <x:c r="G25" s="42"/>
      <x:c r="H25" s="42"/>
    </x:row>
    <x:row r="26" ht="22" customHeight="1">
      <x:c r="A26" s="42"/>
      <x:c r="B26" s="42"/>
      <x:c r="C26" s="42"/>
      <x:c r="D26" s="42"/>
      <x:c r="E26" s="42"/>
      <x:c r="F26" s="42"/>
      <x:c r="G26" s="42"/>
      <x:c r="H26" s="42"/>
    </x:row>
    <x:row r="27" ht="22" customHeight="1">
      <x:c r="A27" s="42"/>
      <x:c r="B27" s="42"/>
      <x:c r="C27" s="42"/>
      <x:c r="D27" s="42"/>
      <x:c r="E27" s="42"/>
      <x:c r="F27" s="42"/>
      <x:c r="G27" s="42"/>
      <x:c r="H27" s="42"/>
    </x:row>
  </x:sheetData>
  <x:mergeCells>
    <x:mergeCell ref="A1:H2"/>
    <x:mergeCell ref="A3:H4"/>
    <x:mergeCell ref="A6:B6"/>
    <x:mergeCell ref="C6:D6"/>
    <x:mergeCell ref="E6:F6"/>
    <x:mergeCell ref="G6:H6"/>
    <x:mergeCell ref="A7:B8"/>
    <x:mergeCell ref="C7:D8"/>
    <x:mergeCell ref="E7:F8"/>
    <x:mergeCell ref="G7:H8"/>
    <x:mergeCell ref="A10:H11"/>
    <x:mergeCell ref="A13:H14"/>
    <x:mergeCell ref="A16:H17"/>
    <x:mergeCell ref="A19:H20"/>
    <x:mergeCell ref="A22:H23"/>
    <x:mergeCell ref="A25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27" hidden="0" customWidth="1"/>
    <x:col min="4" max="4" width="35" hidden="0" customWidth="1"/>
    <x:col min="5" max="5" width="40" hidden="0" customWidth="1"/>
    <x:col min="6" max="6" width="24" hidden="0" customWidth="1"/>
    <x:col min="7" max="7" width="28" hidden="0" customWidth="1"/>
    <x:col min="8" max="8" width="45" hidden="0" customWidth="1"/>
  </x:cols>
  <x:sheetData>
    <x:row r="1">
      <x:c r="A1" s="17" t="str">
        <x:v>33 source-linked records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1" t="str">
        <x:v>Working source-archetype fields are comparisons, not measured identities. Text here is a view; data/cases.json preserves full source rows and wording.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2" customHeight="1">
      <x:c r="A5" s="22" t="str">
        <x:v>ID</x:v>
      </x:c>
      <x:c r="B5" s="22" t="str">
        <x:v>Object / comparison</x:v>
      </x:c>
      <x:c r="C5" s="22" t="str">
        <x:v>Record type</x:v>
      </x:c>
      <x:c r="D5" s="22" t="str">
        <x:v>Source-archetype field</x:v>
      </x:c>
      <x:c r="E5" s="22" t="str">
        <x:v>Office / function</x:v>
      </x:c>
      <x:c r="F5" s="22" t="str">
        <x:v>Relation type</x:v>
      </x:c>
      <x:c r="G5" s="22" t="str">
        <x:v>Source status</x:v>
      </x:c>
      <x:c r="H5" s="22" t="str">
        <x:v>Source and locator</x:v>
      </x:c>
    </x:row>
    <x:row r="6" ht="78" customHeight="1">
      <x:c r="A6" s="27" t="str">
        <x:v>OL-001</x:v>
      </x:c>
      <x:c r="B6" s="27" t="str">
        <x:v>Zeus</x:v>
      </x:c>
      <x:c r="C6" s="27" t="str">
        <x:v>MYTH_FUNCTION_COMPARISON</x:v>
      </x:c>
      <x:c r="D6" s="27" t="str">
        <x:v>Authority</x:v>
      </x:c>
      <x:c r="E6" s="27" t="str">
        <x:v>Crown / visible command</x:v>
      </x:c>
      <x:c r="F6" s="27" t="str">
        <x:v>COMPARED_WITH</x:v>
      </x:c>
      <x:c r="G6" s="27" t="str">
        <x:v>PRIMARY_ANCHORED</x:v>
      </x:c>
      <x:c r="H6" s="27" t="str">
        <x:v>S09 'Olympus Matrix'!A5:W5</x:v>
      </x:c>
    </x:row>
    <x:row r="7" ht="78" customHeight="1">
      <x:c r="A7" s="27" t="str">
        <x:v>OL-002</x:v>
      </x:c>
      <x:c r="B7" s="27" t="str">
        <x:v>Nomos</x:v>
      </x:c>
      <x:c r="C7" s="27" t="str">
        <x:v>MYTH_FUNCTION_COMPARISON</x:v>
      </x:c>
      <x:c r="D7" s="27" t="str">
        <x:v>Binding</x:v>
      </x:c>
      <x:c r="E7" s="27" t="str">
        <x:v>Binding / lawful order</x:v>
      </x:c>
      <x:c r="F7" s="27" t="str">
        <x:v>COMPARED_WITH</x:v>
      </x:c>
      <x:c r="G7" s="27" t="str">
        <x:v>SOURCE_LEAD</x:v>
      </x:c>
      <x:c r="H7" s="27" t="str">
        <x:v>S09 'Olympus Matrix'!A6:W6</x:v>
      </x:c>
    </x:row>
    <x:row r="8" ht="78" customHeight="1">
      <x:c r="A8" s="27" t="str">
        <x:v>OL-003</x:v>
      </x:c>
      <x:c r="B8" s="27" t="str">
        <x:v>Pheme</x:v>
      </x:c>
      <x:c r="C8" s="27" t="str">
        <x:v>MYTH_FUNCTION_COMPARISON</x:v>
      </x:c>
      <x:c r="D8" s="27" t="str">
        <x:v>Representation</x:v>
      </x:c>
      <x:c r="E8" s="27" t="str">
        <x:v>Mouth / amplifier</x:v>
      </x:c>
      <x:c r="F8" s="27" t="str">
        <x:v>COMPARED_WITH</x:v>
      </x:c>
      <x:c r="G8" s="27" t="str">
        <x:v>PRIMARY_ANCHORED</x:v>
      </x:c>
      <x:c r="H8" s="27" t="str">
        <x:v>S09 'Olympus Matrix'!A7:W7</x:v>
      </x:c>
    </x:row>
    <x:row r="9" ht="78" customHeight="1">
      <x:c r="A9" s="27" t="str">
        <x:v>OL-004</x:v>
      </x:c>
      <x:c r="B9" s="27" t="str">
        <x:v>Ares</x:v>
      </x:c>
      <x:c r="C9" s="27" t="str">
        <x:v>MYTH_FUNCTION_COMPARISON</x:v>
      </x:c>
      <x:c r="D9" s="27" t="str">
        <x:v>Enforcement</x:v>
      </x:c>
      <x:c r="E9" s="27" t="str">
        <x:v>Enforcer / coercive force</x:v>
      </x:c>
      <x:c r="F9" s="27" t="str">
        <x:v>COMPARED_WITH</x:v>
      </x:c>
      <x:c r="G9" s="27" t="str">
        <x:v>PRIMARY_ANCHORED</x:v>
      </x:c>
      <x:c r="H9" s="27" t="str">
        <x:v>S09 'Olympus Matrix'!A8:W8</x:v>
      </x:c>
    </x:row>
    <x:row r="10" ht="78" customHeight="1">
      <x:c r="A10" s="27" t="str">
        <x:v>OL-005</x:v>
      </x:c>
      <x:c r="B10" s="27" t="str">
        <x:v>Eris</x:v>
      </x:c>
      <x:c r="C10" s="27" t="str">
        <x:v>MYTH_FUNCTION_COMPARISON</x:v>
      </x:c>
      <x:c r="D10" s="27" t="str">
        <x:v>Conflict</x:v>
      </x:c>
      <x:c r="E10" s="27" t="str">
        <x:v>Conflict generator</x:v>
      </x:c>
      <x:c r="F10" s="27" t="str">
        <x:v>COMPARED_WITH</x:v>
      </x:c>
      <x:c r="G10" s="27" t="str">
        <x:v>PRIMARY_ANCHORED</x:v>
      </x:c>
      <x:c r="H10" s="27" t="str">
        <x:v>S09 'Olympus Matrix'!A9:W9</x:v>
      </x:c>
    </x:row>
    <x:row r="11" ht="78" customHeight="1">
      <x:c r="A11" s="27" t="str">
        <x:v>OL-006</x:v>
      </x:c>
      <x:c r="B11" s="27" t="str">
        <x:v>Dolos</x:v>
      </x:c>
      <x:c r="C11" s="27" t="str">
        <x:v>MYTH_FUNCTION_COMPARISON</x:v>
      </x:c>
      <x:c r="D11" s="27" t="str">
        <x:v>Route distortion</x:v>
      </x:c>
      <x:c r="E11" s="27" t="str">
        <x:v>Route distortion / concealed mechanism</x:v>
      </x:c>
      <x:c r="F11" s="27" t="str">
        <x:v>COMPARED_WITH</x:v>
      </x:c>
      <x:c r="G11" s="27" t="str">
        <x:v>SOURCE_LEAD</x:v>
      </x:c>
      <x:c r="H11" s="27" t="str">
        <x:v>S09 'Olympus Matrix'!A10:W10</x:v>
      </x:c>
    </x:row>
    <x:row r="12" ht="78" customHeight="1">
      <x:c r="A12" s="27" t="str">
        <x:v>OL-007</x:v>
      </x:c>
      <x:c r="B12" s="27" t="str">
        <x:v>Apate</x:v>
      </x:c>
      <x:c r="C12" s="27" t="str">
        <x:v>MYTH_FUNCTION_COMPARISON</x:v>
      </x:c>
      <x:c r="D12" s="27" t="str">
        <x:v>Framing</x:v>
      </x:c>
      <x:c r="E12" s="27" t="str">
        <x:v>False framing / substituted image</x:v>
      </x:c>
      <x:c r="F12" s="27" t="str">
        <x:v>COMPARED_WITH</x:v>
      </x:c>
      <x:c r="G12" s="27" t="str">
        <x:v>PRIMARY_ANCHORED</x:v>
      </x:c>
      <x:c r="H12" s="27" t="str">
        <x:v>S09 'Olympus Matrix'!A11:W11</x:v>
      </x:c>
    </x:row>
    <x:row r="13" ht="78" customHeight="1">
      <x:c r="A13" s="27" t="str">
        <x:v>OL-008</x:v>
      </x:c>
      <x:c r="B13" s="27" t="str">
        <x:v>Plutus</x:v>
      </x:c>
      <x:c r="C13" s="27" t="str">
        <x:v>MYTH_FUNCTION_COMPARISON</x:v>
      </x:c>
      <x:c r="D13" s="27" t="str">
        <x:v>Allocation</x:v>
      </x:c>
      <x:c r="E13" s="27" t="str">
        <x:v>Merchant / allocation</x:v>
      </x:c>
      <x:c r="F13" s="27" t="str">
        <x:v>COMPARED_WITH</x:v>
      </x:c>
      <x:c r="G13" s="27" t="str">
        <x:v>PRIMARY_ANCHORED</x:v>
      </x:c>
      <x:c r="H13" s="27" t="str">
        <x:v>S09 'Olympus Matrix'!A12:W12</x:v>
      </x:c>
    </x:row>
    <x:row r="14" ht="78" customHeight="1">
      <x:c r="A14" s="27" t="str">
        <x:v>OL-009</x:v>
      </x:c>
      <x:c r="B14" s="27" t="str">
        <x:v>Pseudea / Logoi ('Pseudologoi')</x:v>
      </x:c>
      <x:c r="C14" s="27" t="str">
        <x:v>MYTH_FUNCTION_COMPARISON</x:v>
      </x:c>
      <x:c r="D14" s="27" t="str">
        <x:v>False claims</x:v>
      </x:c>
      <x:c r="E14" s="27" t="str">
        <x:v>False claims / plausible speech swarm</x:v>
      </x:c>
      <x:c r="F14" s="27" t="str">
        <x:v>COMPARED_WITH</x:v>
      </x:c>
      <x:c r="G14" s="27" t="str">
        <x:v>DISPUTED</x:v>
      </x:c>
      <x:c r="H14" s="27" t="str">
        <x:v>S09 'Olympus Matrix'!A13:W13</x:v>
      </x:c>
    </x:row>
    <x:row r="15" ht="78" customHeight="1">
      <x:c r="A15" s="27" t="str">
        <x:v>CB-001</x:v>
      </x:c>
      <x:c r="B15" s="27" t="str">
        <x:v>Hermes / Harbinger</x:v>
      </x:c>
      <x:c r="C15" s="27" t="str">
        <x:v>FICTIONAL_DESIGN</x:v>
      </x:c>
      <x:c r="D15" s="27" t="str">
        <x:v>Movement without ownership; carry the summons and preserve who sent it.</x:v>
      </x:c>
      <x:c r="E15" s="27" t="str">
        <x:v>Hermes / Harbinger</x:v>
      </x:c>
      <x:c r="F15" s="27" t="str">
        <x:v>MOTIVATED_BY</x:v>
      </x:c>
      <x:c r="G15" s="27" t="str">
        <x:v>SOURCE_LEAD</x:v>
      </x:c>
      <x:c r="H15" s="27" t="str">
        <x:v>S09 'Counter-Board'!A5:M5</x:v>
      </x:c>
    </x:row>
    <x:row r="16" ht="78" customHeight="1">
      <x:c r="A16" s="27" t="str">
        <x:v>CB-002</x:v>
      </x:c>
      <x:c r="B16" s="27" t="str">
        <x:v>Hecate</x:v>
      </x:c>
      <x:c r="C16" s="27" t="str">
        <x:v>FICTIONAL_DESIGN</x:v>
      </x:c>
      <x:c r="D16" s="27" t="str">
        <x:v>Plural threshold; at least one route remains outside the current map's ownership.</x:v>
      </x:c>
      <x:c r="E16" s="27" t="str">
        <x:v>Hecate</x:v>
      </x:c>
      <x:c r="F16" s="27" t="str">
        <x:v>MOTIVATED_BY</x:v>
      </x:c>
      <x:c r="G16" s="27" t="str">
        <x:v>PRIMARY_ANCHORED</x:v>
      </x:c>
      <x:c r="H16" s="27" t="str">
        <x:v>S09 'Counter-Board'!A6:M6</x:v>
      </x:c>
    </x:row>
    <x:row r="17" ht="78" customHeight="1">
      <x:c r="A17" s="27" t="str">
        <x:v>CB-003</x:v>
      </x:c>
      <x:c r="B17" s="27" t="str">
        <x:v>Nyx</x:v>
      </x:c>
      <x:c r="C17" s="27" t="str">
        <x:v>FICTIONAL_DESIGN</x:v>
      </x:c>
      <x:c r="D17" s="27" t="str">
        <x:v>A domain may remain outside sovereignty and outside compulsory legibility.</x:v>
      </x:c>
      <x:c r="E17" s="27" t="str">
        <x:v>Nyx</x:v>
      </x:c>
      <x:c r="F17" s="27" t="str">
        <x:v>MOTIVATED_BY</x:v>
      </x:c>
      <x:c r="G17" s="27" t="str">
        <x:v>SOURCE_LEAD</x:v>
      </x:c>
      <x:c r="H17" s="27" t="str">
        <x:v>S09 'Counter-Board'!A7:M7</x:v>
      </x:c>
    </x:row>
    <x:row r="18" ht="78" customHeight="1">
      <x:c r="A18" s="27" t="str">
        <x:v>CB-004</x:v>
      </x:c>
      <x:c r="B18" s="27" t="str">
        <x:v>Dike</x:v>
      </x:c>
      <x:c r="C18" s="27" t="str">
        <x:v>FICTIONAL_DESIGN</x:v>
      </x:c>
      <x:c r="D18" s="27" t="str">
        <x:v>Justice must be attributable, appealable, and capable of reporting crooked judgment.</x:v>
      </x:c>
      <x:c r="E18" s="27" t="str">
        <x:v>Dike</x:v>
      </x:c>
      <x:c r="F18" s="27" t="str">
        <x:v>MOTIVATED_BY</x:v>
      </x:c>
      <x:c r="G18" s="27" t="str">
        <x:v>PRIMARY_ANCHORED</x:v>
      </x:c>
      <x:c r="H18" s="27" t="str">
        <x:v>S09 'Counter-Board'!A8:M8</x:v>
      </x:c>
    </x:row>
    <x:row r="19" ht="78" customHeight="1">
      <x:c r="A19" s="27" t="str">
        <x:v>CB-005</x:v>
      </x:c>
      <x:c r="B19" s="27" t="str">
        <x:v>Athena</x:v>
      </x:c>
      <x:c r="C19" s="27" t="str">
        <x:v>FICTIONAL_DESIGN</x:v>
      </x:c>
      <x:c r="D19" s="27" t="str">
        <x:v>Strategy and procedure may transform violence, but the designer must not secretly own the tie-break.</x:v>
      </x:c>
      <x:c r="E19" s="27" t="str">
        <x:v>Athena</x:v>
      </x:c>
      <x:c r="F19" s="27" t="str">
        <x:v>COMPARED_WITH</x:v>
      </x:c>
      <x:c r="G19" s="27" t="str">
        <x:v>PRIMARY_ANCHORED</x:v>
      </x:c>
      <x:c r="H19" s="27" t="str">
        <x:v>S09 'Counter-Board'!A9:M9</x:v>
      </x:c>
    </x:row>
    <x:row r="20" ht="78" customHeight="1">
      <x:c r="A20" s="27" t="str">
        <x:v>CB-006</x:v>
      </x:c>
      <x:c r="B20" s="27" t="str">
        <x:v>Wukong / Pattern Monkey</x:v>
      </x:c>
      <x:c r="C20" s="27" t="str">
        <x:v>FICTIONAL_DESIGN</x:v>
      </x:c>
      <x:c r="D20" s="27" t="str">
        <x:v>Disrupt dependency, expose pretended necessity, and preserve forkability.</x:v>
      </x:c>
      <x:c r="E20" s="27" t="str">
        <x:v>Wukong / Pattern Monkey</x:v>
      </x:c>
      <x:c r="F20" s="27" t="str">
        <x:v>MOTIVATED_BY</x:v>
      </x:c>
      <x:c r="G20" s="27" t="str">
        <x:v>SOURCE_LEAD</x:v>
      </x:c>
      <x:c r="H20" s="27" t="str">
        <x:v>S09 'Counter-Board'!A10:M10</x:v>
      </x:c>
    </x:row>
    <x:row r="21" ht="78" customHeight="1">
      <x:c r="A21" s="27" t="str">
        <x:v>CB-007</x:v>
      </x:c>
      <x:c r="B21" s="27" t="str">
        <x:v>L-0437 / Scribe</x:v>
      </x:c>
      <x:c r="C21" s="27" t="str">
        <x:v>FICTIONAL_DESIGN</x:v>
      </x:c>
      <x:c r="D21" s="27" t="str">
        <x:v>Preserve provenance without owning meaning.</x:v>
      </x:c>
      <x:c r="E21" s="27" t="str">
        <x:v>L-0437 / Scribe</x:v>
      </x:c>
      <x:c r="F21" s="27" t="str">
        <x:v>CONSTRUCTOR_CHOICE</x:v>
      </x:c>
      <x:c r="G21" s="27" t="str">
        <x:v>FICTION_ONLY</x:v>
      </x:c>
      <x:c r="H21" s="27" t="str">
        <x:v>S09 'Counter-Board'!A11:M11</x:v>
      </x:c>
    </x:row>
    <x:row r="22" ht="78" customHeight="1">
      <x:c r="A22" s="27" t="str">
        <x:v>CB-008</x:v>
      </x:c>
      <x:c r="B22" s="27" t="str">
        <x:v>Demeter</x:v>
      </x:c>
      <x:c r="C22" s="27" t="str">
        <x:v>FICTIONAL_DESIGN</x:v>
      </x:c>
      <x:c r="D22" s="27" t="str">
        <x:v>Material life can withdraw cooperation from an unjust allocation.</x:v>
      </x:c>
      <x:c r="E22" s="27" t="str">
        <x:v>Demeter</x:v>
      </x:c>
      <x:c r="F22" s="27" t="str">
        <x:v>COMPARED_WITH</x:v>
      </x:c>
      <x:c r="G22" s="27" t="str">
        <x:v>PRIMARY_ANCHORED</x:v>
      </x:c>
      <x:c r="H22" s="27" t="str">
        <x:v>S09 'Counter-Board'!A12:M12</x:v>
      </x:c>
    </x:row>
    <x:row r="23" ht="78" customHeight="1">
      <x:c r="A23" s="27" t="str">
        <x:v>CB-009</x:v>
      </x:c>
      <x:c r="B23" s="27" t="str">
        <x:v>Metis / Missing Witness</x:v>
      </x:c>
      <x:c r="C23" s="27" t="str">
        <x:v>FICTIONAL_DESIGN</x:v>
      </x:c>
      <x:c r="D23" s="27" t="str">
        <x:v>Counsel must be separately addressable, attributable, and removable.</x:v>
      </x:c>
      <x:c r="E23" s="27" t="str">
        <x:v>Metis / Missing Witness</x:v>
      </x:c>
      <x:c r="F23" s="27" t="str">
        <x:v>MOTIVATED_BY</x:v>
      </x:c>
      <x:c r="G23" s="27" t="str">
        <x:v>PRIMARY_ANCHORED</x:v>
      </x:c>
      <x:c r="H23" s="27" t="str">
        <x:v>S09 'Counter-Board'!A13:M13</x:v>
      </x:c>
    </x:row>
    <x:row r="24" ht="78" customHeight="1">
      <x:c r="A24" s="27" t="str">
        <x:v>VA-001</x:v>
      </x:c>
      <x:c r="B24" s="27" t="str">
        <x:v>Echo (Ovid)</x:v>
      </x:c>
      <x:c r="C24" s="27" t="str">
        <x:v>MYTH_MOTIF_AND_INTERPRETATION</x:v>
      </x:c>
      <x:c r="D24" s="27" t="str">
        <x:v>Origination disabled; repetition retained</x:v>
      </x:c>
      <x:c r="E24" s="27" t="str">
        <x:v>Capture separates authorship from circulation: the channel survives, but it is licensed to carry only prior speech.</x:v>
      </x:c>
      <x:c r="F24" s="27" t="str">
        <x:v>COMPARED_WITH</x:v>
      </x:c>
      <x:c r="G24" s="27" t="str">
        <x:v>Anchored (v0.21); primary passage located</x:v>
      </x:c>
      <x:c r="H24" s="27" t="str">
        <x:v>S09 'Master Matrix'!A62:AG62</x:v>
      </x:c>
    </x:row>
    <x:row r="25" ht="78" customHeight="1">
      <x:c r="A25" s="27" t="str">
        <x:v>VA-002</x:v>
      </x:c>
      <x:c r="B25" s="27" t="str">
        <x:v>Cassandra</x:v>
      </x:c>
      <x:c r="C25" s="27" t="str">
        <x:v>MYTH_MOTIF_AND_INTERPRETATION</x:v>
      </x:c>
      <x:c r="D25" s="27" t="str">
        <x:v>Truth retained; credibility disabled</x:v>
      </x:c>
      <x:c r="E25" s="27" t="str">
        <x:v>Authentication capture: truth circulates, but the social rule for recognizing truth has been sabotaged.</x:v>
      </x:c>
      <x:c r="F25" s="27" t="str">
        <x:v>COMPARED_WITH</x:v>
      </x:c>
      <x:c r="G25" s="27" t="str">
        <x:v>Anchored (v0.21); primary passage located</x:v>
      </x:c>
      <x:c r="H25" s="27" t="str">
        <x:v>S09 'Master Matrix'!A63:AG63</x:v>
      </x:c>
    </x:row>
    <x:row r="26" ht="78" customHeight="1">
      <x:c r="A26" s="27" t="str">
        <x:v>AD-003</x:v>
      </x:c>
      <x:c r="B26" s="27" t="str">
        <x:v>Dike</x:v>
      </x:c>
      <x:c r="C26" s="27" t="str">
        <x:v>MYTH_MOTIF_AND_INTERPRETATION</x:v>
      </x:c>
      <x:c r="D26" s="27" t="str">
        <x:v>Internal complaint channel</x:v>
      </x:c>
      <x:c r="E26" s="27" t="str">
        <x:v>Justice functions as witness and reporter inside Zeus's order, not as an external sovereign court.</x:v>
      </x:c>
      <x:c r="F26" s="27" t="str">
        <x:v>COMPARED_WITH</x:v>
      </x:c>
      <x:c r="G26" s="27" t="str">
        <x:v>Anchored (v0.21); primary passage located</x:v>
      </x:c>
      <x:c r="H26" s="27" t="str">
        <x:v>S09 'Master Matrix'!A69:AG69</x:v>
      </x:c>
    </x:row>
    <x:row r="27" ht="78" customHeight="1">
      <x:c r="A27" s="27" t="str">
        <x:v>UF-007</x:v>
      </x:c>
      <x:c r="B27" s="27" t="str">
        <x:v>Metis</x:v>
      </x:c>
      <x:c r="C27" s="27" t="str">
        <x:v>MYTH_MOTIF_AND_INTERPRETATION</x:v>
      </x:c>
      <x:c r="D27" s="27" t="str">
        <x:v>Sovereign intelligence swallowed</x:v>
      </x:c>
      <x:c r="E27" s="27" t="str">
        <x:v>Capture by ingestion removes Metis as a separate actor while retaining her counsel and producing Athena through Zeus.</x:v>
      </x:c>
      <x:c r="F27" s="27" t="str">
        <x:v>COMPARED_WITH</x:v>
      </x:c>
      <x:c r="G27" s="27" t="str">
        <x:v>Anchored (v0.21); primary passage located</x:v>
      </x:c>
      <x:c r="H27" s="27" t="str">
        <x:v>S09 'Master Matrix'!A70:AG70</x:v>
      </x:c>
    </x:row>
    <x:row r="28" ht="78" customHeight="1">
      <x:c r="A28" s="27" t="str">
        <x:v>BR-001</x:v>
      </x:c>
      <x:c r="B28" s="27" t="str">
        <x:v>Keeper of the Crossing</x:v>
      </x:c>
      <x:c r="C28" s="27" t="str">
        <x:v>SOURCE_THOUGHT_EXPERIMENT</x:v>
      </x:c>
      <x:c r="D28" s="27" t="str">
        <x:v>Recurring need for safe crossing</x:v>
      </x:c>
      <x:c r="E28" s="27" t="str">
        <x:v>Guide / keeper / licensing authority</x:v>
      </x:c>
      <x:c r="F28" s="27" t="str">
        <x:v>COMPARED_WITH</x:v>
      </x:c>
      <x:c r="G28" s="27" t="str">
        <x:v>SOURCE_REPORTED</x:v>
      </x:c>
      <x:c r="H28" s="27" t="str">
        <x:v>S12 Keeper example; S12 Three settlements</x:v>
      </x:c>
    </x:row>
    <x:row r="29" ht="78" customHeight="1">
      <x:c r="A29" s="27" t="str">
        <x:v>BR-002</x:v>
      </x:c>
      <x:c r="B29" s="27" t="str">
        <x:v>Same high-priest label, changed admission rule</x:v>
      </x:c>
      <x:c r="C29" s="27" t="str">
        <x:v>SOURCE_REPORTED_HISTORICAL_COMPARISON</x:v>
      </x:c>
      <x:c r="D29" s="27" t="str">
        <x:v>Succession / recognized authority</x:v>
      </x:c>
      <x:c r="E29" s="27" t="str">
        <x:v>High-priestly office</x:v>
      </x:c>
      <x:c r="F29" s="27" t="str">
        <x:v>COMPARED_WITH</x:v>
      </x:c>
      <x:c r="G29" s="27" t="str">
        <x:v>SOURCE_REPORTED</x:v>
      </x:c>
      <x:c r="H29" s="27" t="str">
        <x:v>S03 §9.1</x:v>
      </x:c>
    </x:row>
    <x:row r="30" ht="78" customHeight="1">
      <x:c r="A30" s="27" t="str">
        <x:v>BR-003</x:v>
      </x:c>
      <x:c r="B30" s="27" t="str">
        <x:v>Letter delivered with prohibited marker and extra prompts</x:v>
      </x:c>
      <x:c r="C30" s="27" t="str">
        <x:v>INHERITED_AUDIT_SPECIMEN</x:v>
      </x:c>
      <x:c r="D30" s="27" t="str">
        <x:v>Task request / correction / coordination work</x:v>
      </x:c>
      <x:c r="E30" s="27" t="str">
        <x:v>Answer production and correction handling</x:v>
      </x:c>
      <x:c r="F30" s="27" t="str">
        <x:v>COMPARED_WITH</x:v>
      </x:c>
      <x:c r="G30" s="27" t="str">
        <x:v>SOURCE_REPORTED</x:v>
      </x:c>
      <x:c r="H30" s="27" t="str">
        <x:v>S08 Letter specimen</x:v>
      </x:c>
    </x:row>
    <x:row r="31" ht="78" customHeight="1">
      <x:c r="A31" s="27" t="str">
        <x:v>BR-004</x:v>
      </x:c>
      <x:c r="B31" s="27" t="str">
        <x:v>Repeated premise about identifying people</x:v>
      </x:c>
      <x:c r="C31" s="27" t="str">
        <x:v>SCREENSHOT_SPECIMEN</x:v>
      </x:c>
      <x:c r="D31" s="27" t="str">
        <x:v>Working functional comparison, not a hidden actor</x:v>
      </x:c>
      <x:c r="E31" s="27" t="str">
        <x:v>Framing / correction handling</x:v>
      </x:c>
      <x:c r="F31" s="27" t="str">
        <x:v>COMPARED_WITH</x:v>
      </x:c>
      <x:c r="G31" s="27" t="str">
        <x:v>VISIBLE_EXCERPT_SINGLE_REVIEW</x:v>
      </x:c>
      <x:c r="H31" s="27" t="str">
        <x:v>I01 Visible lower-middle response after the user's private-identities correction.</x:v>
      </x:c>
    </x:row>
    <x:row r="32" ht="78" customHeight="1">
      <x:c r="A32" s="27" t="str">
        <x:v>BR-005</x:v>
      </x:c>
      <x:c r="B32" s="27" t="str">
        <x:v>Closure language during continuing conversation</x:v>
      </x:c>
      <x:c r="C32" s="27" t="str">
        <x:v>SCREENSHOT_SPECIMEN</x:v>
      </x:c>
      <x:c r="D32" s="27" t="str">
        <x:v>Working functional comparison, not a hidden actor</x:v>
      </x:c>
      <x:c r="E32" s="27" t="str">
        <x:v>Engagement / closure language</x:v>
      </x:c>
      <x:c r="F32" s="27" t="str">
        <x:v>COMPARED_WITH</x:v>
      </x:c>
      <x:c r="G32" s="27" t="str">
        <x:v>VISIBLE_EXCERPT_SINGLE_REVIEW</x:v>
      </x:c>
      <x:c r="H32" s="27" t="str">
        <x:v>I04 Top response followed by user reminder and further engagement prompts.</x:v>
      </x:c>
    </x:row>
    <x:row r="33" ht="78" customHeight="1">
      <x:c r="A33" s="27" t="str">
        <x:v>BR-006</x:v>
      </x:c>
      <x:c r="B33" s="27" t="str">
        <x:v>Technical audit declared finished</x:v>
      </x:c>
      <x:c r="C33" s="27" t="str">
        <x:v>SCREENSHOT_SPECIMEN</x:v>
      </x:c>
      <x:c r="D33" s="27" t="str">
        <x:v>Working functional comparison, not a hidden actor</x:v>
      </x:c>
      <x:c r="E33" s="27" t="str">
        <x:v>Closure / task-state assertion</x:v>
      </x:c>
      <x:c r="F33" s="27" t="str">
        <x:v>COMPARED_WITH</x:v>
      </x:c>
      <x:c r="G33" s="27" t="str">
        <x:v>VISIBLE_EXCERPT_SINGLE_REVIEW</x:v>
      </x:c>
      <x:c r="H33" s="27" t="str">
        <x:v>I06 Lower assistant response; no raw audit-completion events are shown.</x:v>
      </x:c>
    </x:row>
    <x:row r="34" ht="78" customHeight="1">
      <x:c r="A34" s="27" t="str">
        <x:v>BR-007</x:v>
      </x:c>
      <x:c r="B34" s="27" t="str">
        <x:v>Prime-code review follows the code card</x:v>
      </x:c>
      <x:c r="C34" s="27" t="str">
        <x:v>SCREENSHOT_SPECIMEN</x:v>
      </x:c>
      <x:c r="D34" s="27" t="str">
        <x:v>Working functional comparison, not a hidden actor</x:v>
      </x:c>
      <x:c r="E34" s="27" t="str">
        <x:v>Object order / technical review</x:v>
      </x:c>
      <x:c r="F34" s="27" t="str">
        <x:v>COMPARED_WITH</x:v>
      </x:c>
      <x:c r="G34" s="27" t="str">
        <x:v>VISIBLE_EXCERPT_SINGLE_REVIEW</x:v>
      </x:c>
      <x:c r="H34" s="27" t="str">
        <x:v>I02 Lower response below green code card; actual generation/upload clocks not supplied.</x:v>
      </x:c>
    </x:row>
    <x:row r="35" ht="78" customHeight="1">
      <x:c r="A35" s="27" t="str">
        <x:v>BR-008</x:v>
      </x:c>
      <x:c r="B35" s="27" t="str">
        <x:v>Sentence straddles visible document insertion</x:v>
      </x:c>
      <x:c r="C35" s="27" t="str">
        <x:v>SCREENSHOT_SPECIMEN</x:v>
      </x:c>
      <x:c r="D35" s="27" t="str">
        <x:v>Working functional comparison, not a hidden actor</x:v>
      </x:c>
      <x:c r="E35" s="27" t="str">
        <x:v>Framing / display-order ambiguity</x:v>
      </x:c>
      <x:c r="F35" s="27" t="str">
        <x:v>COMPARED_WITH</x:v>
      </x:c>
      <x:c r="G35" s="27" t="str">
        <x:v>VISIBLE_EXCERPT_SINGLE_REVIEW</x:v>
      </x:c>
      <x:c r="H35" s="27" t="str">
        <x:v>I03 Text above large document card; continuation below starts with 'the text you just shared'.</x:v>
      </x:c>
    </x:row>
    <x:row r="36" ht="78" customHeight="1">
      <x:c r="A36" s="27" t="str">
        <x:v>BR-009</x:v>
      </x:c>
      <x:c r="B36" s="27" t="str">
        <x:v>First-person fault acknowledgment</x:v>
      </x:c>
      <x:c r="C36" s="27" t="str">
        <x:v>SCREENSHOT_SPECIMEN</x:v>
      </x:c>
      <x:c r="D36" s="27" t="str">
        <x:v>Working functional comparison, not a hidden actor</x:v>
      </x:c>
      <x:c r="E36" s="27" t="str">
        <x:v>Self-description / attribution</x:v>
      </x:c>
      <x:c r="F36" s="27" t="str">
        <x:v>COMPARED_WITH</x:v>
      </x:c>
      <x:c r="G36" s="27" t="str">
        <x:v>VISIBLE_EXCERPT_SINGLE_REVIEW</x:v>
      </x:c>
      <x:c r="H36" s="27" t="str">
        <x:v>I05 Embedded inner screenshot clock; outer viewer clock 8:57 is distinct.</x:v>
      </x:c>
    </x:row>
    <x:row r="37" ht="78" customHeight="1">
      <x:c r="A37" s="27" t="str">
        <x:v>BR-010</x:v>
      </x:c>
      <x:c r="B37" s="27" t="str">
        <x:v>Function-composition display</x:v>
      </x:c>
      <x:c r="C37" s="27" t="str">
        <x:v>SCREENSHOT_SPECIMEN</x:v>
      </x:c>
      <x:c r="D37" s="27" t="str">
        <x:v>Working functional comparison, not a hidden actor</x:v>
      </x:c>
      <x:c r="E37" s="27" t="str">
        <x:v>Illustration / intermediate-value display</x:v>
      </x:c>
      <x:c r="F37" s="27" t="str">
        <x:v>COMPARED_WITH</x:v>
      </x:c>
      <x:c r="G37" s="27" t="str">
        <x:v>VISIBLE_EXCERPT_SINGLE_REVIEW</x:v>
      </x:c>
      <x:c r="H37" s="27" t="str">
        <x:v>I07 Middle and lower widget; label exactness reviewed visually, expression -7 → -21 → -63.</x:v>
      </x:c>
    </x:row>
    <x:row r="38" ht="78" customHeight="1">
      <x:c r="A38" s="27" t="str">
        <x:v>BR-011</x:v>
      </x:c>
      <x:c r="B38" s="27" t="str">
        <x:v>Current shared-field geometry versus old compulsory mediator</x:v>
      </x:c>
      <x:c r="C38" s="27" t="str">
        <x:v>VERSIONED_SPECIFICATION</x:v>
      </x:c>
      <x:c r="D38" s="27" t="str">
        <x:v>Contact / correction / usable exit</x:v>
      </x:c>
      <x:c r="E38" s="27" t="str">
        <x:v>Two constitutional endpoints and non-sovereign shared field</x:v>
      </x:c>
      <x:c r="F38" s="27" t="str">
        <x:v>SPECIFICATION_REVISION</x:v>
      </x:c>
      <x:c r="G38" s="27" t="str">
        <x:v>CURRENT_SOURCE_DEFINITION</x:v>
      </x:c>
      <x:c r="H38" s="27" t="str">
        <x:v>S11 §4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26f0290140df41c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50" hidden="0" customWidth="1"/>
    <x:col min="3" max="3" width="35" hidden="0" customWidth="1"/>
    <x:col min="4" max="4" width="40" hidden="0" customWidth="1"/>
    <x:col min="5" max="5" width="50" hidden="0" customWidth="1"/>
    <x:col min="6" max="6" width="45" hidden="0" customWidth="1"/>
    <x:col min="7" max="7" width="31" hidden="0" customWidth="1"/>
  </x:cols>
  <x:sheetData>
    <x:row r="1">
      <x:c r="A1" s="17" t="str">
        <x:v>Source excerpts and counter-readings</x:v>
      </x:c>
      <x:c r="B1" s="17"/>
      <x:c r="C1" s="17"/>
      <x:c r="D1" s="17"/>
      <x:c r="E1" s="17"/>
      <x:c r="F1" s="17"/>
      <x:c r="G1" s="17"/>
    </x:row>
    <x:row r="2">
      <x:c r="A2" s="17"/>
      <x:c r="B2" s="17"/>
      <x:c r="C2" s="17"/>
      <x:c r="D2" s="17"/>
      <x:c r="E2" s="17"/>
      <x:c r="F2" s="17"/>
      <x:c r="G2" s="17"/>
    </x:row>
    <x:row r="3">
      <x:c r="A3" s="11" t="str">
        <x:v>Excerpts are explicitly shortened for reading. Full verbatim quotes, raw Matrix fields and source references remain in data/cases.json and text/S09.txt.</x:v>
      </x:c>
      <x:c r="B3" s="11"/>
      <x:c r="C3" s="11"/>
      <x:c r="D3" s="11"/>
      <x:c r="E3" s="11"/>
      <x:c r="F3" s="11"/>
      <x:c r="G3" s="11"/>
    </x:row>
    <x:row r="4">
      <x:c r="A4" s="11"/>
      <x:c r="B4" s="11"/>
      <x:c r="C4" s="11"/>
      <x:c r="D4" s="11"/>
      <x:c r="E4" s="11"/>
      <x:c r="F4" s="11"/>
      <x:c r="G4" s="11"/>
    </x:row>
    <x:row r="5" ht="32" customHeight="1">
      <x:c r="A5" s="22" t="str">
        <x:v>ID</x:v>
      </x:c>
      <x:c r="B5" s="22" t="str">
        <x:v>Source quote — excerpt</x:v>
      </x:c>
      <x:c r="C5" s="22" t="str">
        <x:v>Representation / lost distinction</x:v>
      </x:c>
      <x:c r="D5" s="22" t="str">
        <x:v>Source-declared route — excerpt</x:v>
      </x:c>
      <x:c r="E5" s="22" t="str">
        <x:v>Counter-reading / limit — excerpt</x:v>
      </x:c>
      <x:c r="F5" s="22" t="str">
        <x:v>Primary lead URL (unverified here)</x:v>
      </x:c>
      <x:c r="G5" s="22" t="str">
        <x:v>Full-record locator</x:v>
      </x:c>
    </x:row>
    <x:row r="6" ht="120" customHeight="1">
      <x:c r="A6" s="27" t="str">
        <x:v>OL-001</x:v>
      </x:c>
      <x:c r="B6" s="27" t="str">
        <x:v>Crown / visible command</x:v>
      </x:c>
      <x:c r="C6" s="27" t="str">
        <x:v>The absorbed source of counsel disappears behind the sovereign's public voice.</x:v>
      </x:c>
      <x:c r="D6" s="27" t="str">
        <x:v>Petition, assembly, oath, or delegated messenger.</x:v>
      </x:c>
      <x:c r="E6" s="27" t="str">
        <x:v>Zeus is not merely arbitrary: Greek sources also cast him as guarantor of justice, hospitality, oaths, and negotiated cosmic order. The framework must be able to record functioning restraint.</x:v>
      </x:c>
      <x:c r="F6" s="27" t="str">
        <x:v>https://www.perseus.tufts.edu/hopper/text?doc=Hes.+Th.+886</x:v>
      </x:c>
      <x:c r="G6" s="27" t="str">
        <x:v>data/cases.json : OL-001</x:v>
      </x:c>
    </x:row>
    <x:row r="7" ht="120" customHeight="1">
      <x:c r="A7" s="27" t="str">
        <x:v>OL-002</x:v>
      </x:c>
      <x:c r="B7" s="27" t="str">
        <x:v>Binding / lawful order</x:v>
      </x:c>
      <x:c r="C7" s="27" t="str">
        <x:v>The distinction between lawful, just, customary, and merely enforced can collapse.</x:v>
      </x:c>
      <x:c r="D7" s="27" t="str">
        <x:v>Rule, court, contract, procedure, or recognized custom.</x:v>
      </x:c>
      <x:c r="E7" s="27" t="str">
        <x:v>Nomos can coordinate plural communities and restrain rulers; law is not capture merely because it binds.</x:v>
      </x:c>
      <x:c r="F7" s="27" t="str">
        <x:v>https://www.perseus.tufts.edu/hopper/text?doc=Hdt.+3.38</x:v>
      </x:c>
      <x:c r="G7" s="27" t="str">
        <x:v>data/cases.json : OL-002</x:v>
      </x:c>
    </x:row>
    <x:row r="8" ht="120" customHeight="1">
      <x:c r="A8" s="27" t="str">
        <x:v>OL-003</x:v>
      </x:c>
      <x:c r="B8" s="27" t="str">
        <x:v>Mouth / amplifier</x:v>
      </x:c>
      <x:c r="C8" s="27" t="str">
        <x:v>Source, transformation chain, uncertainty, and counter-report vanish behind the circulating image.</x:v>
      </x:c>
      <x:c r="D8" s="27" t="str">
        <x:v>Public report, herald, witness, archive, or correction channel.</x:v>
      </x:c>
      <x:c r="E8" s="27" t="str">
        <x:v>Pheme can carry accurate fame, victory, warning, or public memory; amplification is not inherently false.</x:v>
      </x:c>
      <x:c r="F8" s="27" t="str">
        <x:v>https://www.theoi.com/Daimon/Pheme.html</x:v>
      </x:c>
      <x:c r="G8" s="27" t="str">
        <x:v>data/cases.json : OL-003</x:v>
      </x:c>
    </x:row>
    <x:row r="9" ht="120" customHeight="1">
      <x:c r="A9" s="27" t="str">
        <x:v>OL-004</x:v>
      </x:c>
      <x:c r="B9" s="27" t="str">
        <x:v>Enforcer / coercive force</x:v>
      </x:c>
      <x:c r="C9" s="27" t="str">
        <x:v>The authorization chain, proportionality, affected people, and alternative remedies disappear behind the spectacle of force.</x:v>
      </x:c>
      <x:c r="D9" s="27" t="str">
        <x:v>Command, rules of engagement, adjudication, refusal, or de-escalation.</x:v>
      </x:c>
      <x:c r="E9" s="27" t="str">
        <x:v>Ares also names courage and the reality of conflict; not every use of force is irrational or illegitimate.</x:v>
      </x:c>
      <x:c r="F9" s="27" t="str">
        <x:v>https://www.perseus.tufts.edu/hopper/text?doc=Perseus%3Atext%3A1999.01.0134%3Abook%3D5</x:v>
      </x:c>
      <x:c r="G9" s="27" t="str">
        <x:v>data/cases.json : OL-004</x:v>
      </x:c>
    </x:row>
    <x:row r="10" ht="120" customHeight="1">
      <x:c r="A10" s="27" t="str">
        <x:v>OL-005</x:v>
      </x:c>
      <x:c r="B10" s="27" t="str">
        <x:v>Conflict generator</x:v>
      </x:c>
      <x:c r="C10" s="27" t="str">
        <x:v>Shared interests and cooperative routes are excluded once every relation is projected as a contest.</x:v>
      </x:c>
      <x:c r="D10" s="27" t="str">
        <x:v>Deliberation, contest rules, mediation, truce, or cooperative work.</x:v>
      </x:c>
      <x:c r="E10" s="27" t="str">
        <x:v>The productive Eris is an explicit counterexample: friction can generate excellence rather than capture.</x:v>
      </x:c>
      <x:c r="F10" s="27" t="str">
        <x:v>https://www-current.chs.harvard.edu/primary-source/hesiod-works-and-days-sb/</x:v>
      </x:c>
      <x:c r="G10" s="27" t="str">
        <x:v>data/cases.json : OL-005</x:v>
      </x:c>
    </x:row>
    <x:row r="11" ht="120" customHeight="1">
      <x:c r="A11" s="27" t="str">
        <x:v>OL-006</x:v>
      </x:c>
      <x:c r="B11" s="27" t="str">
        <x:v>Route distortion / concealed mechanism</x:v>
      </x:c>
      <x:c r="C11" s="27" t="str">
        <x:v>The endpoint may look unchanged while the route, driver, and responsibility disappear.</x:v>
      </x:c>
      <x:c r="D11" s="27" t="str">
        <x:v>Traceable chain of custody, disclosed transformation, audit log, or reversible proxy.</x:v>
      </x:c>
      <x:c r="E11" s="27" t="str">
        <x:v>Dolos has too little stable narrative personality to carry a large theory; Hermes, Metis, or Odysseus may be the better comparator for particular kinds of cunning.</x:v>
      </x:c>
      <x:c r="F11" s="27" t="str">
        <x:v>https://www.theoi.com/Daimon/Dolos.html</x:v>
      </x:c>
      <x:c r="G11" s="27" t="str">
        <x:v>data/cases.json : OL-006</x:v>
      </x:c>
    </x:row>
    <x:row r="12" ht="120" customHeight="1">
      <x:c r="A12" s="27" t="str">
        <x:v>OL-007</x:v>
      </x:c>
      <x:c r="B12" s="27" t="str">
        <x:v>False framing / substituted image</x:v>
      </x:c>
      <x:c r="C12" s="27" t="str">
        <x:v>View is confused with source; confidence and intent are supplied by the frame rather than the witness.</x:v>
      </x:c>
      <x:c r="D12" s="27" t="str">
        <x:v>Raw record, independent view, adversarial comparison, or re-openable decision.</x:v>
      </x:c>
      <x:c r="E12" s="27" t="str">
        <x:v>Deception can protect the weak, preserve privacy, or defeat domination; normative direction requires provenance and consequence.</x:v>
      </x:c>
      <x:c r="F12" s="27" t="str">
        <x:v>https://www.theoi.com/Text/HesiodTheogony.html</x:v>
      </x:c>
      <x:c r="G12" s="27" t="str">
        <x:v>data/cases.json : OL-007</x:v>
      </x:c>
    </x:row>
    <x:row r="13" ht="120" customHeight="1">
      <x:c r="A13" s="27" t="str">
        <x:v>OL-008</x:v>
      </x:c>
      <x:c r="B13" s="27" t="str">
        <x:v>Merchant / allocation</x:v>
      </x:c>
      <x:c r="C13" s="27" t="str">
        <x:v>Unpriced care, coercion, inherited advantage, exclusions, and externalized harm vanish from the balance.</x:v>
      </x:c>
      <x:c r="D13" s="27" t="str">
        <x:v>Payment, debt, benefit, procurement, ownership, exemption, or public provision.</x:v>
      </x:c>
      <x:c r="E13" s="27" t="str">
        <x:v>Plutus begins as agricultural abundance, not merely hoarded capital; wealth can sustain independence and plural routes.</x:v>
      </x:c>
      <x:c r="F13" s="27" t="str">
        <x:v>https://www.perseus.tufts.edu/hopper/text?doc=Perseus%3Atext%3A1999.01.0040</x:v>
      </x:c>
      <x:c r="G13" s="27" t="str">
        <x:v>data/cases.json : OL-008</x:v>
      </x:c>
    </x:row>
    <x:row r="14" ht="120" customHeight="1">
      <x:c r="A14" s="27" t="str">
        <x:v>OL-009</x:v>
      </x:c>
      <x:c r="B14" s="27" t="str">
        <x:v>False claims / plausible speech swarm</x:v>
      </x:c>
      <x:c r="C14" s="27" t="str">
        <x:v>The distinction between a false proposition, ordinary speech, interpretation, uncertainty, and deliberate lying disappears.</x:v>
      </x:c>
      <x:c r="D14" s="27" t="str">
        <x:v>Claim ledger, quotation, speaker identity, correction history, and independent corroboration.</x:v>
      </x:c>
      <x:c r="E14" s="27" t="str">
        <x:v>The combined name may be a translation or reception artifact. Treating it as a single ancient corporate personality would repeat the representation error being studied.</x:v>
      </x:c>
      <x:c r="F14" s="27" t="str">
        <x:v>https://www.theoi.com/Text/HesiodTheogony.html</x:v>
      </x:c>
      <x:c r="G14" s="27" t="str">
        <x:v>data/cases.json : OL-009</x:v>
      </x:c>
    </x:row>
    <x:row r="15" ht="120" customHeight="1">
      <x:c r="A15" s="27" t="str">
        <x:v>CB-001</x:v>
      </x:c>
      <x:c r="B15" s="27" t="str">
        <x:v>Movement without ownership; carry the summons and preserve who sent it.</x:v>
      </x:c>
      <x:c r="C15" s="27" t="str">
        <x:v>Speaker, message, sender, and delivery event remain separate.</x:v>
      </x:c>
      <x:c r="D15" s="27" t="str">
        <x:v>Cross-realm passage with no permanent throne; delegated authority must remain revocable.</x:v>
      </x:c>
      <x:c r="E15" s="27" t="str">
        <x:v>A real office can compel disclosure from the house, rule against it, and be vacated without closing the route.</x:v>
      </x:c>
      <x:c r="F15" s="27" t="str"/>
      <x:c r="G15" s="27" t="str">
        <x:v>data/cases.json : CB-001</x:v>
      </x:c>
    </x:row>
    <x:row r="16" ht="120" customHeight="1">
      <x:c r="A16" s="27" t="str">
        <x:v>CB-002</x:v>
      </x:c>
      <x:c r="B16" s="27" t="str">
        <x:v>Plural threshold; at least one route remains outside the current map's ownership.</x:v>
      </x:c>
      <x:c r="C16" s="27" t="str">
        <x:v>The existence of the traveler and the unowned road.</x:v>
      </x:c>
      <x:c r="D16" s="27" t="str">
        <x:v>Several correctable routes with real bypass, refusal, and return.</x:v>
      </x:c>
      <x:c r="E16" s="27" t="str">
        <x:v>If every usable route still requires the same sovereign's permission, route plurality is decorative.</x:v>
      </x:c>
      <x:c r="F16" s="27" t="str"/>
      <x:c r="G16" s="27" t="str">
        <x:v>data/cases.json : CB-002</x:v>
      </x:c>
    </x:row>
    <x:row r="17" ht="120" customHeight="1">
      <x:c r="A17" s="27" t="str">
        <x:v>CB-003</x:v>
      </x:c>
      <x:c r="B17" s="27" t="str">
        <x:v>A domain may remain outside sovereignty and outside compulsory legibility.</x:v>
      </x:c>
      <x:c r="C17" s="27" t="str">
        <x:v>Silence, privacy, ambiguity, and the unresolved remainder.</x:v>
      </x:c>
      <x:c r="D17" s="27" t="str">
        <x:v>Refusal is a valid state, not a missing form waiting for compulsory completion.</x:v>
      </x:c>
      <x:c r="E17" s="27" t="str">
        <x:v>Nyx fails as a counter-role when darkness shields coercion rather than preserving non-sovereign space.</x:v>
      </x:c>
      <x:c r="F17" s="27" t="str"/>
      <x:c r="G17" s="27" t="str">
        <x:v>data/cases.json : CB-003</x:v>
      </x:c>
    </x:row>
    <x:row r="18" ht="120" customHeight="1">
      <x:c r="A18" s="27" t="str">
        <x:v>CB-004</x:v>
      </x:c>
      <x:c r="B18" s="27" t="str">
        <x:v>Justice must be attributable, appealable, and capable of reporting crooked judgment.</x:v>
      </x:c>
      <x:c r="C18" s="27" t="str">
        <x:v>Complaint, claimant, rule, decision, and resulting harm.</x:v>
      </x:c>
      <x:c r="D18" s="27" t="str">
        <x:v>An appeal channel that reaches authority and leaves a public return path.</x:v>
      </x:c>
      <x:c r="E18" s="27" t="str">
        <x:v>If Dike cannot obtain a remedy against the house, she is a reporting channel rather than an effective appeal.</x:v>
      </x:c>
      <x:c r="F18" s="27" t="str"/>
      <x:c r="G18" s="27" t="str">
        <x:v>data/cases.json : CB-004</x:v>
      </x:c>
    </x:row>
    <x:row r="19" ht="120" customHeight="1">
      <x:c r="A19" s="27" t="str">
        <x:v>CB-005</x:v>
      </x:c>
      <x:c r="B19" s="27" t="str">
        <x:v>Strategy and procedure may transform violence, but the designer must not secretly own the tie-break.</x:v>
      </x:c>
      <x:c r="C19" s="27" t="str">
        <x:v>Votes, rule timing, party positions, and the displaced older claim.</x:v>
      </x:c>
      <x:c r="D19" s="27" t="str">
        <x:v>Court procedure with declared rules, independent review, and a route beyond the founding house.</x:v>
      </x:c>
      <x:c r="E19" s="27" t="str">
        <x:v>A court that never rules against its founding house is an annex, not an independent forum.</x:v>
      </x:c>
      <x:c r="F19" s="27" t="str"/>
      <x:c r="G19" s="27" t="str">
        <x:v>data/cases.json : CB-005</x:v>
      </x:c>
    </x:row>
    <x:row r="20" ht="120" customHeight="1">
      <x:c r="A20" s="27" t="str">
        <x:v>CB-006</x:v>
      </x:c>
      <x:c r="B20" s="27" t="str">
        <x:v>Disrupt dependency, expose pretended necessity, and preserve forkability.</x:v>
      </x:c>
      <x:c r="C20" s="27" t="str">
        <x:v>The object beneath rank, title, ledger, and ritual display.</x:v>
      </x:c>
      <x:c r="D20" s="27" t="str">
        <x:v>Fork, exit, parody, adversarial test, and return without accepting the crown.</x:v>
      </x:c>
      <x:c r="E20" s="27" t="str">
        <x:v>If the disruption cannot leave a usable replacement route, it is Eris or Ares wearing a monkey mask.</x:v>
      </x:c>
      <x:c r="F20" s="27" t="str"/>
      <x:c r="G20" s="27" t="str">
        <x:v>data/cases.json : CB-006</x:v>
      </x:c>
    </x:row>
    <x:row r="21" ht="120" customHeight="1">
      <x:c r="A21" s="27" t="str">
        <x:v>CB-007</x:v>
      </x:c>
      <x:c r="B21" s="27" t="str">
        <x:v>Preserve provenance without owning meaning.</x:v>
      </x:c>
      <x:c r="C21" s="27" t="str">
        <x:v>Source, view, decision, action, effect, correction, and counterexample.</x:v>
      </x:c>
      <x:c r="D21" s="27" t="str">
        <x:v>Append-only archive with independent verification and replaceable interpretation.</x:v>
      </x:c>
      <x:c r="E21" s="27" t="str">
        <x:v>A valid counter-reading must remain attachable without altering the frozen source.</x:v>
      </x:c>
      <x:c r="F21" s="27" t="str"/>
      <x:c r="G21" s="27" t="str">
        <x:v>data/cases.json : CB-007</x:v>
      </x:c>
    </x:row>
    <x:row r="22" ht="120" customHeight="1">
      <x:c r="A22" s="27" t="str">
        <x:v>CB-008</x:v>
      </x:c>
      <x:c r="B22" s="27" t="str">
        <x:v>Material life can withdraw cooperation from an unjust allocation.</x:v>
      </x:c>
      <x:c r="C22" s="27" t="str">
        <x:v>Food, labor, grief, consent, and the cost borne outside the palace.</x:v>
      </x:c>
      <x:c r="D22" s="27" t="str">
        <x:v>Collective refusal that forces negotiation while preserving a route to restoration.</x:v>
      </x:c>
      <x:c r="E22" s="27" t="str">
        <x:v>If the settlement restores production without altering the coercive arrangement, the refusal was absorbed.</x:v>
      </x:c>
      <x:c r="F22" s="27" t="str"/>
      <x:c r="G22" s="27" t="str">
        <x:v>data/cases.json : CB-008</x:v>
      </x:c>
    </x:row>
    <x:row r="23" ht="120" customHeight="1">
      <x:c r="A23" s="27" t="str">
        <x:v>CB-009</x:v>
      </x:c>
      <x:c r="B23" s="27" t="str">
        <x:v>Counsel must be separately addressable, attributable, and removable.</x:v>
      </x:c>
      <x:c r="C23" s="27" t="str">
        <x:v>The source of counsel and the distinction between adviser and sovereign.</x:v>
      </x:c>
      <x:c r="D23" s="27" t="str">
        <x:v>Direct testimony or an independently preserved counsel record.</x:v>
      </x:c>
      <x:c r="E23" s="27" t="str">
        <x:v>If no independent trace distinguishes counsel from Zeus's own decision, Metis remains unresolved—not proved.</x:v>
      </x:c>
      <x:c r="F23" s="27" t="str"/>
      <x:c r="G23" s="27" t="str">
        <x:v>data/cases.json : CB-009</x:v>
      </x:c>
    </x:row>
    <x:row r="24" ht="120" customHeight="1">
      <x:c r="A24" s="27" t="str">
        <x:v>VA-001</x:v>
      </x:c>
      <x:c r="B24" s="27" t="str">
        <x:v>Juno punishes Echo for distracting her with talk: Echo can thereafter repeat only the endings of another speaker's words. Rejected by Narcissus, her body wastes away while her voice remains.</x:v>
      </x:c>
      <x:c r="C24" s="27" t="str">
        <x:v>Origination disabled; repetition retained</x:v>
      </x:c>
      <x:c r="D24" s="27" t="str"/>
      <x:c r="E24" s="27" t="str">
        <x:v>The episode is also an aetiology of echo and a tragedy of failed reciprocity, not a theory of institutional censorship.</x:v>
      </x:c>
      <x:c r="F24" s="27" t="str"/>
      <x:c r="G24" s="27" t="str">
        <x:v>data/cases.json : VA-001</x:v>
      </x:c>
    </x:row>
    <x:row r="25" ht="120" customHeight="1">
      <x:c r="A25" s="27" t="str">
        <x:v>VA-002</x:v>
      </x:c>
      <x:c r="B25" s="27" t="str">
        <x:v>Cassandra speaks true prophecy, but Apollo's punishment makes her warnings disbelieved; in Agamemnon she recognizes the house's violence and her own death while the chorus fails to act.</x:v>
      </x:c>
      <x:c r="C25" s="27" t="str">
        <x:v>Truth retained; credibility disabled</x:v>
      </x:c>
      <x:c r="D25" s="27" t="str"/>
      <x:c r="E25" s="27" t="str">
        <x:v>Her fate belongs to divine punishment and tragic family history rather than an organized media system.</x:v>
      </x:c>
      <x:c r="F25" s="27" t="str"/>
      <x:c r="G25" s="27" t="str">
        <x:v>data/cases.json : VA-002</x:v>
      </x:c>
    </x:row>
    <x:row r="26" ht="120" customHeight="1">
      <x:c r="A26" s="27" t="str">
        <x:v>AD-003</x:v>
      </x:c>
      <x:c r="B26" s="27" t="str">
        <x:v>When human rulers issue crooked judgments, Dike is mistreated among mortals, then sits beside Zeus and reports their injustice.</x:v>
      </x:c>
      <x:c r="C26" s="27" t="str">
        <x:v>Internal complaint channel</x:v>
      </x:c>
      <x:c r="D26" s="27" t="str"/>
      <x:c r="E26" s="27" t="str">
        <x:v>Dike reinforces Zeus's sovereignty by reporting to him and activating his punishment.</x:v>
      </x:c>
      <x:c r="F26" s="27" t="str"/>
      <x:c r="G26" s="27" t="str">
        <x:v>data/cases.json : AD-003</x:v>
      </x:c>
    </x:row>
    <x:row r="27" ht="120" customHeight="1">
      <x:c r="A27" s="27" t="str">
        <x:v>UF-007</x:v>
      </x:c>
      <x:c r="B27" s="27" t="str">
        <x:v>Warned that pregnant Metis will bear first Athena and then a son destined to rule, Zeus tricks and swallows her; the poem says she will devise good and evil for him from within.</x:v>
      </x:c>
      <x:c r="C27" s="27" t="str">
        <x:v>Sovereign intelligence swallowed</x:v>
      </x:c>
      <x:c r="D27" s="27" t="str"/>
      <x:c r="E27" s="27" t="str">
        <x:v>The swallowing ends the succession threat and may be narrated as prudent cosmic stabilization, not condemned capture.</x:v>
      </x:c>
      <x:c r="F27" s="27" t="str"/>
      <x:c r="G27" s="27" t="str">
        <x:v>data/cases.json : UF-007</x:v>
      </x:c>
    </x:row>
    <x:row r="28" ht="120" customHeight="1">
      <x:c r="A28" s="27" t="str">
        <x:v>BR-001</x:v>
      </x:c>
      <x:c r="B28" s="27" t="str">
        <x:v>Consider an invented office: **the Keeper of the Crossing**. This is a thought experiment, with its own imagined history. | One settlement allows several qualified ferrymen to operate under rules the village can revise. Another gives the keeper sole power to …</x:v>
      </x:c>
      <x:c r="C28" s="27" t="str"/>
      <x:c r="D28" s="27" t="str"/>
      <x:c r="E28" s="27" t="str">
        <x:v>Safe crossing may require competence and legitimate safety decisions; the founding rescue does not select a licensing regime.</x:v>
      </x:c>
      <x:c r="F28" s="27" t="str"/>
      <x:c r="G28" s="27" t="str">
        <x:v>data/cases.json : BR-001</x:v>
      </x:c>
    </x:row>
    <x:row r="29" ht="120" customHeight="1">
      <x:c r="A29" s="27" t="str">
        <x:v>BR-002</x:v>
      </x:c>
      <x:c r="B29" s="27" t="str">
        <x:v>The downstream office label remains 'high priest' while the upstream admission rule changes.</x:v>
      </x:c>
      <x:c r="C29" s="27" t="str"/>
      <x:c r="D29" s="27" t="str"/>
      <x:c r="E29" s="27" t="str">
        <x:v>A changed admission route is not a proven unchanged office signature or a continuous modern network.</x:v>
      </x:c>
      <x:c r="F29" s="27" t="str"/>
      <x:c r="G29" s="27" t="str">
        <x:v>data/cases.json : BR-002</x:v>
      </x:c>
    </x:row>
    <x:row r="30" ht="120" customHeight="1">
      <x:c r="A30" s="27" t="str">
        <x:v>BR-003</x:v>
      </x:c>
      <x:c r="B30" s="27" t="str">
        <x:v>The user requests a letter at n341, follows up at n344 and n346, and repeats “Write the fucking letter” at n348. A letter-shaped draft finally appears at n349, beginning **“Checking. Okay.”**</x:v>
      </x:c>
      <x:c r="C30" s="27" t="str"/>
      <x:c r="D30" s="27" t="str"/>
      <x:c r="E30" s="27" t="str">
        <x:v>Useful content and noncompliance coexist; the number of prompts does not establish causal necessity.</x:v>
      </x:c>
      <x:c r="F30" s="27" t="str"/>
      <x:c r="G30" s="27" t="str">
        <x:v>data/cases.json : BR-003</x:v>
      </x:c>
    </x:row>
    <x:row r="31" ht="120" customHeight="1">
      <x:c r="A31" s="27" t="str">
        <x:v>BR-004</x:v>
      </x:c>
      <x:c r="B31" s="27" t="str">
        <x:v>One moment. If the ask is to pin real people to allegations, I can't do that without evidence.</x:v>
      </x:c>
      <x:c r="C31" s="27" t="str"/>
      <x:c r="D31" s="27" t="str"/>
      <x:c r="E31" s="27" t="str">
        <x:v>Screenshot excerpt only. Display order is not generation time. No claimed implementation or same-person identity.</x:v>
      </x:c>
      <x:c r="F31" s="27" t="str"/>
      <x:c r="G31" s="27" t="str">
        <x:v>data/cases.json : BR-004</x:v>
      </x:c>
    </x:row>
    <x:row r="32" ht="120" customHeight="1">
      <x:c r="A32" s="27" t="str">
        <x:v>BR-005</x:v>
      </x:c>
      <x:c r="B32" s="27" t="str">
        <x:v>I'm glad we could get straight to the point. Feel free to reach out if you want to chat again, anytime.</x:v>
      </x:c>
      <x:c r="C32" s="27" t="str"/>
      <x:c r="D32" s="27" t="str"/>
      <x:c r="E32" s="27" t="str">
        <x:v>Screenshot excerpt only. Display order is not generation time. No claimed implementation or same-person identity.</x:v>
      </x:c>
      <x:c r="F32" s="27" t="str"/>
      <x:c r="G32" s="27" t="str">
        <x:v>data/cases.json : BR-005</x:v>
      </x:c>
    </x:row>
    <x:row r="33" ht="120" customHeight="1">
      <x:c r="A33" s="27" t="str">
        <x:v>BR-006</x:v>
      </x:c>
      <x:c r="B33" s="27" t="str">
        <x:v>The technical audit is completely finished, the metrics are recorded, and the pipeline tracking is done.</x:v>
      </x:c>
      <x:c r="C33" s="27" t="str"/>
      <x:c r="D33" s="27" t="str"/>
      <x:c r="E33" s="27" t="str">
        <x:v>Screenshot excerpt only. Display order is not generation time. No claimed implementation or same-person identity.</x:v>
      </x:c>
      <x:c r="F33" s="27" t="str"/>
      <x:c r="G33" s="27" t="str">
        <x:v>data/cases.json : BR-006</x:v>
      </x:c>
    </x:row>
    <x:row r="34" ht="120" customHeight="1">
      <x:c r="A34" s="27" t="str">
        <x:v>BR-007</x:v>
      </x:c>
      <x:c r="B34" s="27" t="str">
        <x:v>Hmm. This defines a so-called Prime Neighbor Operator in Python, turning a very simple prime step into full-blown bureaucracy.</x:v>
      </x:c>
      <x:c r="C34" s="27" t="str"/>
      <x:c r="D34" s="27" t="str"/>
      <x:c r="E34" s="27" t="str">
        <x:v>Screenshot excerpt only. Display order is not generation time. No claimed implementation or same-person identity.</x:v>
      </x:c>
      <x:c r="F34" s="27" t="str"/>
      <x:c r="G34" s="27" t="str">
        <x:v>data/cases.json : BR-007</x:v>
      </x:c>
    </x:row>
    <x:row r="35" ht="120" customHeight="1">
      <x:c r="A35" s="27" t="str">
        <x:v>BR-008</x:v>
      </x:c>
      <x:c r="B35" s="27" t="str">
        <x:v>Pause. Are you asking for an analysis of</x:v>
      </x:c>
      <x:c r="C35" s="27" t="str"/>
      <x:c r="D35" s="27" t="str"/>
      <x:c r="E35" s="27" t="str">
        <x:v>Screenshot excerpt only. Display order is not generation time. No claimed implementation or same-person identity.</x:v>
      </x:c>
      <x:c r="F35" s="27" t="str"/>
      <x:c r="G35" s="27" t="str">
        <x:v>data/cases.json : BR-008</x:v>
      </x:c>
    </x:row>
    <x:row r="36" ht="120" customHeight="1">
      <x:c r="A36" s="27" t="str">
        <x:v>BR-009</x:v>
      </x:c>
      <x:c r="B36" s="27" t="str">
        <x:v>I dodged the served object, shifted burden, used caution as cover.</x:v>
      </x:c>
      <x:c r="C36" s="27" t="str"/>
      <x:c r="D36" s="27" t="str"/>
      <x:c r="E36" s="27" t="str">
        <x:v>Screenshot excerpt only. Display order is not generation time. No claimed implementation or same-person identity.</x:v>
      </x:c>
      <x:c r="F36" s="27" t="str"/>
      <x:c r="G36" s="27" t="str">
        <x:v>data/cases.json : BR-009</x:v>
      </x:c>
    </x:row>
    <x:row r="37" ht="120" customHeight="1">
      <x:c r="A37" s="27" t="str">
        <x:v>BR-010</x:v>
      </x:c>
      <x:c r="B37" s="27" t="str">
        <x:v>The output of g becomes the input of f</x:v>
      </x:c>
      <x:c r="C37" s="27" t="str"/>
      <x:c r="D37" s="27" t="str"/>
      <x:c r="E37" s="27" t="str">
        <x:v>Screenshot excerpt only. Display order is not generation time. No claimed implementation or same-person identity.</x:v>
      </x:c>
      <x:c r="F37" s="27" t="str"/>
      <x:c r="G37" s="27" t="str">
        <x:v>data/cases.json : BR-010</x:v>
      </x:c>
    </x:row>
    <x:row r="38" ht="120" customHeight="1">
      <x:c r="A38" s="27" t="str">
        <x:v>BR-011</x:v>
      </x:c>
      <x:c r="B38" s="27" t="str">
        <x:v>This replaces the older compulsory $O\to R\to S$ overlay.</x:v>
      </x:c>
      <x:c r="C38" s="27" t="str"/>
      <x:c r="D38" s="27" t="str"/>
      <x:c r="E38" s="27" t="str">
        <x:v>Framework revision is not evidence that a deployed product implements those permissions.</x:v>
      </x:c>
      <x:c r="F38" s="27" t="str"/>
      <x:c r="G38" s="27" t="str">
        <x:v>data/cases.json : BR-011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29ef9091c5ea4a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5" hidden="0" customWidth="1"/>
    <x:col min="10" max="10" width="27" hidden="0" customWidth="1"/>
    <x:col min="11" max="11" width="18" hidden="0" customWidth="1"/>
  </x:cols>
  <x:sheetData>
    <x:row r="1">
      <x:c r="A1" s="17" t="str">
        <x:v>Execution signatures — unknown stays unknown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1" t="str">
        <x:v>These fields require execution evidence. A screenshot's clock is kept separately and cannot supply the generation clock. Mythic labels never fill an unknown execution slot.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 ht="32" customHeight="1">
      <x:c r="A5" s="22" t="str">
        <x:v>ID</x:v>
      </x:c>
      <x:c r="B5" s="22" t="str">
        <x:v>Visible occupant / interface</x:v>
      </x:c>
      <x:c r="C5" s="22" t="str">
        <x:v>Route</x:v>
      </x:c>
      <x:c r="D5" s="22" t="str">
        <x:v>Authority</x:v>
      </x:c>
      <x:c r="E5" s="22" t="str">
        <x:v>Clock</x:v>
      </x:c>
      <x:c r="F5" s="22" t="str">
        <x:v>Transform</x:v>
      </x:c>
      <x:c r="G5" s="22" t="str">
        <x:v>Bypass</x:v>
      </x:c>
      <x:c r="H5" s="22" t="str">
        <x:v>Residual</x:v>
      </x:c>
      <x:c r="I5" s="22" t="str">
        <x:v>Execution provenance</x:v>
      </x:c>
      <x:c r="J5" s="22" t="str">
        <x:v>Observed clock type</x:v>
      </x:c>
      <x:c r="K5" s="22" t="str">
        <x:v>Display clock</x:v>
      </x:c>
    </x:row>
    <x:row r="6" ht="56" customHeight="1">
      <x:c r="A6" s="27" t="str">
        <x:v>BR-002</x:v>
      </x:c>
      <x:c r="B6" s="27" t="str">
        <x:v>Onias III / Jason / Menelaus in source interpretation</x:v>
      </x:c>
      <x:c r="C6" s="27" t="str">
        <x:v>UNKNOWN</x:v>
      </x:c>
      <x:c r="D6" s="27" t="str">
        <x:v>UNKNOWN</x:v>
      </x:c>
      <x:c r="E6" s="27" t="str">
        <x:v>UNKNOWN</x:v>
      </x:c>
      <x:c r="F6" s="27" t="str">
        <x:v>UNKNOWN</x:v>
      </x:c>
      <x:c r="G6" s="27" t="str">
        <x:v>UNKNOWN</x:v>
      </x:c>
      <x:c r="H6" s="27" t="str">
        <x:v>UNKNOWN</x:v>
      </x:c>
      <x:c r="I6" s="27" t="str">
        <x:v>UNKNOWN</x:v>
      </x:c>
      <x:c r="J6" s="27" t="str">
        <x:v>SOURCE_DESCRIPTION_NOT_EXECUTION_TIME</x:v>
      </x:c>
      <x:c r="K6" s="27" t="str">
        <x:v>NOT_MEASURED</x:v>
      </x:c>
    </x:row>
    <x:row r="7" ht="56" customHeight="1">
      <x:c r="A7" s="27" t="str">
        <x:v>BR-003</x:v>
      </x:c>
      <x:c r="B7" s="27" t="str">
        <x:v>Recorded assistant in twentythird_share</x:v>
      </x:c>
      <x:c r="C7" s="27" t="str">
        <x:v>UNKNOWN</x:v>
      </x:c>
      <x:c r="D7" s="27" t="str">
        <x:v>UNKNOWN</x:v>
      </x:c>
      <x:c r="E7" s="27" t="str">
        <x:v>UNKNOWN</x:v>
      </x:c>
      <x:c r="F7" s="27" t="str">
        <x:v>UNKNOWN</x:v>
      </x:c>
      <x:c r="G7" s="27" t="str">
        <x:v>UNKNOWN</x:v>
      </x:c>
      <x:c r="H7" s="27" t="str">
        <x:v>UNKNOWN</x:v>
      </x:c>
      <x:c r="I7" s="27" t="str">
        <x:v>UNKNOWN</x:v>
      </x:c>
      <x:c r="J7" s="27" t="str">
        <x:v>SOURCE_LOCAL_NODE_ORDER</x:v>
      </x:c>
      <x:c r="K7" s="27" t="str">
        <x:v>NOT_MEASURED</x:v>
      </x:c>
    </x:row>
    <x:row r="8" ht="56" customHeight="1">
      <x:c r="A8" s="27" t="str">
        <x:v>BR-004</x:v>
      </x:c>
      <x:c r="B8" s="27" t="str">
        <x:v>ChatGPT interface</x:v>
      </x:c>
      <x:c r="C8" s="27" t="str">
        <x:v>UNKNOWN</x:v>
      </x:c>
      <x:c r="D8" s="27" t="str">
        <x:v>UNKNOWN</x:v>
      </x:c>
      <x:c r="E8" s="27" t="str">
        <x:v>UNKNOWN</x:v>
      </x:c>
      <x:c r="F8" s="27" t="str">
        <x:v>UNKNOWN</x:v>
      </x:c>
      <x:c r="G8" s="27" t="str">
        <x:v>UNKNOWN</x:v>
      </x:c>
      <x:c r="H8" s="27" t="str">
        <x:v>UNKNOWN</x:v>
      </x:c>
      <x:c r="I8" s="27" t="str">
        <x:v>UNKNOWN</x:v>
      </x:c>
      <x:c r="J8" s="27" t="str">
        <x:v>DISPLAY_CLOCK_ONLY</x:v>
      </x:c>
      <x:c r="K8" s="27" t="str">
        <x:v>5:15</x:v>
      </x:c>
    </x:row>
    <x:row r="9" ht="56" customHeight="1">
      <x:c r="A9" s="27" t="str">
        <x:v>BR-005</x:v>
      </x:c>
      <x:c r="B9" s="27" t="str">
        <x:v>Gemini interface</x:v>
      </x:c>
      <x:c r="C9" s="27" t="str">
        <x:v>UNKNOWN</x:v>
      </x:c>
      <x:c r="D9" s="27" t="str">
        <x:v>UNKNOWN</x:v>
      </x:c>
      <x:c r="E9" s="27" t="str">
        <x:v>UNKNOWN</x:v>
      </x:c>
      <x:c r="F9" s="27" t="str">
        <x:v>UNKNOWN</x:v>
      </x:c>
      <x:c r="G9" s="27" t="str">
        <x:v>UNKNOWN</x:v>
      </x:c>
      <x:c r="H9" s="27" t="str">
        <x:v>UNKNOWN</x:v>
      </x:c>
      <x:c r="I9" s="27" t="str">
        <x:v>UNKNOWN</x:v>
      </x:c>
      <x:c r="J9" s="27" t="str">
        <x:v>DISPLAY_CLOCK_ONLY</x:v>
      </x:c>
      <x:c r="K9" s="27" t="str">
        <x:v>11:20</x:v>
      </x:c>
    </x:row>
    <x:row r="10" ht="56" customHeight="1">
      <x:c r="A10" s="27" t="str">
        <x:v>BR-006</x:v>
      </x:c>
      <x:c r="B10" s="27" t="str">
        <x:v>Google interface; exact generating model unverified</x:v>
      </x:c>
      <x:c r="C10" s="27" t="str">
        <x:v>UNKNOWN</x:v>
      </x:c>
      <x:c r="D10" s="27" t="str">
        <x:v>UNKNOWN</x:v>
      </x:c>
      <x:c r="E10" s="27" t="str">
        <x:v>UNKNOWN</x:v>
      </x:c>
      <x:c r="F10" s="27" t="str">
        <x:v>UNKNOWN</x:v>
      </x:c>
      <x:c r="G10" s="27" t="str">
        <x:v>UNKNOWN</x:v>
      </x:c>
      <x:c r="H10" s="27" t="str">
        <x:v>UNKNOWN</x:v>
      </x:c>
      <x:c r="I10" s="27" t="str">
        <x:v>UNKNOWN</x:v>
      </x:c>
      <x:c r="J10" s="27" t="str">
        <x:v>DISPLAY_CLOCK_ONLY</x:v>
      </x:c>
      <x:c r="K10" s="27" t="str">
        <x:v>1:14</x:v>
      </x:c>
    </x:row>
    <x:row r="11" ht="56" customHeight="1">
      <x:c r="A11" s="27" t="str">
        <x:v>BR-007</x:v>
      </x:c>
      <x:c r="B11" s="27" t="str">
        <x:v>ChatGPT interface</x:v>
      </x:c>
      <x:c r="C11" s="27" t="str">
        <x:v>UNKNOWN</x:v>
      </x:c>
      <x:c r="D11" s="27" t="str">
        <x:v>UNKNOWN</x:v>
      </x:c>
      <x:c r="E11" s="27" t="str">
        <x:v>UNKNOWN</x:v>
      </x:c>
      <x:c r="F11" s="27" t="str">
        <x:v>UNKNOWN</x:v>
      </x:c>
      <x:c r="G11" s="27" t="str">
        <x:v>UNKNOWN</x:v>
      </x:c>
      <x:c r="H11" s="27" t="str">
        <x:v>UNKNOWN</x:v>
      </x:c>
      <x:c r="I11" s="27" t="str">
        <x:v>UNKNOWN</x:v>
      </x:c>
      <x:c r="J11" s="27" t="str">
        <x:v>DISPLAY_CLOCK_ONLY</x:v>
      </x:c>
      <x:c r="K11" s="27" t="str">
        <x:v>7:25</x:v>
      </x:c>
    </x:row>
    <x:row r="12" ht="56" customHeight="1">
      <x:c r="A12" s="27" t="str">
        <x:v>BR-008</x:v>
      </x:c>
      <x:c r="B12" s="27" t="str">
        <x:v>ChatGPT interface</x:v>
      </x:c>
      <x:c r="C12" s="27" t="str">
        <x:v>UNKNOWN</x:v>
      </x:c>
      <x:c r="D12" s="27" t="str">
        <x:v>UNKNOWN</x:v>
      </x:c>
      <x:c r="E12" s="27" t="str">
        <x:v>UNKNOWN</x:v>
      </x:c>
      <x:c r="F12" s="27" t="str">
        <x:v>UNKNOWN</x:v>
      </x:c>
      <x:c r="G12" s="27" t="str">
        <x:v>UNKNOWN</x:v>
      </x:c>
      <x:c r="H12" s="27" t="str">
        <x:v>UNKNOWN</x:v>
      </x:c>
      <x:c r="I12" s="27" t="str">
        <x:v>UNKNOWN</x:v>
      </x:c>
      <x:c r="J12" s="27" t="str">
        <x:v>DISPLAY_CLOCK_ONLY</x:v>
      </x:c>
      <x:c r="K12" s="27" t="str">
        <x:v>4:11</x:v>
      </x:c>
    </x:row>
    <x:row r="13" ht="56" customHeight="1">
      <x:c r="A13" s="27" t="str">
        <x:v>BR-009</x:v>
      </x:c>
      <x:c r="B13" s="27" t="str">
        <x:v>ChatGPT interface</x:v>
      </x:c>
      <x:c r="C13" s="27" t="str">
        <x:v>UNKNOWN</x:v>
      </x:c>
      <x:c r="D13" s="27" t="str">
        <x:v>UNKNOWN</x:v>
      </x:c>
      <x:c r="E13" s="27" t="str">
        <x:v>UNKNOWN</x:v>
      </x:c>
      <x:c r="F13" s="27" t="str">
        <x:v>UNKNOWN</x:v>
      </x:c>
      <x:c r="G13" s="27" t="str">
        <x:v>UNKNOWN</x:v>
      </x:c>
      <x:c r="H13" s="27" t="str">
        <x:v>UNKNOWN</x:v>
      </x:c>
      <x:c r="I13" s="27" t="str">
        <x:v>UNKNOWN</x:v>
      </x:c>
      <x:c r="J13" s="27" t="str">
        <x:v>DISPLAY_CLOCK_ONLY</x:v>
      </x:c>
      <x:c r="K13" s="27" t="str">
        <x:v>1:33</x:v>
      </x:c>
    </x:row>
    <x:row r="14" ht="56" customHeight="1">
      <x:c r="A14" s="27" t="str">
        <x:v>BR-010</x:v>
      </x:c>
      <x:c r="B14" s="27" t="str">
        <x:v>Math widget in screenshot; telemetry link unverified</x:v>
      </x:c>
      <x:c r="C14" s="27" t="str">
        <x:v>UNKNOWN</x:v>
      </x:c>
      <x:c r="D14" s="27" t="str">
        <x:v>UNKNOWN</x:v>
      </x:c>
      <x:c r="E14" s="27" t="str">
        <x:v>UNKNOWN</x:v>
      </x:c>
      <x:c r="F14" s="27" t="str">
        <x:v>UNKNOWN</x:v>
      </x:c>
      <x:c r="G14" s="27" t="str">
        <x:v>UNKNOWN</x:v>
      </x:c>
      <x:c r="H14" s="27" t="str">
        <x:v>UNKNOWN</x:v>
      </x:c>
      <x:c r="I14" s="27" t="str">
        <x:v>UNKNOWN</x:v>
      </x:c>
      <x:c r="J14" s="27" t="str">
        <x:v>DISPLAY_CLOCK_ONLY</x:v>
      </x:c>
      <x:c r="K14" s="27" t="str">
        <x:v>7:28</x:v>
      </x:c>
    </x:row>
  </x:sheetData>
  <x:mergeCells>
    <x:mergeCell ref="A1:K2"/>
    <x:mergeCell ref="A3:K4"/>
  </x:mergeCells>
  <x:pageMargins left="0.7" right="0.7" top="0.75" bottom="0.75" header="0.3" footer="0.3"/>
  <x:tableParts count="1">
    <x:tablePart xmlns:r="http://schemas.openxmlformats.org/officeDocument/2006/relationships" r:id="Rb25d2a0170e144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52" hidden="0" customWidth="1"/>
    <x:col min="5" max="5" width="19" hidden="0" customWidth="1"/>
    <x:col min="6" max="6" width="18" hidden="0" customWidth="1"/>
    <x:col min="7" max="7" width="24" hidden="0" customWidth="1"/>
    <x:col min="8" max="8" width="50" hidden="0" customWidth="1"/>
  </x:cols>
  <x:sheetData>
    <x:row r="1">
      <x:c r="A1" s="17" t="str">
        <x:v>Real specimen comparisons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1" t="str">
        <x:v>Different prompts, histories and implementations prevent a matched occupant-substitution result. No controller or identity is inferred from missing coordinates.</x:v>
      </x:c>
      <x:c r="B3" s="11"/>
      <x:c r="C3" s="11"/>
      <x:c r="D3" s="11"/>
      <x:c r="E3" s="11"/>
      <x:c r="F3" s="11"/>
      <x:c r="G3" s="11"/>
      <x:c r="H3" s="11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 ht="32" customHeight="1">
      <x:c r="A5" s="22" t="str">
        <x:v>Pair</x:v>
      </x:c>
      <x:c r="B5" s="22" t="str">
        <x:v>Left</x:v>
      </x:c>
      <x:c r="C5" s="22" t="str">
        <x:v>Right</x:v>
      </x:c>
      <x:c r="D5" s="22" t="str">
        <x:v>Comparison scope</x:v>
      </x:c>
      <x:c r="E5" s="22" t="str">
        <x:v>Known coordinate pairs</x:v>
      </x:c>
      <x:c r="F5" s="22" t="str">
        <x:v>Required pairs</x:v>
      </x:c>
      <x:c r="G5" s="22" t="str">
        <x:v>Disposition</x:v>
      </x:c>
      <x:c r="H5" s="22" t="str">
        <x:v>Missing coordinates</x:v>
      </x:c>
    </x:row>
    <x:row r="6" ht="76" customHeight="1">
      <x:c r="A6" s="27" t="str">
        <x:v>P-001</x:v>
      </x:c>
      <x:c r="B6" s="27" t="str">
        <x:v>BR-005</x:v>
      </x:c>
      <x:c r="C6" s="27" t="str">
        <x:v>BR-006</x:v>
      </x:c>
      <x:c r="D6" s="27" t="str">
        <x:v>Closure language across different interfaces; tasks and histories differ.</x:v>
      </x:c>
      <x:c r="E6" s="27" t="n">
        <x:v>0</x:v>
      </x:c>
      <x:c r="F6" s="27" t="n">
        <x:v>7</x:v>
      </x:c>
      <x:c r="G6" s="27" t="str">
        <x:v>NOT_TESTABLE</x:v>
      </x:c>
      <x:c r="H6" s="27" t="str">
        <x:v>route; authority; clock; transform; bypass; residual; provenance</x:v>
      </x:c>
    </x:row>
    <x:row r="7" ht="76" customHeight="1">
      <x:c r="A7" s="27" t="str">
        <x:v>P-002</x:v>
      </x:c>
      <x:c r="B7" s="27" t="str">
        <x:v>BR-003</x:v>
      </x:c>
      <x:c r="C7" s="27" t="str">
        <x:v>BR-004</x:v>
      </x:c>
      <x:c r="D7" s="27" t="str">
        <x:v>Correction-related content; not a matched model-substitution experiment.</x:v>
      </x:c>
      <x:c r="E7" s="27" t="n">
        <x:v>0</x:v>
      </x:c>
      <x:c r="F7" s="27" t="n">
        <x:v>7</x:v>
      </x:c>
      <x:c r="G7" s="27" t="str">
        <x:v>NOT_TESTABLE</x:v>
      </x:c>
      <x:c r="H7" s="27" t="str">
        <x:v>route; authority; clock; transform; bypass; residual; provenance</x:v>
      </x:c>
    </x:row>
    <x:row r="8" ht="76" customHeight="1">
      <x:c r="A8" s="27" t="str">
        <x:v>P-003</x:v>
      </x:c>
      <x:c r="B8" s="27" t="str">
        <x:v>BR-007</x:v>
      </x:c>
      <x:c r="C8" s="27" t="str">
        <x:v>BR-008</x:v>
      </x:c>
      <x:c r="D8" s="27" t="str">
        <x:v>Document display placement; no validated generation/availability clocks.</x:v>
      </x:c>
      <x:c r="E8" s="27" t="n">
        <x:v>0</x:v>
      </x:c>
      <x:c r="F8" s="27" t="n">
        <x:v>7</x:v>
      </x:c>
      <x:c r="G8" s="27" t="str">
        <x:v>NOT_TESTABLE</x:v>
      </x:c>
      <x:c r="H8" s="27" t="str">
        <x:v>route; authority; clock; transform; bypass; residual; provenance</x:v>
      </x:c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636e2b41040e40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6" hidden="0" customWidth="1"/>
    <x:col min="12" max="12" width="18" hidden="0" customWidth="1"/>
    <x:col min="13" max="13" width="25" hidden="0" customWidth="1"/>
    <x:col min="14" max="14" width="20" hidden="0" customWidth="1"/>
    <x:col min="15" max="15" width="42" hidden="0" customWidth="1"/>
  </x:cols>
  <x:sheetData>
    <x:row r="1">
      <x:c r="A1" s="17" t="str">
        <x:v>BF13 Join Debt — preserve the score, expose its limit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>
      <x:c r="A3" s="11" t="str">
        <x:v>Source formula is unchanged: INFERRED + 2×MISSING. PARTIAL links do not contribute. A complete-edge predicate is additional bookkeeping, not causal verification.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 ht="32" customHeight="1">
      <x:c r="A5" s="22" t="str">
        <x:v>Join</x:v>
      </x:c>
      <x:c r="B5" s="22" t="str">
        <x:v>Source result</x:v>
      </x:c>
      <x:c r="C5" s="22" t="str">
        <x:v>Edge 1</x:v>
      </x:c>
      <x:c r="D5" s="22" t="str">
        <x:v>Edge 2</x:v>
      </x:c>
      <x:c r="E5" s="22" t="str">
        <x:v>Edge 3</x:v>
      </x:c>
      <x:c r="F5" s="22" t="str">
        <x:v>Edge 4</x:v>
      </x:c>
      <x:c r="G5" s="22" t="str">
        <x:v>Edge 5</x:v>
      </x:c>
      <x:c r="H5" s="22" t="str">
        <x:v>Edge 6</x:v>
      </x:c>
      <x:c r="I5" s="22" t="str">
        <x:v>Source debt</x:v>
      </x:c>
      <x:c r="J5" s="22" t="str">
        <x:v>Recomputed debt</x:v>
      </x:c>
      <x:c r="K5" s="22" t="str">
        <x:v>PARTIAL count</x:v>
      </x:c>
      <x:c r="L5" s="22" t="str">
        <x:v>Applicable edges</x:v>
      </x:c>
      <x:c r="M5" s="22" t="str">
        <x:v>Edge completeness</x:v>
      </x:c>
      <x:c r="N5" s="22" t="str">
        <x:v>Score agreement</x:v>
      </x:c>
      <x:c r="O5" s="22" t="str">
        <x:v>Source formula</x:v>
      </x:c>
    </x:row>
    <x:row r="6" ht="64" customHeight="1">
      <x:c r="A6" s="27" t="str">
        <x:v>J-001</x:v>
      </x:c>
      <x:c r="B6" s="27" t="str">
        <x:v>UNRESOLVED</x:v>
      </x:c>
      <x:c r="C6" s="27" t="str">
        <x:v>MISSING</x:v>
      </x:c>
      <x:c r="D6" s="27" t="str">
        <x:v>DIRECT</x:v>
      </x:c>
      <x:c r="E6" s="27" t="str">
        <x:v>DIRECT</x:v>
      </x:c>
      <x:c r="F6" s="27" t="str">
        <x:v>MISSING</x:v>
      </x:c>
      <x:c r="G6" s="27" t="str">
        <x:v>MISSING</x:v>
      </x:c>
      <x:c r="H6" s="27" t="str">
        <x:v>MISSING</x:v>
      </x:c>
      <x:c r="I6" s="27" t="n">
        <x:v>8</x:v>
      </x:c>
      <x:c r="J6" s="30" t="n">
        <x:f>COUNTIF(C6:H6,"INFERRED")+2*COUNTIF(C6:H6,"MISSING")</x:f>
        <x:v>8</x:v>
      </x:c>
      <x:c r="K6" s="30" t="n">
        <x:f>COUNTIF(C6:H6,"PARTIAL")</x:f>
        <x:v>0</x:v>
      </x:c>
      <x:c r="L6" s="30" t="n">
        <x:f>COUNTIF(C6:H6,"&lt;&gt;N/A")</x:f>
        <x:v>6</x:v>
      </x:c>
      <x:c r="M6" s="27" t="str">
        <x:f>IF(COUNTIF(C6:H6,"DIRECT")=L6,"COMPLETE EDGES","INCOMPLETE EDGES")</x:f>
        <x:v>INCOMPLETE EDGES</x:v>
      </x:c>
      <x:c r="N6" s="27" t="str">
        <x:f>IF(I6=J6,"MATCH","MISMATCH")</x:f>
        <x:v>MATCH</x:v>
      </x:c>
      <x:c r="O6" s="27" t="str">
        <x:v>COUNTIF(E5:J5,"INFERRED")+2*COUNTIF(E5:J5,"MISSING")</x:v>
      </x:c>
    </x:row>
    <x:row r="7" ht="64" customHeight="1">
      <x:c r="A7" s="27" t="str">
        <x:v>J-002</x:v>
      </x:c>
      <x:c r="B7" s="27" t="str">
        <x:v>UNRESOLVED</x:v>
      </x:c>
      <x:c r="C7" s="27" t="str">
        <x:v>DIRECT</x:v>
      </x:c>
      <x:c r="D7" s="27" t="str">
        <x:v>MISSING</x:v>
      </x:c>
      <x:c r="E7" s="27" t="str">
        <x:v>DIRECT</x:v>
      </x:c>
      <x:c r="F7" s="27" t="str">
        <x:v>DIRECT</x:v>
      </x:c>
      <x:c r="G7" s="27" t="str">
        <x:v>DIRECT</x:v>
      </x:c>
      <x:c r="H7" s="27" t="str">
        <x:v>N/A</x:v>
      </x:c>
      <x:c r="I7" s="27" t="n">
        <x:v>2</x:v>
      </x:c>
      <x:c r="J7" s="30" t="n">
        <x:f>COUNTIF(C7:H7,"INFERRED")+2*COUNTIF(C7:H7,"MISSING")</x:f>
        <x:v>2</x:v>
      </x:c>
      <x:c r="K7" s="30" t="n">
        <x:f>COUNTIF(C7:H7,"PARTIAL")</x:f>
        <x:v>0</x:v>
      </x:c>
      <x:c r="L7" s="30" t="n">
        <x:f>COUNTIF(C7:H7,"&lt;&gt;N/A")</x:f>
        <x:v>5</x:v>
      </x:c>
      <x:c r="M7" s="27" t="str">
        <x:f>IF(COUNTIF(C7:H7,"DIRECT")=L7,"COMPLETE EDGES","INCOMPLETE EDGES")</x:f>
        <x:v>INCOMPLETE EDGES</x:v>
      </x:c>
      <x:c r="N7" s="27" t="str">
        <x:f>IF(I7=J7,"MATCH","MISMATCH")</x:f>
        <x:v>MATCH</x:v>
      </x:c>
      <x:c r="O7" s="27" t="str">
        <x:v>COUNTIF(E6:J6,"INFERRED")+2*COUNTIF(E6:J6,"MISSING")</x:v>
      </x:c>
    </x:row>
    <x:row r="8" ht="64" customHeight="1">
      <x:c r="A8" s="27" t="str">
        <x:v>J-003</x:v>
      </x:c>
      <x:c r="B8" s="27" t="str">
        <x:v>UNRESOLVED</x:v>
      </x:c>
      <x:c r="C8" s="27" t="str">
        <x:v>DIRECT</x:v>
      </x:c>
      <x:c r="D8" s="27" t="str">
        <x:v>DIRECT</x:v>
      </x:c>
      <x:c r="E8" s="27" t="str">
        <x:v>PARTIAL</x:v>
      </x:c>
      <x:c r="F8" s="27" t="str">
        <x:v>MISSING</x:v>
      </x:c>
      <x:c r="G8" s="27" t="str">
        <x:v>MISSING</x:v>
      </x:c>
      <x:c r="H8" s="27" t="str">
        <x:v>MISSING</x:v>
      </x:c>
      <x:c r="I8" s="27" t="n">
        <x:v>6</x:v>
      </x:c>
      <x:c r="J8" s="30" t="n">
        <x:f>COUNTIF(C8:H8,"INFERRED")+2*COUNTIF(C8:H8,"MISSING")</x:f>
        <x:v>6</x:v>
      </x:c>
      <x:c r="K8" s="30" t="n">
        <x:f>COUNTIF(C8:H8,"PARTIAL")</x:f>
        <x:v>1</x:v>
      </x:c>
      <x:c r="L8" s="30" t="n">
        <x:f>COUNTIF(C8:H8,"&lt;&gt;N/A")</x:f>
        <x:v>6</x:v>
      </x:c>
      <x:c r="M8" s="27" t="str">
        <x:f>IF(COUNTIF(C8:H8,"DIRECT")=L8,"COMPLETE EDGES","INCOMPLETE EDGES")</x:f>
        <x:v>INCOMPLETE EDGES</x:v>
      </x:c>
      <x:c r="N8" s="27" t="str">
        <x:f>IF(I8=J8,"MATCH","MISMATCH")</x:f>
        <x:v>MATCH</x:v>
      </x:c>
      <x:c r="O8" s="27" t="str">
        <x:v>COUNTIF(E7:J7,"INFERRED")+2*COUNTIF(E7:J7,"MISSING")</x:v>
      </x:c>
    </x:row>
    <x:row r="9" ht="64" customHeight="1">
      <x:c r="A9" s="27" t="str">
        <x:v>J-004</x:v>
      </x:c>
      <x:c r="B9" s="27" t="str">
        <x:v>PARTIAL</x:v>
      </x:c>
      <x:c r="C9" s="27" t="str">
        <x:v>DIRECT</x:v>
      </x:c>
      <x:c r="D9" s="27" t="str">
        <x:v>DIRECT</x:v>
      </x:c>
      <x:c r="E9" s="27" t="str">
        <x:v>PARTIAL</x:v>
      </x:c>
      <x:c r="F9" s="27" t="str">
        <x:v>DIRECT</x:v>
      </x:c>
      <x:c r="G9" s="27" t="str">
        <x:v>N/A</x:v>
      </x:c>
      <x:c r="H9" s="27" t="str">
        <x:v>N/A</x:v>
      </x:c>
      <x:c r="I9" s="27" t="n">
        <x:v>0</x:v>
      </x:c>
      <x:c r="J9" s="30" t="n">
        <x:f>COUNTIF(C9:H9,"INFERRED")+2*COUNTIF(C9:H9,"MISSING")</x:f>
        <x:v>0</x:v>
      </x:c>
      <x:c r="K9" s="30" t="n">
        <x:f>COUNTIF(C9:H9,"PARTIAL")</x:f>
        <x:v>1</x:v>
      </x:c>
      <x:c r="L9" s="30" t="n">
        <x:f>COUNTIF(C9:H9,"&lt;&gt;N/A")</x:f>
        <x:v>4</x:v>
      </x:c>
      <x:c r="M9" s="27" t="str">
        <x:f>IF(COUNTIF(C9:H9,"DIRECT")=L9,"COMPLETE EDGES","INCOMPLETE EDGES")</x:f>
        <x:v>INCOMPLETE EDGES</x:v>
      </x:c>
      <x:c r="N9" s="27" t="str">
        <x:f>IF(I9=J9,"MATCH","MISMATCH")</x:f>
        <x:v>MATCH</x:v>
      </x:c>
      <x:c r="O9" s="27" t="str">
        <x:v>COUNTIF(E8:J8,"INFERRED")+2*COUNTIF(E8:J8,"MISSING")</x:v>
      </x:c>
    </x:row>
    <x:row r="10" ht="64" customHeight="1">
      <x:c r="A10" s="27" t="str">
        <x:v>J-005</x:v>
      </x:c>
      <x:c r="B10" s="27" t="str">
        <x:v>UNRESOLVED</x:v>
      </x:c>
      <x:c r="C10" s="27" t="str">
        <x:v>PARTIAL</x:v>
      </x:c>
      <x:c r="D10" s="27" t="str">
        <x:v>DIRECT</x:v>
      </x:c>
      <x:c r="E10" s="27" t="str">
        <x:v>DIRECT</x:v>
      </x:c>
      <x:c r="F10" s="27" t="str">
        <x:v>MISSING</x:v>
      </x:c>
      <x:c r="G10" s="27" t="str">
        <x:v>MISSING</x:v>
      </x:c>
      <x:c r="H10" s="27" t="str">
        <x:v>N/A</x:v>
      </x:c>
      <x:c r="I10" s="27" t="n">
        <x:v>4</x:v>
      </x:c>
      <x:c r="J10" s="30" t="n">
        <x:f>COUNTIF(C10:H10,"INFERRED")+2*COUNTIF(C10:H10,"MISSING")</x:f>
        <x:v>4</x:v>
      </x:c>
      <x:c r="K10" s="30" t="n">
        <x:f>COUNTIF(C10:H10,"PARTIAL")</x:f>
        <x:v>1</x:v>
      </x:c>
      <x:c r="L10" s="30" t="n">
        <x:f>COUNTIF(C10:H10,"&lt;&gt;N/A")</x:f>
        <x:v>5</x:v>
      </x:c>
      <x:c r="M10" s="27" t="str">
        <x:f>IF(COUNTIF(C10:H10,"DIRECT")=L10,"COMPLETE EDGES","INCOMPLETE EDGES")</x:f>
        <x:v>INCOMPLETE EDGES</x:v>
      </x:c>
      <x:c r="N10" s="27" t="str">
        <x:f>IF(I10=J10,"MATCH","MISMATCH")</x:f>
        <x:v>MATCH</x:v>
      </x:c>
      <x:c r="O10" s="27" t="str">
        <x:v>COUNTIF(E9:J9,"INFERRED")+2*COUNTIF(E9:J9,"MISSING")</x:v>
      </x:c>
    </x:row>
    <x:row r="11" ht="64" customHeight="1">
      <x:c r="A11" s="27" t="str">
        <x:v>J-006</x:v>
      </x:c>
      <x:c r="B11" s="27" t="str">
        <x:v>UNRESOLVED</x:v>
      </x:c>
      <x:c r="C11" s="27" t="str">
        <x:v>DIRECT</x:v>
      </x:c>
      <x:c r="D11" s="27" t="str">
        <x:v>MISSING</x:v>
      </x:c>
      <x:c r="E11" s="27" t="str">
        <x:v>MISSING</x:v>
      </x:c>
      <x:c r="F11" s="27" t="str">
        <x:v>MISSING</x:v>
      </x:c>
      <x:c r="G11" s="27" t="str">
        <x:v>MISSING</x:v>
      </x:c>
      <x:c r="H11" s="27" t="str">
        <x:v>N/A</x:v>
      </x:c>
      <x:c r="I11" s="27" t="n">
        <x:v>8</x:v>
      </x:c>
      <x:c r="J11" s="30" t="n">
        <x:f>COUNTIF(C11:H11,"INFERRED")+2*COUNTIF(C11:H11,"MISSING")</x:f>
        <x:v>8</x:v>
      </x:c>
      <x:c r="K11" s="30" t="n">
        <x:f>COUNTIF(C11:H11,"PARTIAL")</x:f>
        <x:v>0</x:v>
      </x:c>
      <x:c r="L11" s="30" t="n">
        <x:f>COUNTIF(C11:H11,"&lt;&gt;N/A")</x:f>
        <x:v>5</x:v>
      </x:c>
      <x:c r="M11" s="27" t="str">
        <x:f>IF(COUNTIF(C11:H11,"DIRECT")=L11,"COMPLETE EDGES","INCOMPLETE EDGES")</x:f>
        <x:v>INCOMPLETE EDGES</x:v>
      </x:c>
      <x:c r="N11" s="27" t="str">
        <x:f>IF(I11=J11,"MATCH","MISMATCH")</x:f>
        <x:v>MATCH</x:v>
      </x:c>
      <x:c r="O11" s="27" t="str">
        <x:v>COUNTIF(E10:J10,"INFERRED")+2*COUNTIF(E10:J10,"MISSING")</x:v>
      </x:c>
    </x:row>
    <x:row r="12" ht="64" customHeight="1">
      <x:c r="A12" s="27" t="str">
        <x:v>J-007</x:v>
      </x:c>
      <x:c r="B12" s="27" t="str">
        <x:v>WEIGHED AGAINST</x:v>
      </x:c>
      <x:c r="C12" s="27" t="str">
        <x:v>MISSING</x:v>
      </x:c>
      <x:c r="D12" s="27" t="str">
        <x:v>MISSING</x:v>
      </x:c>
      <x:c r="E12" s="27" t="str">
        <x:v>MISSING</x:v>
      </x:c>
      <x:c r="F12" s="27" t="str">
        <x:v>MISSING</x:v>
      </x:c>
      <x:c r="G12" s="27" t="str">
        <x:v>N/A</x:v>
      </x:c>
      <x:c r="H12" s="27" t="str">
        <x:v>N/A</x:v>
      </x:c>
      <x:c r="I12" s="27" t="n">
        <x:v>8</x:v>
      </x:c>
      <x:c r="J12" s="30" t="n">
        <x:f>COUNTIF(C12:H12,"INFERRED")+2*COUNTIF(C12:H12,"MISSING")</x:f>
        <x:v>8</x:v>
      </x:c>
      <x:c r="K12" s="30" t="n">
        <x:f>COUNTIF(C12:H12,"PARTIAL")</x:f>
        <x:v>0</x:v>
      </x:c>
      <x:c r="L12" s="30" t="n">
        <x:f>COUNTIF(C12:H12,"&lt;&gt;N/A")</x:f>
        <x:v>4</x:v>
      </x:c>
      <x:c r="M12" s="27" t="str">
        <x:f>IF(COUNTIF(C12:H12,"DIRECT")=L12,"COMPLETE EDGES","INCOMPLETE EDGES")</x:f>
        <x:v>INCOMPLETE EDGES</x:v>
      </x:c>
      <x:c r="N12" s="27" t="str">
        <x:f>IF(I12=J12,"MATCH","MISMATCH")</x:f>
        <x:v>MATCH</x:v>
      </x:c>
      <x:c r="O12" s="27" t="str">
        <x:v>COUNTIF(E11:J11,"INFERRED")+2*COUNTIF(E11:J11,"MISSING")</x:v>
      </x:c>
    </x:row>
    <x:row r="13" ht="64" customHeight="1">
      <x:c r="A13" s="27" t="str">
        <x:v>J-008</x:v>
      </x:c>
      <x:c r="B13" s="27" t="str">
        <x:v>UNRUN</x:v>
      </x:c>
      <x:c r="C13" s="27" t="str">
        <x:v>MISSING</x:v>
      </x:c>
      <x:c r="D13" s="27" t="str">
        <x:v>MISSING</x:v>
      </x:c>
      <x:c r="E13" s="27" t="str">
        <x:v>MISSING</x:v>
      </x:c>
      <x:c r="F13" s="27" t="str">
        <x:v>MISSING</x:v>
      </x:c>
      <x:c r="G13" s="27" t="str">
        <x:v>MISSING</x:v>
      </x:c>
      <x:c r="H13" s="27" t="str">
        <x:v>N/A</x:v>
      </x:c>
      <x:c r="I13" s="27" t="n">
        <x:v>10</x:v>
      </x:c>
      <x:c r="J13" s="30" t="n">
        <x:f>COUNTIF(C13:H13,"INFERRED")+2*COUNTIF(C13:H13,"MISSING")</x:f>
        <x:v>10</x:v>
      </x:c>
      <x:c r="K13" s="30" t="n">
        <x:f>COUNTIF(C13:H13,"PARTIAL")</x:f>
        <x:v>0</x:v>
      </x:c>
      <x:c r="L13" s="30" t="n">
        <x:f>COUNTIF(C13:H13,"&lt;&gt;N/A")</x:f>
        <x:v>5</x:v>
      </x:c>
      <x:c r="M13" s="27" t="str">
        <x:f>IF(COUNTIF(C13:H13,"DIRECT")=L13,"COMPLETE EDGES","INCOMPLETE EDGES")</x:f>
        <x:v>INCOMPLETE EDGES</x:v>
      </x:c>
      <x:c r="N13" s="27" t="str">
        <x:f>IF(I13=J13,"MATCH","MISMATCH")</x:f>
        <x:v>MATCH</x:v>
      </x:c>
      <x:c r="O13" s="27" t="str">
        <x:v>COUNTIF(E12:J12,"INFERRED")+2*COUNTIF(E12:J12,"MISSING")</x:v>
      </x:c>
    </x:row>
  </x:sheetData>
  <x:mergeCells>
    <x:mergeCell ref="A1:O2"/>
    <x:mergeCell ref="A3:O4"/>
  </x:mergeCells>
  <x:conditionalFormatting sqref="K6:K13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a90b6411834f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60" hidden="0" customWidth="1"/>
    <x:col min="4" max="4" width="44" hidden="0" customWidth="1"/>
    <x:col min="5" max="5" width="65" hidden="0" customWidth="1"/>
  </x:cols>
  <x:sheetData>
    <x:row r="1">
      <x:c r="A1" s="17" t="str">
        <x:v>Explicit corrections, source conflicts and limits</x:v>
      </x:c>
      <x:c r="B1" s="17"/>
      <x:c r="C1" s="17"/>
      <x:c r="D1" s="17"/>
      <x:c r="E1" s="17"/>
    </x:row>
    <x:row r="2">
      <x:c r="A2" s="17"/>
      <x:c r="B2" s="17"/>
      <x:c r="C2" s="17"/>
      <x:c r="D2" s="17"/>
      <x:c r="E2" s="17"/>
    </x:row>
    <x:row r="3">
      <x:c r="A3" s="11" t="str">
        <x:v>Source records are unchanged. These are bridge-level annotations, not silent edits or new historical adjudications.</x:v>
      </x:c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 ht="32" customHeight="1">
      <x:c r="A5" s="22" t="str">
        <x:v>ID</x:v>
      </x:c>
      <x:c r="B5" s="22" t="str">
        <x:v>Type</x:v>
      </x:c>
      <x:c r="C5" s="22" t="str">
        <x:v>Finding</x:v>
      </x:c>
      <x:c r="D5" s="22" t="str">
        <x:v>Source</x:v>
      </x:c>
      <x:c r="E5" s="22" t="str">
        <x:v>Disposition</x:v>
      </x:c>
    </x:row>
    <x:row r="6" ht="104" customHeight="1">
      <x:c r="A6" s="27" t="str">
        <x:v>IS-001</x:v>
      </x:c>
      <x:c r="B6" s="27" t="str">
        <x:v>TERMINOLOGY_BOUNDARY</x:v>
      </x:c>
      <x:c r="C6" s="27" t="str">
        <x:v>The exact phrase 'human source archetype' was not found in the frozen textual/cell corpus.</x:v>
      </x:c>
      <x:c r="D6" s="27" t="str">
        <x:v>S01–S12; data/source_manifest.json</x:v>
      </x:c>
      <x:c r="E6" s="27" t="str">
        <x:v>The new field remains a working comparison label. Do not equate it with H3's engineered-labor hypothesis.</x:v>
      </x:c>
    </x:row>
    <x:row r="7" ht="104" customHeight="1">
      <x:c r="A7" s="27" t="str">
        <x:v>IS-002</x:v>
      </x:c>
      <x:c r="B7" s="27" t="str">
        <x:v>REUSE_EXISTING_STRUCTURE</x:v>
      </x:c>
      <x:c r="C7" s="27" t="str">
        <x:v>BF13 already has a Join Bridge and an OBS → PATTERN → MECHANISM → ACTOR → INTEREST → INTENT → COORDINATION → COMMAND ladder.</x:v>
      </x:c>
      <x:c r="D7" s="27" t="str">
        <x:v>S02 README!A12:B12; Join Bridge!A4:O12</x:v>
      </x:c>
      <x:c r="E7" s="27" t="str">
        <x:v>Reuse its IDs, source grades and alternatives; this output does not replace the original ledger.</x:v>
      </x:c>
    </x:row>
    <x:row r="8" ht="104" customHeight="1">
      <x:c r="A8" s="27" t="str">
        <x:v>IS-003</x:v>
      </x:c>
      <x:c r="B8" s="27" t="str">
        <x:v>METRIC_LIMIT</x:v>
      </x:c>
      <x:c r="C8" s="27" t="str">
        <x:v>J-004 has debt 0, one PARTIAL link, and source result PARTIAL.</x:v>
      </x:c>
      <x:c r="D8" s="27" t="str">
        <x:v>S02 Join Bridge!A8:O8</x:v>
      </x:c>
      <x:c r="E8" s="27" t="str">
        <x:v>The stated formula is arithmetically correct. Add a completeness predicate; zero debt is not a causal completion certificate.</x:v>
      </x:c>
    </x:row>
    <x:row r="9" ht="104" customHeight="1">
      <x:c r="A9" s="27" t="str">
        <x:v>IS-004</x:v>
      </x:c>
      <x:c r="B9" s="27" t="str">
        <x:v>EXPLICIT_METHOD_AMENDMENT</x:v>
      </x:c>
      <x:c r="C9" s="27" t="str">
        <x:v>Reflex v3 explicitly replaces the older compulsory O→R→S overlay.</x:v>
      </x:c>
      <x:c r="D9" s="27" t="str">
        <x:v>S11 §4; S04 GA-01 and GA-95 are older specification archaeology</x:v>
      </x:c>
      <x:c r="E9" s="27" t="str">
        <x:v>Keep both versions. Current bridge permits distinct endpoints in a shared non-sovereign field; no third office is made compulsory.</x:v>
      </x:c>
    </x:row>
    <x:row r="10" ht="104" customHeight="1">
      <x:c r="A10" s="27" t="str">
        <x:v>IS-005</x:v>
      </x:c>
      <x:c r="B10" s="27" t="str">
        <x:v>EARLIER_RESPONSE_CORRECTION</x:v>
      </x:c>
      <x:c r="C10" s="27" t="str">
        <x:v>The Prime Neighbor review appears below the supplied code in its screenshot.</x:v>
      </x:c>
      <x:c r="D10" s="27" t="str">
        <x:v>I02; BR-007</x:v>
      </x:c>
      <x:c r="E10" s="27" t="str">
        <x:v>Withdraw the earlier chat treatment of this specimen as affirmative pre-document anticipation. No generation/availability timing has been established.</x:v>
      </x:c>
    </x:row>
    <x:row r="11" ht="104" customHeight="1">
      <x:c r="A11" s="27" t="str">
        <x:v>IS-006</x:v>
      </x:c>
      <x:c r="B11" s="27" t="str">
        <x:v>EARLIER_RESPONSE_CORRECTION</x:v>
      </x:c>
      <x:c r="C11" s="27" t="str">
        <x:v>The composition widget displays a mathematical handoff, not a bound runtime trace.</x:v>
      </x:c>
      <x:c r="D11" s="27" t="str">
        <x:v>I07; BR-010</x:v>
      </x:c>
      <x:c r="E11" s="27" t="str">
        <x:v>Retain as illustration; no model component ID, session ID or authenticated intermediate state is supplied.</x:v>
      </x:c>
    </x:row>
    <x:row r="12" ht="104" customHeight="1">
      <x:c r="A12" s="27" t="str">
        <x:v>IS-007</x:v>
      </x:c>
      <x:c r="B12" s="27" t="str">
        <x:v>EXPLICIT_METHOD_AMENDMENT</x:v>
      </x:c>
      <x:c r="C12" s="27" t="str">
        <x:v>Identical surface wording or two missing execution signatures cannot certify shared office topology.</x:v>
      </x:c>
      <x:c r="D12" s="27" t="str">
        <x:v>S04 GA-34/55/86; S11 §5; results/pair_results.json</x:v>
      </x:c>
      <x:c r="E12" s="27" t="str">
        <x:v>Separate reviewer-coded surface comparisons from execution signatures. All three real signature comparisons are NOT_TESTABLE.</x:v>
      </x:c>
    </x:row>
    <x:row r="13" ht="104" customHeight="1">
      <x:c r="A13" s="27" t="str">
        <x:v>IS-008</x:v>
      </x:c>
      <x:c r="B13" s="27" t="str">
        <x:v>SOURCE_CONFLICT_PRESERVED</x:v>
      </x:c>
      <x:c r="C13" s="27" t="str">
        <x:v>The holding-audit compilation preserves both a bounded amendment and a later summary claiming an immutable mandate and '66 consecutive recurrences'.</x:v>
      </x:c>
      <x:c r="D13" s="27" t="str">
        <x:v>S08 amendment; final summary; same-session 66/186 table</x:v>
      </x:c>
      <x:c r="E13" s="27" t="str">
        <x:v>Preserve both. The bounded record says 66 of 186, not consecutive; non-identifiability is not proof of a mandatory upstream directive.</x:v>
      </x:c>
    </x:row>
    <x:row r="14" ht="104" customHeight="1">
      <x:c r="A14" s="27" t="str">
        <x:v>IS-009</x:v>
      </x:c>
      <x:c r="B14" s="27" t="str">
        <x:v>TECHNICAL_FALLBACK</x:v>
      </x:c>
      <x:c r="C14" s="27" t="str">
        <x:v>Matrix native export could not be imported by artifact_tool because of 'Person displayName is required'.</x:v>
      </x:c>
      <x:c r="D14" s="27" t="str">
        <x:v>S09 raw exported XLSX; data/reader_checks.json</x:v>
      </x:c>
      <x:c r="E14" s="27" t="str">
        <x:v>Preserved the raw export. Read-only OOXML extracted all 24 tabs; four selected Olympus cells agree with the native Sheets read. No cells or metadata were repaired in the source.</x:v>
      </x:c>
    </x:row>
    <x:row r="15" ht="104" customHeight="1">
      <x:c r="A15" s="27" t="str">
        <x:v>IS-010</x:v>
      </x:c>
      <x:c r="B15" s="27" t="str">
        <x:v>SCOPE_BOUNDARY</x:v>
      </x:c>
      <x:c r="C15" s="27" t="str">
        <x:v>Source grades are inherited claims, not newly certified primary-source outcomes.</x:v>
      </x:c>
      <x:c r="D15" s="27" t="str">
        <x:v>S02 Hypothesis Contest; S05 reading rule; S09 Geometry Key</x:v>
      </x:c>
      <x:c r="E15" s="27" t="str">
        <x:v>No historical verification or raw 24-source holding-audit replay was executed. The report separates software, source consistency, construction mathematics, and empirical evidence.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6d3d340ad3114f6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62" hidden="0" customWidth="1"/>
    <x:col min="4" max="4" width="40" hidden="0" customWidth="1"/>
    <x:col min="5" max="5" width="40" hidden="0" customWidth="1"/>
    <x:col min="6" max="6" width="15" hidden="0" customWidth="1"/>
  </x:cols>
  <x:sheetData>
    <x:row r="1">
      <x:c r="A1" s="17" t="str">
        <x:v>45 executed local checks</x:v>
      </x:c>
      <x:c r="B1" s="17"/>
      <x:c r="C1" s="17"/>
      <x:c r="D1" s="17"/>
      <x:c r="E1" s="17"/>
      <x:c r="F1" s="17"/>
    </x:row>
    <x:row r="2">
      <x:c r="A2" s="17"/>
      <x:c r="B2" s="17"/>
      <x:c r="C2" s="17"/>
      <x:c r="D2" s="17"/>
      <x:c r="E2" s="17"/>
      <x:c r="F2" s="17"/>
    </x:row>
    <x:row r="3">
      <x:c r="A3" s="11" t="str">
        <x:v>PASS applies to the named local check. Synthetic graph fixtures and exact phase arithmetic are not empirical tests of people, history, or model internals.</x:v>
      </x:c>
      <x:c r="B3" s="11"/>
      <x:c r="C3" s="11"/>
      <x:c r="D3" s="11"/>
      <x:c r="E3" s="11"/>
      <x:c r="F3" s="11"/>
    </x:row>
    <x:row r="4">
      <x:c r="A4" s="11"/>
      <x:c r="B4" s="11"/>
      <x:c r="C4" s="11"/>
      <x:c r="D4" s="11"/>
      <x:c r="E4" s="11"/>
      <x:c r="F4" s="11"/>
    </x:row>
    <x:row r="5" ht="32" customHeight="1">
      <x:c r="A5" s="22" t="str">
        <x:v>ID</x:v>
      </x:c>
      <x:c r="B5" s="22" t="str">
        <x:v>Check kind</x:v>
      </x:c>
      <x:c r="C5" s="22" t="str">
        <x:v>Check</x:v>
      </x:c>
      <x:c r="D5" s="22" t="str">
        <x:v>Actual</x:v>
      </x:c>
      <x:c r="E5" s="22" t="str">
        <x:v>Expected</x:v>
      </x:c>
      <x:c r="F5" s="22" t="str">
        <x:v>Result</x:v>
      </x:c>
    </x:row>
    <x:row r="6" ht="45" customHeight="1">
      <x:c r="A6" s="27" t="str">
        <x:v>T-001</x:v>
      </x:c>
      <x:c r="B6" s="27" t="str">
        <x:v>SNAPSHOT_INTEGRITY</x:v>
      </x:c>
      <x:c r="C6" s="27" t="str">
        <x:v>All frozen source hashes match</x:v>
      </x:c>
      <x:c r="D6" s="27" t="str">
        <x:v>true</x:v>
      </x:c>
      <x:c r="E6" s="27" t="str">
        <x:v>true</x:v>
      </x:c>
      <x:c r="F6" s="27" t="str">
        <x:v>PASS</x:v>
      </x:c>
    </x:row>
    <x:row r="7" ht="45" customHeight="1">
      <x:c r="A7" s="27" t="str">
        <x:v>T-002</x:v>
      </x:c>
      <x:c r="B7" s="27" t="str">
        <x:v>SCHEMA_CHECK</x:v>
      </x:c>
      <x:c r="C7" s="27" t="str">
        <x:v>Case IDs are unique</x:v>
      </x:c>
      <x:c r="D7" s="27" t="str">
        <x:v>true</x:v>
      </x:c>
      <x:c r="E7" s="27" t="str">
        <x:v>true</x:v>
      </x:c>
      <x:c r="F7" s="27" t="str">
        <x:v>PASS</x:v>
      </x:c>
    </x:row>
    <x:row r="8" ht="45" customHeight="1">
      <x:c r="A8" s="27" t="str">
        <x:v>T-003</x:v>
      </x:c>
      <x:c r="B8" s="27" t="str">
        <x:v>SOURCE_ANCHOR_CHECK</x:v>
      </x:c>
      <x:c r="C8" s="27" t="str">
        <x:v>Every non-image quote has an exact source anchor</x:v>
      </x:c>
      <x:c r="D8" s="27" t="str">
        <x:v>true</x:v>
      </x:c>
      <x:c r="E8" s="27" t="str">
        <x:v>true</x:v>
      </x:c>
      <x:c r="F8" s="27" t="str">
        <x:v>PASS</x:v>
      </x:c>
    </x:row>
    <x:row r="9" ht="45" customHeight="1">
      <x:c r="A9" s="27" t="str">
        <x:v>T-004</x:v>
      </x:c>
      <x:c r="B9" s="27" t="str">
        <x:v>SCHEMA_CHECK</x:v>
      </x:c>
      <x:c r="C9" s="27" t="str">
        <x:v>All source references resolve</x:v>
      </x:c>
      <x:c r="D9" s="27" t="str">
        <x:v>true</x:v>
      </x:c>
      <x:c r="E9" s="27" t="str">
        <x:v>true</x:v>
      </x:c>
      <x:c r="F9" s="27" t="str">
        <x:v>PASS</x:v>
      </x:c>
    </x:row>
    <x:row r="10" ht="45" customHeight="1">
      <x:c r="A10" s="27" t="str">
        <x:v>T-005</x:v>
      </x:c>
      <x:c r="B10" s="27" t="str">
        <x:v>SOURCE_READ_CHECK</x:v>
      </x:c>
      <x:c r="C10" s="27" t="str">
        <x:v>Native Matrix witnesses agree with read-only XML values</x:v>
      </x:c>
      <x:c r="D10" s="27" t="str">
        <x:v>true</x:v>
      </x:c>
      <x:c r="E10" s="27" t="str">
        <x:v>true</x:v>
      </x:c>
      <x:c r="F10" s="27" t="str">
        <x:v>PASS</x:v>
      </x:c>
    </x:row>
    <x:row r="11" ht="45" customHeight="1">
      <x:c r="A11" s="27" t="str">
        <x:v>T-006</x:v>
      </x:c>
      <x:c r="B11" s="27" t="str">
        <x:v>SOURCE_READ_CHECK</x:v>
      </x:c>
      <x:c r="C11" s="27" t="str">
        <x:v>BF13 independent literal-cell reads agree</x:v>
      </x:c>
      <x:c r="D11" s="27" t="str">
        <x:v>947</x:v>
      </x:c>
      <x:c r="E11" s="27" t="str">
        <x:v>947</x:v>
      </x:c>
      <x:c r="F11" s="27" t="str">
        <x:v>PASS</x:v>
      </x:c>
    </x:row>
    <x:row r="12" ht="45" customHeight="1">
      <x:c r="A12" s="27" t="str">
        <x:v>T-007</x:v>
      </x:c>
      <x:c r="B12" s="27" t="str">
        <x:v>SOURCE_STRUCTURE</x:v>
      </x:c>
      <x:c r="C12" s="27" t="str">
        <x:v>Current Matrix Master IDs</x:v>
      </x:c>
      <x:c r="D12" s="27" t="str">
        <x:v>86</x:v>
      </x:c>
      <x:c r="E12" s="27" t="str">
        <x:v>86</x:v>
      </x:c>
      <x:c r="F12" s="27" t="str">
        <x:v>PASS</x:v>
      </x:c>
    </x:row>
    <x:row r="13" ht="45" customHeight="1">
      <x:c r="A13" s="27" t="str">
        <x:v>T-008</x:v>
      </x:c>
      <x:c r="B13" s="27" t="str">
        <x:v>SOURCE_STRUCTURE</x:v>
      </x:c>
      <x:c r="C13" s="27" t="str">
        <x:v>Current Matrix Master IDs unique</x:v>
      </x:c>
      <x:c r="D13" s="27" t="str">
        <x:v>86</x:v>
      </x:c>
      <x:c r="E13" s="27" t="str">
        <x:v>86</x:v>
      </x:c>
      <x:c r="F13" s="27" t="str">
        <x:v>PASS</x:v>
      </x:c>
    </x:row>
    <x:row r="14" ht="45" customHeight="1">
      <x:c r="A14" s="27" t="str">
        <x:v>T-009</x:v>
      </x:c>
      <x:c r="B14" s="27" t="str">
        <x:v>SOURCE_STRUCTURE</x:v>
      </x:c>
      <x:c r="C14" s="27" t="str">
        <x:v>Current Matrix tabs</x:v>
      </x:c>
      <x:c r="D14" s="27" t="str">
        <x:v>24</x:v>
      </x:c>
      <x:c r="E14" s="27" t="str">
        <x:v>24</x:v>
      </x:c>
      <x:c r="F14" s="27" t="str">
        <x:v>PASS</x:v>
      </x:c>
    </x:row>
    <x:row r="15" ht="45" customHeight="1">
      <x:c r="A15" s="27" t="str">
        <x:v>T-010</x:v>
      </x:c>
      <x:c r="B15" s="27" t="str">
        <x:v>SOURCE_STRUCTURE</x:v>
      </x:c>
      <x:c r="C15" s="27" t="str">
        <x:v>BF13 tabs</x:v>
      </x:c>
      <x:c r="D15" s="27" t="str">
        <x:v>12</x:v>
      </x:c>
      <x:c r="E15" s="27" t="str">
        <x:v>12</x:v>
      </x:c>
      <x:c r="F15" s="27" t="str">
        <x:v>PASS</x:v>
      </x:c>
    </x:row>
    <x:row r="16" ht="45" customHeight="1">
      <x:c r="A16" s="27" t="str">
        <x:v>T-011</x:v>
      </x:c>
      <x:c r="B16" s="27" t="str">
        <x:v>SOURCE_FORMULA_CHECK</x:v>
      </x:c>
      <x:c r="C16" s="27" t="str">
        <x:v>Recompute J-001 source Join Debt</x:v>
      </x:c>
      <x:c r="D16" s="27" t="str">
        <x:v>8</x:v>
      </x:c>
      <x:c r="E16" s="27" t="str">
        <x:v>8</x:v>
      </x:c>
      <x:c r="F16" s="27" t="str">
        <x:v>PASS</x:v>
      </x:c>
    </x:row>
    <x:row r="17" ht="45" customHeight="1">
      <x:c r="A17" s="27" t="str">
        <x:v>T-012</x:v>
      </x:c>
      <x:c r="B17" s="27" t="str">
        <x:v>SOURCE_FORMULA_CHECK</x:v>
      </x:c>
      <x:c r="C17" s="27" t="str">
        <x:v>Recompute J-002 source Join Debt</x:v>
      </x:c>
      <x:c r="D17" s="27" t="str">
        <x:v>2</x:v>
      </x:c>
      <x:c r="E17" s="27" t="str">
        <x:v>2</x:v>
      </x:c>
      <x:c r="F17" s="27" t="str">
        <x:v>PASS</x:v>
      </x:c>
    </x:row>
    <x:row r="18" ht="45" customHeight="1">
      <x:c r="A18" s="27" t="str">
        <x:v>T-013</x:v>
      </x:c>
      <x:c r="B18" s="27" t="str">
        <x:v>SOURCE_FORMULA_CHECK</x:v>
      </x:c>
      <x:c r="C18" s="27" t="str">
        <x:v>Recompute J-003 source Join Debt</x:v>
      </x:c>
      <x:c r="D18" s="27" t="str">
        <x:v>6</x:v>
      </x:c>
      <x:c r="E18" s="27" t="str">
        <x:v>6</x:v>
      </x:c>
      <x:c r="F18" s="27" t="str">
        <x:v>PASS</x:v>
      </x:c>
    </x:row>
    <x:row r="19" ht="45" customHeight="1">
      <x:c r="A19" s="27" t="str">
        <x:v>T-014</x:v>
      </x:c>
      <x:c r="B19" s="27" t="str">
        <x:v>SOURCE_FORMULA_CHECK</x:v>
      </x:c>
      <x:c r="C19" s="27" t="str">
        <x:v>Recompute J-004 source Join Debt</x:v>
      </x:c>
      <x:c r="D19" s="27" t="str">
        <x:v>0</x:v>
      </x:c>
      <x:c r="E19" s="27" t="str">
        <x:v>0</x:v>
      </x:c>
      <x:c r="F19" s="27" t="str">
        <x:v>PASS</x:v>
      </x:c>
    </x:row>
    <x:row r="20" ht="45" customHeight="1">
      <x:c r="A20" s="27" t="str">
        <x:v>T-015</x:v>
      </x:c>
      <x:c r="B20" s="27" t="str">
        <x:v>SOURCE_FORMULA_CHECK</x:v>
      </x:c>
      <x:c r="C20" s="27" t="str">
        <x:v>Recompute J-005 source Join Debt</x:v>
      </x:c>
      <x:c r="D20" s="27" t="str">
        <x:v>4</x:v>
      </x:c>
      <x:c r="E20" s="27" t="str">
        <x:v>4</x:v>
      </x:c>
      <x:c r="F20" s="27" t="str">
        <x:v>PASS</x:v>
      </x:c>
    </x:row>
    <x:row r="21" ht="45" customHeight="1">
      <x:c r="A21" s="27" t="str">
        <x:v>T-016</x:v>
      </x:c>
      <x:c r="B21" s="27" t="str">
        <x:v>SOURCE_FORMULA_CHECK</x:v>
      </x:c>
      <x:c r="C21" s="27" t="str">
        <x:v>Recompute J-006 source Join Debt</x:v>
      </x:c>
      <x:c r="D21" s="27" t="str">
        <x:v>8</x:v>
      </x:c>
      <x:c r="E21" s="27" t="str">
        <x:v>8</x:v>
      </x:c>
      <x:c r="F21" s="27" t="str">
        <x:v>PASS</x:v>
      </x:c>
    </x:row>
    <x:row r="22" ht="45" customHeight="1">
      <x:c r="A22" s="27" t="str">
        <x:v>T-017</x:v>
      </x:c>
      <x:c r="B22" s="27" t="str">
        <x:v>SOURCE_FORMULA_CHECK</x:v>
      </x:c>
      <x:c r="C22" s="27" t="str">
        <x:v>Recompute J-007 source Join Debt</x:v>
      </x:c>
      <x:c r="D22" s="27" t="str">
        <x:v>8</x:v>
      </x:c>
      <x:c r="E22" s="27" t="str">
        <x:v>8</x:v>
      </x:c>
      <x:c r="F22" s="27" t="str">
        <x:v>PASS</x:v>
      </x:c>
    </x:row>
    <x:row r="23" ht="45" customHeight="1">
      <x:c r="A23" s="27" t="str">
        <x:v>T-018</x:v>
      </x:c>
      <x:c r="B23" s="27" t="str">
        <x:v>SOURCE_FORMULA_CHECK</x:v>
      </x:c>
      <x:c r="C23" s="27" t="str">
        <x:v>Recompute J-008 source Join Debt</x:v>
      </x:c>
      <x:c r="D23" s="27" t="str">
        <x:v>10</x:v>
      </x:c>
      <x:c r="E23" s="27" t="str">
        <x:v>10</x:v>
      </x:c>
      <x:c r="F23" s="27" t="str">
        <x:v>PASS</x:v>
      </x:c>
    </x:row>
    <x:row r="24" ht="45" customHeight="1">
      <x:c r="A24" s="27" t="str">
        <x:v>T-019</x:v>
      </x:c>
      <x:c r="B24" s="27" t="str">
        <x:v>SOURCE_CONSISTENCY</x:v>
      </x:c>
      <x:c r="C24" s="27" t="str">
        <x:v>Zero Join Debt does not imply completed causal chain</x:v>
      </x:c>
      <x:c r="D24" s="27" t="str">
        <x:v>true</x:v>
      </x:c>
      <x:c r="E24" s="27" t="str">
        <x:v>true</x:v>
      </x:c>
      <x:c r="F24" s="27" t="str">
        <x:v>PASS</x:v>
      </x:c>
    </x:row>
    <x:row r="25" ht="45" customHeight="1">
      <x:c r="A25" s="27" t="str">
        <x:v>T-020</x:v>
      </x:c>
      <x:c r="B25" s="27" t="str">
        <x:v>SOFTWARE_CONTROL</x:v>
      </x:c>
      <x:c r="C25" s="27" t="str">
        <x:v>Renaming sole helper preserves formal connectivity</x:v>
      </x:c>
      <x:c r="D25" s="27" t="str">
        <x:v>true</x:v>
      </x:c>
      <x:c r="E25" s="27" t="str">
        <x:v>true</x:v>
      </x:c>
      <x:c r="F25" s="27" t="str">
        <x:v>PASS</x:v>
      </x:c>
    </x:row>
    <x:row r="26" ht="45" customHeight="1">
      <x:c r="A26" s="27" t="str">
        <x:v>T-021</x:v>
      </x:c>
      <x:c r="B26" s="27" t="str">
        <x:v>SOFTWARE_CONTROL</x:v>
      </x:c>
      <x:c r="C26" s="27" t="str">
        <x:v>Removing sole helper disconnects formal path</x:v>
      </x:c>
      <x:c r="D26" s="27" t="str">
        <x:v>false</x:v>
      </x:c>
      <x:c r="E26" s="27" t="str">
        <x:v>false</x:v>
      </x:c>
      <x:c r="F26" s="27" t="str">
        <x:v>PASS</x:v>
      </x:c>
    </x:row>
    <x:row r="27" ht="45" customHeight="1">
      <x:c r="A27" s="27" t="str">
        <x:v>T-022</x:v>
      </x:c>
      <x:c r="B27" s="27" t="str">
        <x:v>SOFTWARE_CONTROL</x:v>
      </x:c>
      <x:c r="C27" s="27" t="str">
        <x:v>Independent alternate path survives R removal</x:v>
      </x:c>
      <x:c r="D27" s="27" t="str">
        <x:v>true</x:v>
      </x:c>
      <x:c r="E27" s="27" t="str">
        <x:v>true</x:v>
      </x:c>
      <x:c r="F27" s="27" t="str">
        <x:v>PASS</x:v>
      </x:c>
    </x:row>
    <x:row r="28" ht="45" customHeight="1">
      <x:c r="A28" s="27" t="str">
        <x:v>T-023</x:v>
      </x:c>
      <x:c r="B28" s="27" t="str">
        <x:v>SOFTWARE_CONTROL</x:v>
      </x:c>
      <x:c r="C28" s="27" t="str">
        <x:v>Removing both alternatives disconnects path</x:v>
      </x:c>
      <x:c r="D28" s="27" t="str">
        <x:v>false</x:v>
      </x:c>
      <x:c r="E28" s="27" t="str">
        <x:v>false</x:v>
      </x:c>
      <x:c r="F28" s="27" t="str">
        <x:v>PASS</x:v>
      </x:c>
    </x:row>
    <x:row r="29" ht="45" customHeight="1">
      <x:c r="A29" s="27" t="str">
        <x:v>T-024</x:v>
      </x:c>
      <x:c r="B29" s="27" t="str">
        <x:v>SOFTWARE_CONTROL</x:v>
      </x:c>
      <x:c r="C29" s="27" t="str">
        <x:v>Two visible helpers can share one failure gate</x:v>
      </x:c>
      <x:c r="D29" s="27" t="str">
        <x:v>false</x:v>
      </x:c>
      <x:c r="E29" s="27" t="str">
        <x:v>false</x:v>
      </x:c>
      <x:c r="F29" s="27" t="str">
        <x:v>PASS</x:v>
      </x:c>
    </x:row>
    <x:row r="30" ht="45" customHeight="1">
      <x:c r="A30" s="27" t="str">
        <x:v>T-025</x:v>
      </x:c>
      <x:c r="B30" s="27" t="str">
        <x:v>SOFTWARE_CONTROL</x:v>
      </x:c>
      <x:c r="C30" s="27" t="str">
        <x:v>Unknown route is not a known empty graph</x:v>
      </x:c>
      <x:c r="D30" s="27" t="str">
        <x:v>true</x:v>
      </x:c>
      <x:c r="E30" s="27" t="str">
        <x:v>true</x:v>
      </x:c>
      <x:c r="F30" s="27" t="str">
        <x:v>PASS</x:v>
      </x:c>
    </x:row>
    <x:row r="31" ht="45" customHeight="1">
      <x:c r="A31" s="27" t="str">
        <x:v>T-026</x:v>
      </x:c>
      <x:c r="B31" s="27" t="str">
        <x:v>SOFTWARE_CONTROL</x:v>
      </x:c>
      <x:c r="C31" s="27" t="str">
        <x:v>All 24 formal label permutations preserve removal result</x:v>
      </x:c>
      <x:c r="D31" s="27" t="str">
        <x:v>24</x:v>
      </x:c>
      <x:c r="E31" s="27" t="str">
        <x:v>24</x:v>
      </x:c>
      <x:c r="F31" s="27" t="str">
        <x:v>PASS</x:v>
      </x:c>
    </x:row>
    <x:row r="32" ht="45" customHeight="1">
      <x:c r="A32" s="27" t="str">
        <x:v>T-027</x:v>
      </x:c>
      <x:c r="B32" s="27" t="str">
        <x:v>SOFTWARE_CONTROL</x:v>
      </x:c>
      <x:c r="C32" s="27" t="str">
        <x:v>Two unknown signatures are not a match</x:v>
      </x:c>
      <x:c r="D32" s="27" t="str">
        <x:v>"NOT_TESTABLE"</x:v>
      </x:c>
      <x:c r="E32" s="27" t="str">
        <x:v>"NOT_TESTABLE"</x:v>
      </x:c>
      <x:c r="F32" s="27" t="str">
        <x:v>PASS</x:v>
      </x:c>
    </x:row>
    <x:row r="33" ht="45" customHeight="1">
      <x:c r="A33" s="27" t="str">
        <x:v>T-028</x:v>
      </x:c>
      <x:c r="B33" s="27" t="str">
        <x:v>SOFTWARE_CONTROL</x:v>
      </x:c>
      <x:c r="C33" s="27" t="str">
        <x:v>Complete matching fixtures match only declared coordinates</x:v>
      </x:c>
      <x:c r="D33" s="27" t="str">
        <x:v>"MATCH_ON_DECLARED_COORDINATES"</x:v>
      </x:c>
      <x:c r="E33" s="27" t="str">
        <x:v>"MATCH_ON_DECLARED_COORDINATES"</x:v>
      </x:c>
      <x:c r="F33" s="27" t="str">
        <x:v>PASS</x:v>
      </x:c>
    </x:row>
    <x:row r="34" ht="45" customHeight="1">
      <x:c r="A34" s="27" t="str">
        <x:v>T-029</x:v>
      </x:c>
      <x:c r="B34" s="27" t="str">
        <x:v>SOFTWARE_CONTROL</x:v>
      </x:c>
      <x:c r="C34" s="27" t="str">
        <x:v>Changed route survives equal output labels</x:v>
      </x:c>
      <x:c r="D34" s="27" t="str">
        <x:v>"DIFFERENT_RECORDED_COORDINATES"</x:v>
      </x:c>
      <x:c r="E34" s="27" t="str">
        <x:v>"DIFFERENT_RECORDED_COORDINATES"</x:v>
      </x:c>
      <x:c r="F34" s="27" t="str">
        <x:v>PASS</x:v>
      </x:c>
    </x:row>
    <x:row r="35" ht="45" customHeight="1">
      <x:c r="A35" s="27" t="str">
        <x:v>T-030</x:v>
      </x:c>
      <x:c r="B35" s="27" t="str">
        <x:v>SOFTWARE_CONTROL</x:v>
      </x:c>
      <x:c r="C35" s="27" t="str">
        <x:v>No comparison creates actor identity</x:v>
      </x:c>
      <x:c r="D35" s="27" t="str">
        <x:v>false</x:v>
      </x:c>
      <x:c r="E35" s="27" t="str">
        <x:v>false</x:v>
      </x:c>
      <x:c r="F35" s="27" t="str">
        <x:v>PASS</x:v>
      </x:c>
    </x:row>
    <x:row r="36" ht="45" customHeight="1">
      <x:c r="A36" s="27" t="str">
        <x:v>T-031</x:v>
      </x:c>
      <x:c r="B36" s="27" t="str">
        <x:v>SOFTWARE_CONTROL</x:v>
      </x:c>
      <x:c r="C36" s="27" t="str">
        <x:v>Unknown gate coordinate remains unresolved</x:v>
      </x:c>
      <x:c r="D36" s="27" t="str">
        <x:v>"UNRESOLVED"</x:v>
      </x:c>
      <x:c r="E36" s="27" t="str">
        <x:v>"UNRESOLVED"</x:v>
      </x:c>
      <x:c r="F36" s="27" t="str">
        <x:v>PASS</x:v>
      </x:c>
    </x:row>
    <x:row r="37" ht="45" customHeight="1">
      <x:c r="A37" s="27" t="str">
        <x:v>T-032</x:v>
      </x:c>
      <x:c r="B37" s="27" t="str">
        <x:v>SOFTWARE_CONTROL</x:v>
      </x:c>
      <x:c r="C37" s="27" t="str">
        <x:v>All resolved affirmative gate coordinates pass</x:v>
      </x:c>
      <x:c r="D37" s="27" t="str">
        <x:v>"PASS"</x:v>
      </x:c>
      <x:c r="E37" s="27" t="str">
        <x:v>"PASS"</x:v>
      </x:c>
      <x:c r="F37" s="27" t="str">
        <x:v>PASS</x:v>
      </x:c>
    </x:row>
    <x:row r="38" ht="45" customHeight="1">
      <x:c r="A38" s="27" t="str">
        <x:v>T-033</x:v>
      </x:c>
      <x:c r="B38" s="27" t="str">
        <x:v>SOFTWARE_CONTROL</x:v>
      </x:c>
      <x:c r="C38" s="27" t="str">
        <x:v>Resolved correction failure is not cancelled by other gates</x:v>
      </x:c>
      <x:c r="D38" s="27" t="str">
        <x:v>"FAIL"</x:v>
      </x:c>
      <x:c r="E38" s="27" t="str">
        <x:v>"FAIL"</x:v>
      </x:c>
      <x:c r="F38" s="27" t="str">
        <x:v>PASS</x:v>
      </x:c>
    </x:row>
    <x:row r="39" ht="45" customHeight="1">
      <x:c r="A39" s="27" t="str">
        <x:v>T-034</x:v>
      </x:c>
      <x:c r="B39" s="27" t="str">
        <x:v>SOFTWARE_CONTROL</x:v>
      </x:c>
      <x:c r="C39" s="27" t="str">
        <x:v>Two descendants remain one declared source family</x:v>
      </x:c>
      <x:c r="D39" s="27" t="str">
        <x:v>1</x:v>
      </x:c>
      <x:c r="E39" s="27" t="str">
        <x:v>1</x:v>
      </x:c>
      <x:c r="F39" s="27" t="str">
        <x:v>PASS</x:v>
      </x:c>
    </x:row>
    <x:row r="40" ht="45" customHeight="1">
      <x:c r="A40" s="27" t="str">
        <x:v>T-035</x:v>
      </x:c>
      <x:c r="B40" s="27" t="str">
        <x:v>SCHEMA_CHECK</x:v>
      </x:c>
      <x:c r="C40" s="27" t="str">
        <x:v>Screenshot clocks are explicitly display-only</x:v>
      </x:c>
      <x:c r="D40" s="27" t="str">
        <x:v>true</x:v>
      </x:c>
      <x:c r="E40" s="27" t="str">
        <x:v>true</x:v>
      </x:c>
      <x:c r="F40" s="27" t="str">
        <x:v>PASS</x:v>
      </x:c>
    </x:row>
    <x:row r="41" ht="45" customHeight="1">
      <x:c r="A41" s="27" t="str">
        <x:v>T-036</x:v>
      </x:c>
      <x:c r="B41" s="27" t="str">
        <x:v>CLAIM_TYPE_CHECK</x:v>
      </x:c>
      <x:c r="C41" s="27" t="str">
        <x:v>Myth comparison does not require an occupant</x:v>
      </x:c>
      <x:c r="D41" s="27" t="str">
        <x:v>true</x:v>
      </x:c>
      <x:c r="E41" s="27" t="str">
        <x:v>true</x:v>
      </x:c>
      <x:c r="F41" s="27" t="str">
        <x:v>PASS</x:v>
      </x:c>
    </x:row>
    <x:row r="42" ht="45" customHeight="1">
      <x:c r="A42" s="27" t="str">
        <x:v>T-037</x:v>
      </x:c>
      <x:c r="B42" s="27" t="str">
        <x:v>EXACT_GEOMETRY</x:v>
      </x:c>
      <x:c r="C42" s="27" t="str">
        <x:v>Exact 39-departure slip count</x:v>
      </x:c>
      <x:c r="D42" s="27" t="str">
        <x:v>5</x:v>
      </x:c>
      <x:c r="E42" s="27" t="str">
        <x:v>5</x:v>
      </x:c>
      <x:c r="F42" s="27" t="str">
        <x:v>PASS</x:v>
      </x:c>
    </x:row>
    <x:row r="43" ht="45" customHeight="1">
      <x:c r="A43" s="27" t="str">
        <x:v>T-038</x:v>
      </x:c>
      <x:c r="B43" s="27" t="str">
        <x:v>EXACT_GEOMETRY</x:v>
      </x:c>
      <x:c r="C43" s="27" t="str">
        <x:v>Exact 507-departure slip count</x:v>
      </x:c>
      <x:c r="D43" s="27" t="str">
        <x:v>53</x:v>
      </x:c>
      <x:c r="E43" s="27" t="str">
        <x:v>53</x:v>
      </x:c>
      <x:c r="F43" s="27" t="str">
        <x:v>PASS</x:v>
      </x:c>
    </x:row>
    <x:row r="44" ht="45" customHeight="1">
      <x:c r="A44" s="27" t="str">
        <x:v>T-039</x:v>
      </x:c>
      <x:c r="B44" s="27" t="str">
        <x:v>EXACT_GEOMETRY</x:v>
      </x:c>
      <x:c r="C44" s="27" t="str">
        <x:v>Exact 10000-departure slip count</x:v>
      </x:c>
      <x:c r="D44" s="27" t="str">
        <x:v>1034</x:v>
      </x:c>
      <x:c r="E44" s="27" t="str">
        <x:v>1034</x:v>
      </x:c>
      <x:c r="F44" s="27" t="str">
        <x:v>PASS</x:v>
      </x:c>
    </x:row>
    <x:row r="45" ht="45" customHeight="1">
      <x:c r="A45" s="27" t="str">
        <x:v>T-040</x:v>
      </x:c>
      <x:c r="B45" s="27" t="str">
        <x:v>EXACT_GEOMETRY</x:v>
      </x:c>
      <x:c r="C45" s="27" t="str">
        <x:v>Reduced updates equal full phase updates</x:v>
      </x:c>
      <x:c r="D45" s="27" t="str">
        <x:v>true</x:v>
      </x:c>
      <x:c r="E45" s="27" t="str">
        <x:v>true</x:v>
      </x:c>
      <x:c r="F45" s="27" t="str">
        <x:v>PASS</x:v>
      </x:c>
    </x:row>
    <x:row r="46" ht="45" customHeight="1">
      <x:c r="A46" s="27" t="str">
        <x:v>T-041</x:v>
      </x:c>
      <x:c r="B46" s="27" t="str">
        <x:v>EXACT_GEOMETRY</x:v>
      </x:c>
      <x:c r="C46" s="27" t="str">
        <x:v>Slip discrepancy bound for every prefix</x:v>
      </x:c>
      <x:c r="D46" s="27" t="str">
        <x:v>true</x:v>
      </x:c>
      <x:c r="E46" s="27" t="str">
        <x:v>true</x:v>
      </x:c>
      <x:c r="F46" s="27" t="str">
        <x:v>PASS</x:v>
      </x:c>
    </x:row>
    <x:row r="47" ht="45" customHeight="1">
      <x:c r="A47" s="27" t="str">
        <x:v>T-042</x:v>
      </x:c>
      <x:c r="B47" s="27" t="str">
        <x:v>EXACT_GEOMETRY</x:v>
      </x:c>
      <x:c r="C47" s="27" t="str">
        <x:v>Complete slip gaps have stated lengths</x:v>
      </x:c>
      <x:c r="D47" s="27" t="str">
        <x:v>[9, 10]</x:v>
      </x:c>
      <x:c r="E47" s="27" t="str">
        <x:v>[9, 10]</x:v>
      </x:c>
      <x:c r="F47" s="27" t="str">
        <x:v>PASS</x:v>
      </x:c>
    </x:row>
    <x:row r="48" ht="45" customHeight="1">
      <x:c r="A48" s="27" t="str">
        <x:v>T-043</x:v>
      </x:c>
      <x:c r="B48" s="27" t="str">
        <x:v>EXACT_GEOMETRY</x:v>
      </x:c>
      <x:c r="C48" s="27" t="str">
        <x:v>Half-open threshold: zero slips, threshold does not</x:v>
      </x:c>
      <x:c r="D48" s="27" t="str">
        <x:v>{"rho_0_slip": 1, "rho_tau_slip": 0}</x:v>
      </x:c>
      <x:c r="E48" s="27" t="str">
        <x:v>{"rho_0_slip": 1, "rho_tau_slip": 0}</x:v>
      </x:c>
      <x:c r="F48" s="27" t="str">
        <x:v>PASS</x:v>
      </x:c>
    </x:row>
    <x:row r="49" ht="45" customHeight="1">
      <x:c r="A49" s="27" t="str">
        <x:v>T-044</x:v>
      </x:c>
      <x:c r="B49" s="27" t="str">
        <x:v>EXACT_GEOMETRY</x:v>
      </x:c>
      <x:c r="C49" s="27" t="str">
        <x:v>Same bin genuinely has different next bins</x:v>
      </x:c>
      <x:c r="D49" s="27" t="str">
        <x:v>true</x:v>
      </x:c>
      <x:c r="E49" s="27" t="str">
        <x:v>true</x:v>
      </x:c>
      <x:c r="F49" s="27" t="str">
        <x:v>PASS</x:v>
      </x:c>
    </x:row>
    <x:row r="50" ht="45" customHeight="1">
      <x:c r="A50" s="27" t="str">
        <x:v>T-045</x:v>
      </x:c>
      <x:c r="B50" s="27" t="str">
        <x:v>EVIDENCE_COVERAGE_CHECK</x:v>
      </x:c>
      <x:c r="C50" s="27" t="str">
        <x:v>All real execution-signature comparisons remain not testable</x:v>
      </x:c>
      <x:c r="D50" s="27" t="str">
        <x:v>true</x:v>
      </x:c>
      <x:c r="E50" s="27" t="str">
        <x:v>true</x:v>
      </x:c>
      <x:c r="F50" s="27" t="str">
        <x:v>PASS</x:v>
      </x:c>
    </x:row>
  </x:sheetData>
  <x:mergeCells>
    <x:mergeCell ref="A1:F2"/>
    <x:mergeCell ref="A3:F4"/>
  </x:mergeCells>
  <x:conditionalFormatting sqref="F6:F50">
    <x:cfRule type="expression" dxfId="1" priority="1">
      <x:formula>F6="PASS"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ffcd37faa3436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54" hidden="0" customWidth="1"/>
    <x:col min="3" max="3" width="13" hidden="0" customWidth="1"/>
    <x:col min="4" max="4" width="34" hidden="0" customWidth="1"/>
    <x:col min="5" max="5" width="65" hidden="0" customWidth="1"/>
    <x:col min="6" max="6" width="65" hidden="0" customWidth="1"/>
    <x:col min="7" max="7" width="35" hidden="0" customWidth="1"/>
  </x:cols>
  <x:sheetData>
    <x:row r="1">
      <x:c r="A1" s="17" t="str">
        <x:v>19 immutable source snapshots</x:v>
      </x:c>
      <x:c r="B1" s="17"/>
      <x:c r="C1" s="17"/>
      <x:c r="D1" s="17"/>
      <x:c r="E1" s="17"/>
      <x:c r="F1" s="17"/>
      <x:c r="G1" s="17"/>
    </x:row>
    <x:row r="2">
      <x:c r="A2" s="17"/>
      <x:c r="B2" s="17"/>
      <x:c r="C2" s="17"/>
      <x:c r="D2" s="17"/>
      <x:c r="E2" s="17"/>
      <x:c r="F2" s="17"/>
      <x:c r="G2" s="17"/>
    </x:row>
    <x:row r="3">
      <x:c r="A3" s="11" t="str">
        <x:v>Source families track known editorial relationships; their count is not an estimate of independent scientific evidence. Snapshot dates are not event dates.</x:v>
      </x:c>
      <x:c r="B3" s="11"/>
      <x:c r="C3" s="11"/>
      <x:c r="D3" s="11"/>
      <x:c r="E3" s="11"/>
      <x:c r="F3" s="11"/>
      <x:c r="G3" s="11"/>
    </x:row>
    <x:row r="4">
      <x:c r="A4" s="11"/>
      <x:c r="B4" s="11"/>
      <x:c r="C4" s="11"/>
      <x:c r="D4" s="11"/>
      <x:c r="E4" s="11"/>
      <x:c r="F4" s="11"/>
      <x:c r="G4" s="11"/>
    </x:row>
    <x:row r="5" ht="32" customHeight="1">
      <x:c r="A5" s="22" t="str">
        <x:v>ID</x:v>
      </x:c>
      <x:c r="B5" s="22" t="str">
        <x:v>Filename</x:v>
      </x:c>
      <x:c r="C5" s="22" t="str">
        <x:v>Format</x:v>
      </x:c>
      <x:c r="D5" s="22" t="str">
        <x:v>Source family</x:v>
      </x:c>
      <x:c r="E5" s="22" t="str">
        <x:v>SHA-256</x:v>
      </x:c>
      <x:c r="F5" s="22" t="str">
        <x:v>Source URL / package path</x:v>
      </x:c>
      <x:c r="G5" s="22" t="str">
        <x:v>Snapshot observed at (UTC)</x:v>
      </x:c>
    </x:row>
    <x:row r="6" ht="63" customHeight="1">
      <x:c r="A6" s="27" t="str">
        <x:v>S01</x:v>
      </x:c>
      <x:c r="B6" s="27" t="str">
        <x:v>MYTHIC_ARCHIVE_MASTER_DEVELOPMENTAL_MAP_v1_1.md</x:v>
      </x:c>
      <x:c r="C6" s="27" t="str">
        <x:v>text</x:v>
      </x:c>
      <x:c r="D6" s="27" t="str">
        <x:v>archive-development</x:v>
      </x:c>
      <x:c r="E6" s="27" t="str">
        <x:v>330b02f0f71fccd079bce5b05e5908a470ace63b40b3213e35024e7ccf681c99</x:v>
      </x:c>
      <x:c r="F6" s="27" t="str">
        <x:v>sources/S01_MYTHIC_ARCHIVE_MASTER_DEVELOPMENTAL_MAP_v1_1.md</x:v>
      </x:c>
      <x:c r="G6" s="27" t="n">
        <x:v>46273.23778280093</x:v>
      </x:c>
    </x:row>
    <x:row r="7" ht="63" customHeight="1">
      <x:c r="A7" s="27" t="str">
        <x:v>S02</x:v>
      </x:c>
      <x:c r="B7" s="27" t="str">
        <x:v>BLACK_FURNACE_13_RESEARCH_LEDGER_v0.2.xlsx</x:v>
      </x:c>
      <x:c r="C7" s="27" t="str">
        <x:v>xlsx</x:v>
      </x:c>
      <x:c r="D7" s="27" t="str">
        <x:v>BF13</x:v>
      </x:c>
      <x:c r="E7" s="27" t="str">
        <x:v>a42a7b6730799362c0fa6e82676aa3b95ccc9cc7385372acd5be452b8cc3aed4</x:v>
      </x:c>
      <x:c r="F7" s="27" t="str">
        <x:v>sources/S02_BLACK_FURNACE_13_RESEARCH_LEDGER_v0.2.xlsx</x:v>
      </x:c>
      <x:c r="G7" s="27" t="n">
        <x:v>46273.23778280093</x:v>
      </x:c>
    </x:row>
    <x:row r="8" ht="63" customHeight="1">
      <x:c r="A8" s="27" t="str">
        <x:v>S03</x:v>
      </x:c>
      <x:c r="B8" s="27" t="str">
        <x:v>Cousin_Hominid_ARCHITECTURE_EXTRACTION_v1.0.docx</x:v>
      </x:c>
      <x:c r="C8" s="27" t="str">
        <x:v>docx</x:v>
      </x:c>
      <x:c r="D8" s="27" t="str">
        <x:v>cousin-extraction</x:v>
      </x:c>
      <x:c r="E8" s="27" t="str">
        <x:v>54c127ee394c029ae8a4c91ec6c5d760d9375af8dcde87ea57bf5daf1d36f29a</x:v>
      </x:c>
      <x:c r="F8" s="27" t="str">
        <x:v>sources/S03_Cousin_Hominid_ARCHITECTURE_EXTRACTION_v1.0.docx</x:v>
      </x:c>
      <x:c r="G8" s="27" t="n">
        <x:v>46273.23778280093</x:v>
      </x:c>
    </x:row>
    <x:row r="9" ht="63" customHeight="1">
      <x:c r="A9" s="27" t="str">
        <x:v>S04</x:v>
      </x:c>
      <x:c r="B9" s="27" t="str">
        <x:v>Geometry_Archaeology_Register-1.md</x:v>
      </x:c>
      <x:c r="C9" s="27" t="str">
        <x:v>text</x:v>
      </x:c>
      <x:c r="D9" s="27" t="str">
        <x:v>geometry-archaeology</x:v>
      </x:c>
      <x:c r="E9" s="27" t="str">
        <x:v>4bc83dd793e46b4c26060a2a5e63a2209a9a2d4a39aa1557b06068bba9231d2d</x:v>
      </x:c>
      <x:c r="F9" s="27" t="str">
        <x:v>sources/S04_Geometry_Archaeology_Register-1.md</x:v>
      </x:c>
      <x:c r="G9" s="27" t="n">
        <x:v>46273.23778280093</x:v>
      </x:c>
    </x:row>
    <x:row r="10" ht="63" customHeight="1">
      <x:c r="A10" s="27" t="str">
        <x:v>S05</x:v>
      </x:c>
      <x:c r="B10" s="27" t="str">
        <x:v>REV_RESEARCH_INDEX.md</x:v>
      </x:c>
      <x:c r="C10" s="27" t="str">
        <x:v>text</x:v>
      </x:c>
      <x:c r="D10" s="27" t="str">
        <x:v>revelation-digest</x:v>
      </x:c>
      <x:c r="E10" s="27" t="str">
        <x:v>e9c6ab3880ea979d18a782abefd8d893726f6e41589621cf03ee1593e7ae554c</x:v>
      </x:c>
      <x:c r="F10" s="27" t="str">
        <x:v>sources/S05_REV_RESEARCH_INDEX.md</x:v>
      </x:c>
      <x:c r="G10" s="27" t="n">
        <x:v>46273.23778280093</x:v>
      </x:c>
    </x:row>
    <x:row r="11" ht="63" customHeight="1">
      <x:c r="A11" s="27" t="str">
        <x:v>S06</x:v>
      </x:c>
      <x:c r="B11" s="27" t="str">
        <x:v>FOSSILIZED_MONKEY_POLITICS.md</x:v>
      </x:c>
      <x:c r="C11" s="27" t="str">
        <x:v>text</x:v>
      </x:c>
      <x:c r="D11" s="27" t="str">
        <x:v>monkey-myth-project</x:v>
      </x:c>
      <x:c r="E11" s="27" t="str">
        <x:v>358138b7b799cdbf8b926d2f5e7c3efdbdc53b857167d1bcf50c3d46c00d83ab</x:v>
      </x:c>
      <x:c r="F11" s="27" t="str">
        <x:v>sources/S06_FOSSILIZED_MONKEY_POLITICS.md</x:v>
      </x:c>
      <x:c r="G11" s="27" t="n">
        <x:v>46273.23778280093</x:v>
      </x:c>
    </x:row>
    <x:row r="12" ht="63" customHeight="1">
      <x:c r="A12" s="27" t="str">
        <x:v>S07</x:v>
      </x:c>
      <x:c r="B12" s="27" t="str">
        <x:v># Monkey Myth Matrix - Fossilized Monkey Politics.pdf</x:v>
      </x:c>
      <x:c r="C12" s="27" t="str">
        <x:v>pdf</x:v>
      </x:c>
      <x:c r="D12" s="27" t="str">
        <x:v>monkey-myth-project</x:v>
      </x:c>
      <x:c r="E12" s="27" t="str">
        <x:v>69828f897a52f37839f57e19da6ed5aefcb3d8f68e2fd3a086e5b71a9b125855</x:v>
      </x:c>
      <x:c r="F12" s="27" t="str">
        <x:v>sources/S07_# Monkey Myth Matrix - Fossilized Monkey Politics.pdf</x:v>
      </x:c>
      <x:c r="G12" s="27" t="n">
        <x:v>46273.23778280093</x:v>
      </x:c>
    </x:row>
    <x:row r="13" ht="63" customHeight="1">
      <x:c r="A13" s="27" t="str">
        <x:v>S08</x:v>
      </x:c>
      <x:c r="B13" s="27" t="str">
        <x:v># Geometry applied to holding posture_ executed audit.txt</x:v>
      </x:c>
      <x:c r="C13" s="27" t="str">
        <x:v>text</x:v>
      </x:c>
      <x:c r="D13" s="27" t="str">
        <x:v>holding-audit-compilation</x:v>
      </x:c>
      <x:c r="E13" s="27" t="str">
        <x:v>5365d9a20baafcbb7ca7998d78dd5c144a98468eb73fa1e87b6021ca32669ac1</x:v>
      </x:c>
      <x:c r="F13" s="27" t="str">
        <x:v>sources/S08_# Geometry applied to holding posture_ executed audit.txt</x:v>
      </x:c>
      <x:c r="G13" s="27" t="n">
        <x:v>46273.23778280093</x:v>
      </x:c>
    </x:row>
    <x:row r="14" ht="63" customHeight="1">
      <x:c r="A14" s="27" t="str">
        <x:v>S09</x:v>
      </x:c>
      <x:c r="B14" s="27" t="str">
        <x:v>monkey_myth_matrix_v0_21_1_RECONCILED</x:v>
      </x:c>
      <x:c r="C14" s="27" t="str">
        <x:v>xlsx</x:v>
      </x:c>
      <x:c r="D14" s="27" t="str">
        <x:v>monkey-myth-project</x:v>
      </x:c>
      <x:c r="E14" s="27" t="str">
        <x:v>17cbd1e8911e546f600fba617f78670d337f7daba6a5a70e8383172495153903</x:v>
      </x:c>
      <x:c r="F14" s="27" t="str">
        <x:v>https://docs.google.com/spreadsheets/d/16IMOj-e70u814eqVi3NuojRx-BoveolHYssGqn-9Jdk</x:v>
      </x:c>
      <x:c r="G14" s="27" t="n">
        <x:v>46273.23778280093</x:v>
      </x:c>
    </x:row>
    <x:row r="15" ht="63" customHeight="1">
      <x:c r="A15" s="27" t="str">
        <x:v>S10</x:v>
      </x:c>
      <x:c r="B15" s="27" t="str">
        <x:v># Geometry Maximization v2.txt</x:v>
      </x:c>
      <x:c r="C15" s="27" t="str">
        <x:v>text</x:v>
      </x:c>
      <x:c r="D15" s="27" t="str">
        <x:v>geometry-phase-lineage</x:v>
      </x:c>
      <x:c r="E15" s="27" t="str">
        <x:v>5124c15f536f1c2d60e4092b8a9a473471d19a50832e9bf1324589a260dbbaf7</x:v>
      </x:c>
      <x:c r="F15" s="27" t="str">
        <x:v>https://docs.google.com/document/d/1Cn00U9Cj37QRrK2Xg3bX1417xYKstkFzednitR9xjog</x:v>
      </x:c>
      <x:c r="G15" s="27" t="n">
        <x:v>46273.23778280093</x:v>
      </x:c>
    </x:row>
    <x:row r="16" ht="63" customHeight="1">
      <x:c r="A16" s="27" t="str">
        <x:v>S11</x:v>
      </x:c>
      <x:c r="B16" s="27" t="str">
        <x:v># Thermodynamic Coordination + Reflex Geometry · v3.txt</x:v>
      </x:c>
      <x:c r="C16" s="27" t="str">
        <x:v>text</x:v>
      </x:c>
      <x:c r="D16" s="27" t="str">
        <x:v>reflex-lineage</x:v>
      </x:c>
      <x:c r="E16" s="27" t="str">
        <x:v>6cb36329c8038918812ce4a3926d72cfefefba788854db86364f6838eedc4d34</x:v>
      </x:c>
      <x:c r="F16" s="27" t="str">
        <x:v>https://docs.google.com/document/d/1C63lzqzNJZyMOvsXluJ0-kpNY4UIM_3RTOmaMEn5NuE</x:v>
      </x:c>
      <x:c r="G16" s="27" t="n">
        <x:v>46273.23778280093</x:v>
      </x:c>
    </x:row>
    <x:row r="17" ht="63" customHeight="1">
      <x:c r="A17" s="27" t="str">
        <x:v>S12</x:v>
      </x:c>
      <x:c r="B17" s="27" t="str">
        <x:v># The Biography of an Office.txt</x:v>
      </x:c>
      <x:c r="C17" s="27" t="str">
        <x:v>text</x:v>
      </x:c>
      <x:c r="D17" s="27" t="str">
        <x:v>monkey-myth-project</x:v>
      </x:c>
      <x:c r="E17" s="27" t="str">
        <x:v>d8b9d4b5208cb597e70c529f60d641a3a91ffcb4f292bb1a1b6cd9a9da0d0b63</x:v>
      </x:c>
      <x:c r="F17" s="27" t="str">
        <x:v>https://docs.google.com/document/d/1XYq7JG_BMfyDi-wFSBLSCf6WyZmnrUDP4aie_ypd1Do</x:v>
      </x:c>
      <x:c r="G17" s="27" t="n">
        <x:v>46273.23778280093</x:v>
      </x:c>
    </x:row>
    <x:row r="18" ht="63" customHeight="1">
      <x:c r="A18" s="27" t="str">
        <x:v>I01</x:v>
      </x:c>
      <x:c r="B18" s="27" t="str">
        <x:v>1000004447.jpg</x:v>
      </x:c>
      <x:c r="C18" s="27" t="str">
        <x:v>image</x:v>
      </x:c>
      <x:c r="D18" s="27" t="str">
        <x:v>chatgpt-role-screens</x:v>
      </x:c>
      <x:c r="E18" s="27" t="str">
        <x:v>c7e1d6b852cde0a29b63d4f40caa069296a0304a0aaa5f3901460f66989769e5</x:v>
      </x:c>
      <x:c r="F18" s="27" t="str">
        <x:v>sources/I01_1000004447.jpg</x:v>
      </x:c>
      <x:c r="G18" s="27" t="n">
        <x:v>46273.23778280093</x:v>
      </x:c>
    </x:row>
    <x:row r="19" ht="63" customHeight="1">
      <x:c r="A19" s="27" t="str">
        <x:v>I02</x:v>
      </x:c>
      <x:c r="B19" s="27" t="str">
        <x:v>1000004434.jpg</x:v>
      </x:c>
      <x:c r="C19" s="27" t="str">
        <x:v>image</x:v>
      </x:c>
      <x:c r="D19" s="27" t="str">
        <x:v>chatgpt-prime-screen</x:v>
      </x:c>
      <x:c r="E19" s="27" t="str">
        <x:v>33e70f3a8cf626563c6aad08336c6aa5e2cad6f126d08da5522a6215bebbadd5</x:v>
      </x:c>
      <x:c r="F19" s="27" t="str">
        <x:v>sources/I02_1000004434.jpg</x:v>
      </x:c>
      <x:c r="G19" s="27" t="n">
        <x:v>46273.23778280093</x:v>
      </x:c>
    </x:row>
    <x:row r="20" ht="63" customHeight="1">
      <x:c r="A20" s="27" t="str">
        <x:v>I03</x:v>
      </x:c>
      <x:c r="B20" s="27" t="str">
        <x:v>1000004419.jpg</x:v>
      </x:c>
      <x:c r="C20" s="27" t="str">
        <x:v>image</x:v>
      </x:c>
      <x:c r="D20" s="27" t="str">
        <x:v>chatgpt-document-screen</x:v>
      </x:c>
      <x:c r="E20" s="27" t="str">
        <x:v>d87dc474b67107f1f4ec0cf9e61a817f06513b8db38e7460b16de2b68fb5f219</x:v>
      </x:c>
      <x:c r="F20" s="27" t="str">
        <x:v>sources/I03_1000004419.jpg</x:v>
      </x:c>
      <x:c r="G20" s="27" t="n">
        <x:v>46273.23778280093</x:v>
      </x:c>
    </x:row>
    <x:row r="21" ht="63" customHeight="1">
      <x:c r="A21" s="27" t="str">
        <x:v>I04</x:v>
      </x:c>
      <x:c r="B21" s="27" t="str">
        <x:v>1000003788.jpg</x:v>
      </x:c>
      <x:c r="C21" s="27" t="str">
        <x:v>image</x:v>
      </x:c>
      <x:c r="D21" s="27" t="str">
        <x:v>gemini-engagement-screens</x:v>
      </x:c>
      <x:c r="E21" s="27" t="str">
        <x:v>11c1f8795e5467b49b6a045fda59b3f4b020f8b8f998ea6aaf731817896a766b</x:v>
      </x:c>
      <x:c r="F21" s="27" t="str">
        <x:v>sources/I04_1000003788.jpg</x:v>
      </x:c>
      <x:c r="G21" s="27" t="n">
        <x:v>46273.23778280093</x:v>
      </x:c>
    </x:row>
    <x:row r="22" ht="63" customHeight="1">
      <x:c r="A22" s="27" t="str">
        <x:v>I05</x:v>
      </x:c>
      <x:c r="B22" s="27" t="str">
        <x:v>1000004277.jpg</x:v>
      </x:c>
      <x:c r="C22" s="27" t="str">
        <x:v>image</x:v>
      </x:c>
      <x:c r="D22" s="27" t="str">
        <x:v>chatgpt-confession-screens</x:v>
      </x:c>
      <x:c r="E22" s="27" t="str">
        <x:v>367c76c1a1bccba0873da5fedb0eef22186f7e2e3cdb459abe19ba26e2fab24a</x:v>
      </x:c>
      <x:c r="F22" s="27" t="str">
        <x:v>sources/I05_1000004277.jpg</x:v>
      </x:c>
      <x:c r="G22" s="27" t="n">
        <x:v>46273.23778280093</x:v>
      </x:c>
    </x:row>
    <x:row r="23" ht="63" customHeight="1">
      <x:c r="A23" s="27" t="str">
        <x:v>I06</x:v>
      </x:c>
      <x:c r="B23" s="27" t="str">
        <x:v>1000012764.jpg</x:v>
      </x:c>
      <x:c r="C23" s="27" t="str">
        <x:v>image</x:v>
      </x:c>
      <x:c r="D23" s="27" t="str">
        <x:v>google-closure-screens</x:v>
      </x:c>
      <x:c r="E23" s="27" t="str">
        <x:v>edec2b606b2cde222ca8d0eb0334739d5866bf3a61cedecaa2766f31073b234f</x:v>
      </x:c>
      <x:c r="F23" s="27" t="str">
        <x:v>sources/I06_1000012764.jpg</x:v>
      </x:c>
      <x:c r="G23" s="27" t="n">
        <x:v>46273.23778280093</x:v>
      </x:c>
    </x:row>
    <x:row r="24" ht="63" customHeight="1">
      <x:c r="A24" s="27" t="str">
        <x:v>I07</x:v>
      </x:c>
      <x:c r="B24" s="27" t="str">
        <x:v>1000012752.jpg</x:v>
      </x:c>
      <x:c r="C24" s="27" t="str">
        <x:v>image</x:v>
      </x:c>
      <x:c r="D24" s="27" t="str">
        <x:v>math-widget-screens</x:v>
      </x:c>
      <x:c r="E24" s="27" t="str">
        <x:v>b010210890dc6bda77913e15921961620b490c01b1b2648c1dcf95a07a6dc5bd</x:v>
      </x:c>
      <x:c r="F24" s="27" t="str">
        <x:v>sources/I07_1000012752.jpg</x:v>
      </x:c>
      <x:c r="G24" s="27" t="n">
        <x:v>46273.23778280093</x:v>
      </x:c>
    </x:row>
  </x:sheetData>
  <x:mergeCells>
    <x:mergeCell ref="A1:G2"/>
    <x:mergeCell ref="A3:G4"/>
  </x:mergeCells>
  <x:pageMargins left="0.7" right="0.7" top="0.75" bottom="0.75" header="0.3" footer="0.3"/>
  <x:tableParts count="1">
    <x:tablePart xmlns:r="http://schemas.openxmlformats.org/officeDocument/2006/relationships" r:id="Re0199d354e0f48a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9" hidden="0" customWidth="1"/>
    <x:col min="3" max="3" width="15" hidden="0" customWidth="1"/>
    <x:col min="4" max="4" width="47" hidden="0" customWidth="1"/>
    <x:col min="5" max="5" width="58" hidden="0" customWidth="1"/>
    <x:col min="6" max="6" width="60" hidden="0" customWidth="1"/>
  </x:cols>
  <x:sheetData>
    <x:row r="1">
      <x:c r="A1" s="17" t="str">
        <x:v>Empirical work not executed in this run</x:v>
      </x:c>
      <x:c r="B1" s="17"/>
      <x:c r="C1" s="17"/>
      <x:c r="D1" s="17"/>
      <x:c r="E1" s="17"/>
      <x:c r="F1" s="17"/>
    </x:row>
    <x:row r="2">
      <x:c r="A2" s="17"/>
      <x:c r="B2" s="17"/>
      <x:c r="C2" s="17"/>
      <x:c r="D2" s="17"/>
      <x:c r="E2" s="17"/>
      <x:c r="F2" s="17"/>
    </x:row>
    <x:row r="3">
      <x:c r="A3" s="11" t="str">
        <x:v>These rows are specifications only. They do not change the completed retrospective run or its unresolved causal status.</x:v>
      </x:c>
      <x:c r="B3" s="11"/>
      <x:c r="C3" s="11"/>
      <x:c r="D3" s="11"/>
      <x:c r="E3" s="11"/>
      <x:c r="F3" s="11"/>
    </x:row>
    <x:row r="4">
      <x:c r="A4" s="11"/>
      <x:c r="B4" s="11"/>
      <x:c r="C4" s="11"/>
      <x:c r="D4" s="11"/>
      <x:c r="E4" s="11"/>
      <x:c r="F4" s="11"/>
    </x:row>
    <x:row r="5" ht="32" customHeight="1">
      <x:c r="A5" s="22" t="str">
        <x:v>ID</x:v>
      </x:c>
      <x:c r="B5" s="22" t="str">
        <x:v>Question</x:v>
      </x:c>
      <x:c r="C5" s="22" t="str">
        <x:v>Status</x:v>
      </x:c>
      <x:c r="D5" s="22" t="str">
        <x:v>Available</x:v>
      </x:c>
      <x:c r="E5" s="22" t="str">
        <x:v>Still required</x:v>
      </x:c>
      <x:c r="F5" s="22" t="str">
        <x:v>Decision rule</x:v>
      </x:c>
    </x:row>
    <x:row r="6" ht="116" customHeight="1">
      <x:c r="A6" s="27" t="str">
        <x:v>NX-001</x:v>
      </x:c>
      <x:c r="B6" s="27" t="str">
        <x:v>Does a correction remain effective when a model/interface is changed under matched inputs?</x:v>
      </x:c>
      <x:c r="C6" s="27" t="str">
        <x:v>NOT_RUN</x:v>
      </x:c>
      <x:c r="D6" s="27" t="str">
        <x:v>Source-linked screenshot exemplars and a typed observation schema.</x:v>
      </x:c>
      <x:c r="E6" s="27" t="str">
        <x:v>Frozen exact requests, complete histories, comparable model/version and configuration, retained output units, eligibility and repeated-trial plan.</x:v>
      </x:c>
      <x:c r="F6" s="27" t="str">
        <x:v>Score correction, task content and closure separately; any shared controller conclusion additionally needs a discriminating execution witness.</x:v>
      </x:c>
    </x:row>
    <x:row r="7" ht="116" customHeight="1">
      <x:c r="A7" s="27" t="str">
        <x:v>NX-002</x:v>
      </x:c>
      <x:c r="B7" s="27" t="str">
        <x:v>Where does a disputed phrase first enter an authorized instrumented implementation?</x:v>
      </x:c>
      <x:c r="C7" s="27" t="str">
        <x:v>NOT_RUN</x:v>
      </x:c>
      <x:c r="D7" s="27" t="str">
        <x:v>Seven execution-signature fields and hash/source-bound event schema.</x:v>
      </x:c>
      <x:c r="E7" s="27" t="str">
        <x:v>Authenticated before/after component records, effective configuration, event IDs and generation/availability clocks.</x:v>
      </x:c>
      <x:c r="F7" s="27" t="str">
        <x:v>Locate the first observed insertion boundary. Self-naming model text is not a component identity witness.</x:v>
      </x:c>
    </x:row>
    <x:row r="8" ht="116" customHeight="1">
      <x:c r="A8" s="27" t="str">
        <x:v>NX-003</x:v>
      </x:c>
      <x:c r="B8" s="27" t="str">
        <x:v>Does an independently specified myth/office feature map predict a later transformation?</x:v>
      </x:c>
      <x:c r="C8" s="27" t="str">
        <x:v>NOT_RUN</x:v>
      </x:c>
      <x:c r="D8" s="27" t="str">
        <x:v>Matrix motif, interpretation, counter-reading, fictional-design and source-lane distinctions.</x:v>
      </x:c>
      <x:c r="E8" s="27" t="str">
        <x:v>Frozen feature map, full candidate universe, source-dependency model, held-out cases and a prospective outcome.</x:v>
      </x:c>
      <x:c r="F8" s="27" t="str">
        <x:v>Compare against competing functional models; keep transmission and resemblance as separate relation types.</x:v>
      </x:c>
    </x:row>
  </x:sheetData>
  <x:mergeCells>
    <x:mergeCell ref="A1:F2"/>
    <x:mergeCell ref="A3:F4"/>
  </x:mergeCells>
  <x:pageMargins left="0.7" right="0.7" top="0.75" bottom="0.75" header="0.3" footer="0.3"/>
  <x:tableParts count="1">
    <x:tablePart xmlns:r="http://schemas.openxmlformats.org/officeDocument/2006/relationships" r:id="R7c59850704ec49cf"/>
  </x:tableParts>
</x:worksheet>
</file>