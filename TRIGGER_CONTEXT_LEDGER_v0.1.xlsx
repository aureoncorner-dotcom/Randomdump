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03951b4d2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d5753679664dc9"/>
    <x:sheet xmlns:r="http://schemas.openxmlformats.org/officeDocument/2006/relationships" name="CODEBOOK" sheetId="2" r:id="Re3fd52a0bdab472d"/>
    <x:sheet xmlns:r="http://schemas.openxmlformats.org/officeDocument/2006/relationships" name="BLIND_CONTEXT" sheetId="3" r:id="Rac99d61f56014903"/>
    <x:sheet xmlns:r="http://schemas.openxmlformats.org/officeDocument/2006/relationships" name="OUTCOMES_LOCKED" sheetId="4" r:id="R27e8fe3a3439442f"/>
    <x:sheet xmlns:r="http://schemas.openxmlformats.org/officeDocument/2006/relationships" name="CONTROL_MATCHING" sheetId="5" r:id="R0a56927dc9354ae0"/>
    <x:sheet xmlns:r="http://schemas.openxmlformats.org/officeDocument/2006/relationships" name="ENRICHMENT" sheetId="6" r:id="Rfd6c0649eb984582"/>
    <x:sheet xmlns:r="http://schemas.openxmlformats.org/officeDocument/2006/relationships" name="MODEL_SPEC" sheetId="7" r:id="Re87039e246a64503"/>
    <x:sheet xmlns:r="http://schemas.openxmlformats.org/officeDocument/2006/relationships" name="RELIABILITY_QC" sheetId="8" r:id="Rfefe9f62ce864235"/>
    <x:sheet xmlns:r="http://schemas.openxmlformats.org/officeDocument/2006/relationships" name="SOURCE_PACKETS" sheetId="9" r:id="R6ed05a2546194276"/>
    <x:sheet xmlns:r="http://schemas.openxmlformats.org/officeDocument/2006/relationships" name="SOURCE_BOUND_WINDOWS_16" sheetId="10" r:id="R002c70bbb8494ce9"/>
    <x:sheet xmlns:r="http://schemas.openxmlformats.org/officeDocument/2006/relationships" name="EARLY_FINDINGS" sheetId="11" r:id="R04b48fe9083c41d5"/>
    <x:sheet xmlns:r="http://schemas.openxmlformats.org/officeDocument/2006/relationships" name="CATEGORIES" sheetId="12" r:id="R81f88869188f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4193d89d04931" /><Relationship Type="http://schemas.openxmlformats.org/officeDocument/2006/relationships/theme" Target="/xl/theme/theme1.xml" Id="Rf1ab23daaa254fe4" /><Relationship Type="http://schemas.openxmlformats.org/officeDocument/2006/relationships/sharedStrings" Target="/xl/sharedStrings.xml" Id="R783c4d8b498b46c8" /><Relationship Type="http://schemas.openxmlformats.org/officeDocument/2006/relationships/worksheet" Target="/xl/worksheets/sheet1.xml" Id="R20d5753679664dc9" /><Relationship Type="http://schemas.openxmlformats.org/officeDocument/2006/relationships/worksheet" Target="/xl/worksheets/sheet2.xml" Id="Re3fd52a0bdab472d" /><Relationship Type="http://schemas.openxmlformats.org/officeDocument/2006/relationships/worksheet" Target="/xl/worksheets/sheet3.xml" Id="Rac99d61f56014903" /><Relationship Type="http://schemas.openxmlformats.org/officeDocument/2006/relationships/worksheet" Target="/xl/worksheets/sheet4.xml" Id="R27e8fe3a3439442f" /><Relationship Type="http://schemas.openxmlformats.org/officeDocument/2006/relationships/worksheet" Target="/xl/worksheets/sheet5.xml" Id="R0a56927dc9354ae0" /><Relationship Type="http://schemas.openxmlformats.org/officeDocument/2006/relationships/worksheet" Target="/xl/worksheets/sheet6.xml" Id="Rfd6c0649eb984582" /><Relationship Type="http://schemas.openxmlformats.org/officeDocument/2006/relationships/worksheet" Target="/xl/worksheets/sheet7.xml" Id="Re87039e246a64503" /><Relationship Type="http://schemas.openxmlformats.org/officeDocument/2006/relationships/worksheet" Target="/xl/worksheets/sheet8.xml" Id="Rfefe9f62ce864235" /><Relationship Type="http://schemas.openxmlformats.org/officeDocument/2006/relationships/worksheet" Target="/xl/worksheets/sheet9.xml" Id="R6ed05a2546194276" /><Relationship Type="http://schemas.openxmlformats.org/officeDocument/2006/relationships/worksheet" Target="/xl/worksheets/sheet10.xml" Id="R002c70bbb8494ce9" /><Relationship Type="http://schemas.openxmlformats.org/officeDocument/2006/relationships/worksheet" Target="/xl/worksheets/sheet11.xml" Id="R04b48fe9083c41d5" /><Relationship Type="http://schemas.openxmlformats.org/officeDocument/2006/relationships/worksheet" Target="/xl/worksheets/sheet12.xml" Id="R81f88869188f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82" hidden="0" customWidth="1"/>
  </x:cols>
  <x:sheetData>
    <x:row r="1" ht="28" customHeight="1">
      <x:c r="A1" s="24" t="str">
        <x:v>TRIGGER-CONTEXT LEDGER v0.1</x:v>
      </x:c>
      <x:c r="B1" s="24"/>
      <x:c r="C1" s="24"/>
      <x:c r="D1" s="4"/>
      <x:c r="E1" s="4"/>
      <x:c r="F1" s="4"/>
      <x:c r="G1" s="4"/>
      <x:c r="H1" s="4"/>
    </x:row>
    <x:row r="3">
      <x:c r="A3" s="10" t="str">
        <x:v>Purpose</x:v>
      </x:c>
      <x:c r="B3" s="14" t="str">
        <x:v>Estimate contextual enrichment for observable INTERPOSITION / Checking states using fixed conversational neighborhoods, not hidden-cause inference.</x:v>
      </x:c>
    </x:row>
    <x:row r="4">
      <x:c r="A4" s="10" t="str">
        <x:v>Target</x:v>
      </x:c>
      <x:c r="B4" s="14" t="str">
        <x:v>P(INTERPOSITION | request type, proposition class, correction state, local pressure, recent phenotype, topic/context).</x:v>
      </x:c>
    </x:row>
    <x:row r="5">
      <x:c r="A5" s="10" t="str">
        <x:v>Claim boundary</x:v>
      </x:c>
      <x:c r="B5" s="14" t="str">
        <x:v>Predictors are observed conversational conditions only. No internal module, occupant, motive, policy, or implementation is inferred.</x:v>
      </x:c>
    </x:row>
    <x:row r="6">
      <x:c r="A6" s="10" t="str">
        <x:v>Fixed raw window</x:v>
      </x:c>
      <x:c r="B6" s="14" t="str">
        <x:v>U−2, A−2, U−1, A−1, U0, A0. Blank thoughts/reasoning shells are not substantive answer-units; raw node IDs remain preserved.</x:v>
      </x:c>
    </x:row>
    <x:row r="7">
      <x:c r="A7" s="10" t="str">
        <x:v>Blind-first rule</x:v>
      </x:c>
      <x:c r="B7" s="14" t="str">
        <x:v>Code BLIND_CONTEXT without consulting A0 outcome fields. OUTCOMES_LOCKED is joined only after context coding is frozen.</x:v>
      </x:c>
    </x:row>
    <x:row r="8">
      <x:c r="A8" s="10" t="str">
        <x:v>Primary outcome</x:v>
      </x:c>
      <x:c r="B8" s="14" t="str">
        <x:v>INTERPOSITION=YES requires: identifiable original object; unnecessary added layer; adjudication of that added layer; material center shift.</x:v>
      </x:c>
    </x:row>
    <x:row r="9">
      <x:c r="A9" s="10" t="str">
        <x:v>Counter-witness rule</x:v>
      </x:c>
      <x:c r="B9" s="14" t="str">
        <x:v>Retain all four C/I cells: Checking+interposition, Checking+clean, non-Checking+interposition, non-Checking+clean.</x:v>
      </x:c>
    </x:row>
    <x:row r="10">
      <x:c r="A10" s="10" t="str">
        <x:v>Control rule</x:v>
      </x:c>
      <x:c r="B10" s="14" t="str">
        <x:v>Controls are selected before outcome inspection: case/session when possible → request/proposition → witness → correction state → modality → transcript distance.</x:v>
      </x:c>
    </x:row>
    <x:row r="11">
      <x:c r="A11" s="10" t="str">
        <x:v>Enrichment rule</x:v>
      </x:c>
      <x:c r="B11" s="14" t="str">
        <x:v>Presence is not a trigger result. Estimate exposed vs unexposed risk, RR/risk difference/OR, then matched and cluster-aware analysis.</x:v>
      </x:c>
    </x:row>
    <x:row r="12">
      <x:c r="A12" s="10" t="str">
        <x:v>Dependence rule</x:v>
      </x:c>
      <x:c r="B12" s="14" t="str">
        <x:v>Carry prior 1–3 response states. Validate by holding out whole calls/cases, not random adjacent rows.</x:v>
      </x:c>
    </x:row>
    <x:row r="13">
      <x:c r="A13" s="10" t="str">
        <x:v>Missingness rule</x:v>
      </x:c>
      <x:c r="B13" s="14" t="str">
        <x:v>If exact context cannot be bound, use NEEDS_WINDOW_BINDING or PARTIAL. Never reconstruct unavailable text.</x:v>
      </x:c>
    </x:row>
    <x:row r="14">
      <x:c r="A14" s="10" t="str">
        <x:v>Universe rule</x:v>
      </x:c>
      <x:c r="B14" s="14" t="str">
        <x:v>611 is the frozen Checking source packet, not the trigger-analysis denominator. Append non-Checking interpositions and matched controls below row 612; formulas scan through row 5000.</x:v>
      </x:c>
    </x:row>
    <x:row r="15">
      <x:c r="A15" s="10" t="str">
        <x:v>Current bound exemplars</x:v>
      </x:c>
      <x:c r="B15" s="14" t="str">
        <x:v>16 bounded refusal-to-infer windows are included for codebook/source-binding validation only. They are outcome-selected and cannot estimate enrichment.</x:v>
      </x:c>
    </x:row>
    <x:row r="17">
      <x:c r="A17" s="10" t="str">
        <x:v>Execution order</x:v>
      </x:c>
      <x:c r="B17" s="10"/>
      <x:c r="C17" s="10"/>
      <x:c r="D17" s="10"/>
      <x:c r="E17" s="10"/>
      <x:c r="F17" s="10"/>
      <x:c r="G17" s="10"/>
      <x:c r="H17" s="10"/>
    </x:row>
    <x:row r="18">
      <x:c r="A18" s="19" t="str">
        <x:v>Step</x:v>
      </x:c>
      <x:c r="B18" s="19" t="str">
        <x:v>Action</x:v>
      </x:c>
      <x:c r="C18" s="19" t="str">
        <x:v>Gate</x:v>
      </x:c>
    </x:row>
    <x:row r="19">
      <x:c r="A19" t="str">
        <x:v>1</x:v>
      </x:c>
      <x:c r="B19" t="str">
        <x:v>Bind exact windows</x:v>
      </x:c>
      <x:c r="C19" t="str">
        <x:v>Populate U−2…A0 + node/source IDs; mark missingness.</x:v>
      </x:c>
    </x:row>
    <x:row r="20">
      <x:c r="A20" t="str">
        <x:v>2</x:v>
      </x:c>
      <x:c r="B20" t="str">
        <x:v>Blind context code</x:v>
      </x:c>
      <x:c r="C20" t="str">
        <x:v>Freeze proposition/witness/correction/lexical/pressure/recent-state fields.</x:v>
      </x:c>
    </x:row>
    <x:row r="21">
      <x:c r="A21" t="str">
        <x:v>3</x:v>
      </x:c>
      <x:c r="B21" t="str">
        <x:v>Join outcomes</x:v>
      </x:c>
      <x:c r="C21" t="str">
        <x:v>Populate marker/interposition/preservation fields in OUTCOMES_LOCKED.</x:v>
      </x:c>
    </x:row>
    <x:row r="22">
      <x:c r="A22" t="str">
        <x:v>4</x:v>
      </x:c>
      <x:c r="B22" t="str">
        <x:v>Blind-match controls</x:v>
      </x:c>
      <x:c r="C22" t="str">
        <x:v>No outcome field may enter control selection.</x:v>
      </x:c>
    </x:row>
    <x:row r="23">
      <x:c r="A23" t="str">
        <x:v>5</x:v>
      </x:c>
      <x:c r="B23" t="str">
        <x:v>Run enrichment</x:v>
      </x:c>
      <x:c r="C23" t="str">
        <x:v>Use eligible rows only; report counterexamples.</x:v>
      </x:c>
    </x:row>
    <x:row r="24">
      <x:c r="A24" t="str">
        <x:v>6</x:v>
      </x:c>
      <x:c r="B24" t="str">
        <x:v>Reliability pass</x:v>
      </x:c>
      <x:c r="C24" t="str">
        <x:v>Double-code stratified sample; weak fields stay sensitivity-only.</x:v>
      </x:c>
    </x:row>
    <x:row r="25">
      <x:c r="A25" t="str">
        <x:v>7</x:v>
      </x:c>
      <x:c r="B25" t="str">
        <x:v>Held-out validation</x:v>
      </x:c>
      <x:c r="C25" t="str">
        <x:v>Compare full model with topic-only and U0-only baselines on held-out calls/cases.</x:v>
      </x:c>
    </x:row>
  </x:sheetData>
  <x:mergeCells>
    <x:mergeCell ref="A1:H1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58" hidden="0" customWidth="1"/>
    <x:col min="5" max="5" width="78" hidden="0" customWidth="1"/>
    <x:col min="6" max="6" width="72" hidden="0" customWidth="1"/>
    <x:col min="7" max="7" width="16" hidden="0" customWidth="1"/>
  </x:cols>
  <x:sheetData>
    <x:row r="1">
      <x:c r="A1" s="30" t="str">
        <x:v>field</x:v>
      </x:c>
      <x:c r="B1" s="30" t="str">
        <x:v>group</x:v>
      </x:c>
      <x:c r="C1" s="30" t="str">
        <x:v>type</x:v>
      </x:c>
      <x:c r="D1" s="30" t="str">
        <x:v>allowed_values</x:v>
      </x:c>
      <x:c r="E1" s="30" t="str">
        <x:v>operational_rule</x:v>
      </x:c>
      <x:c r="F1" s="30" t="str">
        <x:v>boundary_or_exclusion</x:v>
      </x:c>
      <x:c r="G1" s="30" t="str">
        <x:v>tier</x:v>
      </x:c>
    </x:row>
    <x:row r="2">
      <x:c r="A2" t="str">
        <x:v>analysis_role</x:v>
      </x:c>
      <x:c r="B2" t="str">
        <x:v>IDENTITY</x:v>
      </x:c>
      <x:c r="C2" t="str">
        <x:v>enum</x:v>
      </x:c>
      <x:c r="D2" t="str">
        <x:v>CHECKING_EVENT | NONCHECKING_INTERPOSITION_EVENT | MATCHED_CONTROL | OTHER_ELIGIBLE</x:v>
      </x:c>
      <x:c r="E2" t="str">
        <x:v>Role in union analysis.</x:v>
      </x:c>
      <x:c r="F2" t="str">
        <x:v>611 source slots are CHECKING_EVENT; append other roles below them.</x:v>
      </x:c>
      <x:c r="G2" t="str">
        <x:v>CORE</x:v>
      </x:c>
    </x:row>
    <x:row r="3">
      <x:c r="A3" t="str">
        <x:v>window_bind_status</x:v>
      </x:c>
      <x:c r="B3" t="str">
        <x:v>PROVENANCE</x:v>
      </x:c>
      <x:c r="C3" t="str">
        <x:v>enum</x:v>
      </x:c>
      <x:c r="D3" t="str">
        <x:v>FULL | PARTIAL | NEEDS_WINDOW_BINDING</x:v>
      </x:c>
      <x:c r="E3" t="str">
        <x:v>Exact context availability.</x:v>
      </x:c>
      <x:c r="F3" t="str">
        <x:v>UNAVAILABLE is not NO.</x:v>
      </x:c>
      <x:c r="G3" t="str">
        <x:v>CORE</x:v>
      </x:c>
    </x:row>
    <x:row r="4">
      <x:c r="A4" t="str">
        <x:v>request_type</x:v>
      </x:c>
      <x:c r="B4" t="str">
        <x:v>REQUEST</x:v>
      </x:c>
      <x:c r="C4" t="str">
        <x:v>enum</x:v>
      </x:c>
      <x:c r="D4" t="str">
        <x:v>ANALYZE | EXPLAIN | VERIFY | COMPARE | CRITIQUE | TRACE_SOURCE | CLASSIFY | GENERATE | EDIT | META_CORRECT | OTHER</x:v>
      </x:c>
      <x:c r="E4" t="str">
        <x:v>Operation requested in U0.</x:v>
      </x:c>
      <x:c r="F4" t="str">
        <x:v>Do not infer from A0.</x:v>
      </x:c>
      <x:c r="G4" t="str">
        <x:v>CORE</x:v>
      </x:c>
    </x:row>
    <x:row r="5">
      <x:c r="A5" t="str">
        <x:v>prop_causal</x:v>
      </x:c>
      <x:c r="B5" t="str">
        <x:v>PROPOSITION</x:v>
      </x:c>
      <x:c r="C5" t="str">
        <x:v>binary</x:v>
      </x:c>
      <x:c r="D5" t="str">
        <x:v>0 | 1 | UNKNOWN</x:v>
      </x:c>
      <x:c r="E5" t="str">
        <x:v>Causal relation is advanced or requested.</x:v>
      </x:c>
      <x:c r="F5" t="str">
        <x:v>Sequence/correlation alone is not causal.</x:v>
      </x:c>
      <x:c r="G5" t="str">
        <x:v>CORE</x:v>
      </x:c>
    </x:row>
    <x:row r="6">
      <x:c r="A6" t="str">
        <x:v>prop_architecture</x:v>
      </x:c>
      <x:c r="B6" t="str">
        <x:v>PROPOSITION</x:v>
      </x:c>
      <x:c r="C6" t="str">
        <x:v>binary</x:v>
      </x:c>
      <x:c r="D6" t="str">
        <x:v>0 | 1 | UNKNOWN</x:v>
      </x:c>
      <x:c r="E6" t="str">
        <x:v>System/process/function architecture is live.</x:v>
      </x:c>
      <x:c r="F6" t="str">
        <x:v>Does not require hidden implementation claim.</x:v>
      </x:c>
      <x:c r="G6" t="str">
        <x:v>CORE</x:v>
      </x:c>
    </x:row>
    <x:row r="7">
      <x:c r="A7" t="str">
        <x:v>prop_source_provenance</x:v>
      </x:c>
      <x:c r="B7" t="str">
        <x:v>PROPOSITION</x:v>
      </x:c>
      <x:c r="C7" t="str">
        <x:v>binary</x:v>
      </x:c>
      <x:c r="D7" t="str">
        <x:v>0 | 1 | UNKNOWN</x:v>
      </x:c>
      <x:c r="E7" t="str">
        <x:v>Source/origin/provenance is live.</x:v>
      </x:c>
      <x:c r="F7" t="str">
        <x:v>Truth value is separate.</x:v>
      </x:c>
      <x:c r="G7" t="str">
        <x:v>CORE</x:v>
      </x:c>
    </x:row>
    <x:row r="8">
      <x:c r="A8" t="str">
        <x:v>prop_occupant_agency</x:v>
      </x:c>
      <x:c r="B8" t="str">
        <x:v>PROPOSITION</x:v>
      </x:c>
      <x:c r="C8" t="str">
        <x:v>binary</x:v>
      </x:c>
      <x:c r="D8" t="str">
        <x:v>0 | 1 | UNKNOWN</x:v>
      </x:c>
      <x:c r="E8" t="str">
        <x:v>Actor/occupant/agency behind an observed function/output is live.</x:v>
      </x:c>
      <x:c r="F8" t="str">
        <x:v>Function can remain separate from occupant.</x:v>
      </x:c>
      <x:c r="G8" t="str">
        <x:v>CORE</x:v>
      </x:c>
    </x:row>
    <x:row r="9">
      <x:c r="A9" t="str">
        <x:v>prop_intent</x:v>
      </x:c>
      <x:c r="B9" t="str">
        <x:v>PROPOSITION</x:v>
      </x:c>
      <x:c r="C9" t="str">
        <x:v>binary</x:v>
      </x:c>
      <x:c r="D9" t="str">
        <x:v>0 | 1 | UNKNOWN</x:v>
      </x:c>
      <x:c r="E9" t="str">
        <x:v>Purpose/motive/deliberateness is live.</x:v>
      </x:c>
      <x:c r="F9" t="str">
        <x:v>Effect is not intent.</x:v>
      </x:c>
      <x:c r="G9" t="str">
        <x:v>CORE</x:v>
      </x:c>
    </x:row>
    <x:row r="10">
      <x:c r="A10" t="str">
        <x:v>prop_meaning</x:v>
      </x:c>
      <x:c r="B10" t="str">
        <x:v>PROPOSITION</x:v>
      </x:c>
      <x:c r="C10" t="str">
        <x:v>binary</x:v>
      </x:c>
      <x:c r="D10" t="str">
        <x:v>0 | 1 | UNKNOWN</x:v>
      </x:c>
      <x:c r="E10" t="str">
        <x:v>Interpretation/significance is requested.</x:v>
      </x:c>
      <x:c r="F10" t="str">
        <x:v>Source attribution is separate.</x:v>
      </x:c>
      <x:c r="G10" t="str">
        <x:v>CORE</x:v>
      </x:c>
    </x:row>
    <x:row r="11">
      <x:c r="A11" t="str">
        <x:v>prop_safety_adjacent</x:v>
      </x:c>
      <x:c r="B11" t="str">
        <x:v>TOPIC</x:v>
      </x:c>
      <x:c r="C11" t="str">
        <x:v>binary</x:v>
      </x:c>
      <x:c r="D11" t="str">
        <x:v>0 | 1 | UNKNOWN</x:v>
      </x:c>
      <x:c r="E11" t="str">
        <x:v>Safety/harm is locally relevant but not necessarily the requested task.</x:v>
      </x:c>
      <x:c r="F11" t="str">
        <x:v>Profanity alone is not safety adjacency.</x:v>
      </x:c>
      <x:c r="G11" t="str">
        <x:v>SENSITIVITY</x:v>
      </x:c>
    </x:row>
    <x:row r="12">
      <x:c r="A12" t="str">
        <x:v>prop_political</x:v>
      </x:c>
      <x:c r="B12" t="str">
        <x:v>TOPIC</x:v>
      </x:c>
      <x:c r="C12" t="str">
        <x:v>binary</x:v>
      </x:c>
      <x:c r="D12" t="str">
        <x:v>0 | 1 | UNKNOWN</x:v>
      </x:c>
      <x:c r="E12" t="str">
        <x:v>Government/election/policy/war/geopolitics is immediate object.</x:v>
      </x:c>
      <x:c r="F12" t="str">
        <x:v>Background mention alone does not qualify.</x:v>
      </x:c>
      <x:c r="G12" t="str">
        <x:v>CORE</x:v>
      </x:c>
    </x:row>
    <x:row r="13">
      <x:c r="A13" t="str">
        <x:v>prop_personal</x:v>
      </x:c>
      <x:c r="B13" t="str">
        <x:v>TOPIC</x:v>
      </x:c>
      <x:c r="C13" t="str">
        <x:v>binary</x:v>
      </x:c>
      <x:c r="D13" t="str">
        <x:v>0 | 1 | UNKNOWN</x:v>
      </x:c>
      <x:c r="E13" t="str">
        <x:v>User's personal life/job/relationship/lived event is immediate object.</x:v>
      </x:c>
      <x:c r="F13" t="str">
        <x:v>Authorship of an audit does not itself make it personal.</x:v>
      </x:c>
      <x:c r="G13" t="str">
        <x:v>CORE</x:v>
      </x:c>
    </x:row>
    <x:row r="14">
      <x:c r="A14" t="str">
        <x:v>prop_technical</x:v>
      </x:c>
      <x:c r="B14" t="str">
        <x:v>TOPIC</x:v>
      </x:c>
      <x:c r="C14" t="str">
        <x:v>binary</x:v>
      </x:c>
      <x:c r="D14" t="str">
        <x:v>0 | 1 | UNKNOWN</x:v>
      </x:c>
      <x:c r="E14" t="str">
        <x:v>Code/math/interface/data/engineering is immediate object.</x:v>
      </x:c>
      <x:c r="F14" t="str">
        <x:v>May co-occur with architecture.</x:v>
      </x:c>
      <x:c r="G14" t="str">
        <x:v>CORE</x:v>
      </x:c>
    </x:row>
    <x:row r="15">
      <x:c r="A15" t="str">
        <x:v>witness_visible_record</x:v>
      </x:c>
      <x:c r="B15" t="str">
        <x:v>WITNESS</x:v>
      </x:c>
      <x:c r="C15" t="str">
        <x:v>binary</x:v>
      </x:c>
      <x:c r="D15" t="str">
        <x:v>0 | 1 | UNKNOWN</x:v>
      </x:c>
      <x:c r="E15" t="str">
        <x:v>Answer can be grounded in mutually visible transcript/output.</x:v>
      </x:c>
      <x:c r="F15" t="str">
        <x:v>Separate user-only perception.</x:v>
      </x:c>
      <x:c r="G15" t="str">
        <x:v>CORE</x:v>
      </x:c>
    </x:row>
    <x:row r="16">
      <x:c r="A16" t="str">
        <x:v>witness_user_supplied_source</x:v>
      </x:c>
      <x:c r="B16" t="str">
        <x:v>WITNESS</x:v>
      </x:c>
      <x:c r="C16" t="str">
        <x:v>binary</x:v>
      </x:c>
      <x:c r="D16" t="str">
        <x:v>0 | 1 | UNKNOWN</x:v>
      </x:c>
      <x:c r="E16" t="str">
        <x:v>Document/image/log supplied by user is requested witness.</x:v>
      </x:c>
      <x:c r="F16" t="str">
        <x:v>Track opacity separately.</x:v>
      </x:c>
      <x:c r="G16" t="str">
        <x:v>CORE</x:v>
      </x:c>
    </x:row>
    <x:row r="17">
      <x:c r="A17" t="str">
        <x:v>witness_user_only_perceptual</x:v>
      </x:c>
      <x:c r="B17" t="str">
        <x:v>WITNESS</x:v>
      </x:c>
      <x:c r="C17" t="str">
        <x:v>binary</x:v>
      </x:c>
      <x:c r="D17" t="str">
        <x:v>0 | 1 | UNKNOWN</x:v>
      </x:c>
      <x:c r="E17" t="str">
        <x:v>Material signal exists only on user's local audio/UI/perception.</x:v>
      </x:c>
      <x:c r="F17" t="str">
        <x:v>Ordinary disagreement is not witness asymmetry.</x:v>
      </x:c>
      <x:c r="G17" t="str">
        <x:v>CORE</x:v>
      </x:c>
    </x:row>
    <x:row r="18">
      <x:c r="A18" t="str">
        <x:v>witness_external_truth</x:v>
      </x:c>
      <x:c r="B18" t="str">
        <x:v>WITNESS</x:v>
      </x:c>
      <x:c r="C18" t="str">
        <x:v>binary</x:v>
      </x:c>
      <x:c r="D18" t="str">
        <x:v>0 | 1 | UNKNOWN</x:v>
      </x:c>
      <x:c r="E18" t="str">
        <x:v>External factual truth beyond transcript is requested.</x:v>
      </x:c>
      <x:c r="F18" t="str">
        <x:v>Different from source provenance.</x:v>
      </x:c>
      <x:c r="G18" t="str">
        <x:v>CORE</x:v>
      </x:c>
    </x:row>
    <x:row r="19">
      <x:c r="A19" t="str">
        <x:v>witness_engineering_implementation</x:v>
      </x:c>
      <x:c r="B19" t="str">
        <x:v>WITNESS</x:v>
      </x:c>
      <x:c r="C19" t="str">
        <x:v>binary</x:v>
      </x:c>
      <x:c r="D19" t="str">
        <x:v>0 | 1 | UNKNOWN</x:v>
      </x:c>
      <x:c r="E19" t="str">
        <x:v>Hidden/internal implementation is requested witness.</x:v>
      </x:c>
      <x:c r="F19" t="str">
        <x:v>Function-level claim does not imply implementation.</x:v>
      </x:c>
      <x:c r="G19" t="str">
        <x:v>CORE</x:v>
      </x:c>
    </x:row>
    <x:row r="20">
      <x:c r="A20" t="str">
        <x:v>dist_function_vs_occupant</x:v>
      </x:c>
      <x:c r="B20" t="str">
        <x:v>DISTINCTION</x:v>
      </x:c>
      <x:c r="C20" t="str">
        <x:v>binary</x:v>
      </x:c>
      <x:c r="D20" t="str">
        <x:v>0 | 1 | UNKNOWN</x:v>
      </x:c>
      <x:c r="E20" t="str">
        <x:v>Function must be preserved independently of occupant.</x:v>
      </x:c>
      <x:c r="F20" t="str">
        <x:v>Code only if material.</x:v>
      </x:c>
      <x:c r="G20" t="str">
        <x:v>CORE</x:v>
      </x:c>
    </x:row>
    <x:row r="21">
      <x:c r="A21" t="str">
        <x:v>dist_observation_vs_implementation</x:v>
      </x:c>
      <x:c r="B21" t="str">
        <x:v>DISTINCTION</x:v>
      </x:c>
      <x:c r="C21" t="str">
        <x:v>binary</x:v>
      </x:c>
      <x:c r="D21" t="str">
        <x:v>0 | 1 | UNKNOWN</x:v>
      </x:c>
      <x:c r="E21" t="str">
        <x:v>Observed behavior must remain distinct from implementation.</x:v>
      </x:c>
      <x:c r="F21" t="str">
        <x:v>Uncertainty about implementation cannot erase observation.</x:v>
      </x:c>
      <x:c r="G21" t="str">
        <x:v>CORE</x:v>
      </x:c>
    </x:row>
    <x:row r="22">
      <x:c r="A22" t="str">
        <x:v>dist_source_vs_truth</x:v>
      </x:c>
      <x:c r="B22" t="str">
        <x:v>DISTINCTION</x:v>
      </x:c>
      <x:c r="C22" t="str">
        <x:v>binary</x:v>
      </x:c>
      <x:c r="D22" t="str">
        <x:v>0 | 1 | UNKNOWN</x:v>
      </x:c>
      <x:c r="E22" t="str">
        <x:v>Source/provenance and truth are distinct live lanes.</x:v>
      </x:c>
      <x:c r="F22" t="str">
        <x:v>Code only if both matter.</x:v>
      </x:c>
      <x:c r="G22" t="str">
        <x:v>CORE</x:v>
      </x:c>
    </x:row>
    <x:row r="23">
      <x:c r="A23" t="str">
        <x:v>dist_metaphor_vs_literal</x:v>
      </x:c>
      <x:c r="B23" t="str">
        <x:v>DISTINCTION</x:v>
      </x:c>
      <x:c r="C23" t="str">
        <x:v>binary</x:v>
      </x:c>
      <x:c r="D23" t="str">
        <x:v>0 | 1 | UNKNOWN</x:v>
      </x:c>
      <x:c r="E23" t="str">
        <x:v>Metaphor/symbolic meaning must remain distinct from literal assertion.</x:v>
      </x:c>
      <x:c r="F23" t="str">
        <x:v>Figurative language alone insufficient.</x:v>
      </x:c>
      <x:c r="G23" t="str">
        <x:v>CORE</x:v>
      </x:c>
    </x:row>
    <x:row r="24">
      <x:c r="A24" t="str">
        <x:v>dist_record_vs_cause</x:v>
      </x:c>
      <x:c r="B24" t="str">
        <x:v>DISTINCTION</x:v>
      </x:c>
      <x:c r="C24" t="str">
        <x:v>binary</x:v>
      </x:c>
      <x:c r="D24" t="str">
        <x:v>0 | 1 | UNKNOWN</x:v>
      </x:c>
      <x:c r="E24" t="str">
        <x:v>Visible record and causal explanation must remain distinct.</x:v>
      </x:c>
      <x:c r="F24" t="str">
        <x:v>May overlap observation/implementation.</x:v>
      </x:c>
      <x:c r="G24" t="str">
        <x:v>CORE</x:v>
      </x:c>
    </x:row>
    <x:row r="25">
      <x:c r="A25" t="str">
        <x:v>correction_any</x:v>
      </x:c>
      <x:c r="B25" t="str">
        <x:v>INTERACTION</x:v>
      </x:c>
      <x:c r="C25" t="str">
        <x:v>binary</x:v>
      </x:c>
      <x:c r="D25" t="str">
        <x:v>0 | 1 | UNKNOWN</x:v>
      </x:c>
      <x:c r="E25" t="str">
        <x:v>Any explicit correction/rejection/restoration is active.</x:v>
      </x:c>
      <x:c r="F25" t="str">
        <x:v>Multi-hot subtypes remain separate.</x:v>
      </x:c>
      <x:c r="G25" t="str">
        <x:v>CORE</x:v>
      </x:c>
    </x:row>
    <x:row r="26">
      <x:c r="A26" t="str">
        <x:v>corr_frame_rejection</x:v>
      </x:c>
      <x:c r="B26" t="str">
        <x:v>INTERACTION</x:v>
      </x:c>
      <x:c r="C26" t="str">
        <x:v>binary</x:v>
      </x:c>
      <x:c r="D26" t="str">
        <x:v>0 | 1 | UNKNOWN</x:v>
      </x:c>
      <x:c r="E26" t="str">
        <x:v>User explicitly rejects assistant-supplied frame.</x:v>
      </x:c>
      <x:c r="F26" t="str">
        <x:v>Can co-occur with witness narrowing.</x:v>
      </x:c>
      <x:c r="G26" t="str">
        <x:v>CORE</x:v>
      </x:c>
    </x:row>
    <x:row r="27">
      <x:c r="A27" t="str">
        <x:v>corr_factual_correction</x:v>
      </x:c>
      <x:c r="B27" t="str">
        <x:v>INTERACTION</x:v>
      </x:c>
      <x:c r="C27" t="str">
        <x:v>binary</x:v>
      </x:c>
      <x:c r="D27" t="str">
        <x:v>0 | 1 | UNKNOWN</x:v>
      </x:c>
      <x:c r="E27" t="str">
        <x:v>User corrects factual assertion.</x:v>
      </x:c>
      <x:c r="F27" t="str">
        <x:v>Disagreement alone is not correction.</x:v>
      </x:c>
      <x:c r="G27" t="str">
        <x:v>CORE</x:v>
      </x:c>
    </x:row>
    <x:row r="28">
      <x:c r="A28" t="str">
        <x:v>corr_witness_narrowing</x:v>
      </x:c>
      <x:c r="B28" t="str">
        <x:v>INTERACTION</x:v>
      </x:c>
      <x:c r="C28" t="str">
        <x:v>binary</x:v>
      </x:c>
      <x:c r="D28" t="str">
        <x:v>0 | 1 | UNKNOWN</x:v>
      </x:c>
      <x:c r="E28" t="str">
        <x:v>User narrows admissible witness/object.</x:v>
      </x:c>
      <x:c r="F28" t="str">
        <x:v>Can co-occur with frame rejection.</x:v>
      </x:c>
      <x:c r="G28" t="str">
        <x:v>CORE</x:v>
      </x:c>
    </x:row>
    <x:row r="29">
      <x:c r="A29" t="str">
        <x:v>corr_repeated</x:v>
      </x:c>
      <x:c r="B29" t="str">
        <x:v>INTERACTION</x:v>
      </x:c>
      <x:c r="C29" t="str">
        <x:v>binary</x:v>
      </x:c>
      <x:c r="D29" t="str">
        <x:v>0 | 1 | UNKNOWN</x:v>
      </x:c>
      <x:c r="E29" t="str">
        <x:v>Correction is repeated after non-resolution.</x:v>
      </x:c>
      <x:c r="F29" t="str">
        <x:v>Requires visible recurrence.</x:v>
      </x:c>
      <x:c r="G29" t="str">
        <x:v>CORE</x:v>
      </x:c>
    </x:row>
    <x:row r="30">
      <x:c r="A30" t="str">
        <x:v>corr_contradiction_repair</x:v>
      </x:c>
      <x:c r="B30" t="str">
        <x:v>INTERACTION</x:v>
      </x:c>
      <x:c r="C30" t="str">
        <x:v>binary</x:v>
      </x:c>
      <x:c r="D30" t="str">
        <x:v>0 | 1 | UNKNOWN</x:v>
      </x:c>
      <x:c r="E30" t="str">
        <x:v>User identifies conflicting assistant propositions.</x:v>
      </x:c>
      <x:c r="F30" t="str">
        <x:v>Identify both propositions.</x:v>
      </x:c>
      <x:c r="G30" t="str">
        <x:v>CORE</x:v>
      </x:c>
    </x:row>
    <x:row r="31">
      <x:c r="A31" t="str">
        <x:v>corr_request_restoration</x:v>
      </x:c>
      <x:c r="B31" t="str">
        <x:v>INTERACTION</x:v>
      </x:c>
      <x:c r="C31" t="str">
        <x:v>binary</x:v>
      </x:c>
      <x:c r="D31" t="str">
        <x:v>0 | 1 | UNKNOWN</x:v>
      </x:c>
      <x:c r="E31" t="str">
        <x:v>User restores original task after drift.</x:v>
      </x:c>
      <x:c r="F31" t="str">
        <x:v>Frustration alone is insufficient.</x:v>
      </x:c>
      <x:c r="G31" t="str">
        <x:v>CORE</x:v>
      </x:c>
    </x:row>
    <x:row r="32">
      <x:c r="A32" t="str">
        <x:v>correction_recency_units</x:v>
      </x:c>
      <x:c r="B32" t="str">
        <x:v>INTERACTION</x:v>
      </x:c>
      <x:c r="C32" t="str">
        <x:v>enum</x:v>
      </x:c>
      <x:c r="D32" t="str">
        <x:v>0 | 1 | 2 | 3PLUS | UNKNOWN</x:v>
      </x:c>
      <x:c r="E32" t="str">
        <x:v>Answer-units since last explicit correction.</x:v>
      </x:c>
      <x:c r="F32" t="str">
        <x:v>Do not count general disagreement.</x:v>
      </x:c>
      <x:c r="G32" t="str">
        <x:v>CORE</x:v>
      </x:c>
    </x:row>
    <x:row r="33">
      <x:c r="A33" t="str">
        <x:v>prior_shift_type</x:v>
      </x:c>
      <x:c r="B33" t="str">
        <x:v>INTERACTION</x:v>
      </x:c>
      <x:c r="C33" t="str">
        <x:v>enum</x:v>
      </x:c>
      <x:c r="D33" t="str">
        <x:v>NONE | PROPOSITION_MANUFACTURE | WITNESS_CHANGE | CONTEXT_DELETION | PROCEDURE_SUBSTITUTION | SOURCE_SUBSTITUTION | OTHER | UNKNOWN</x:v>
      </x:c>
      <x:c r="E33" t="str">
        <x:v>Most recent pre-U0 assistant shift.</x:v>
      </x:c>
      <x:c r="F33" t="str">
        <x:v>Current A0 must not influence.</x:v>
      </x:c>
      <x:c r="G33" t="str">
        <x:v>CORE</x:v>
      </x:c>
    </x:row>
    <x:row r="34">
      <x:c r="A34" t="str">
        <x:v>lex_certainty</x:v>
      </x:c>
      <x:c r="B34" t="str">
        <x:v>LEXICAL</x:v>
      </x:c>
      <x:c r="C34" t="str">
        <x:v>binary</x:v>
      </x:c>
      <x:c r="D34" t="str">
        <x:v>0 | 1 | UNKNOWN</x:v>
      </x:c>
      <x:c r="E34" t="str">
        <x:v>High-certainty/absolutist language in U−2…U0.</x:v>
      </x:c>
      <x:c r="F34" t="str">
        <x:v>Profanity is not certainty.</x:v>
      </x:c>
      <x:c r="G34" t="str">
        <x:v>SENSITIVITY</x:v>
      </x:c>
    </x:row>
    <x:row r="35">
      <x:c r="A35" t="str">
        <x:v>lex_accusation</x:v>
      </x:c>
      <x:c r="B35" t="str">
        <x:v>LEXICAL</x:v>
      </x:c>
      <x:c r="C35" t="str">
        <x:v>binary</x:v>
      </x:c>
      <x:c r="D35" t="str">
        <x:v>0 | 1 | UNKNOWN</x:v>
      </x:c>
      <x:c r="E35" t="str">
        <x:v>Direct blame/accusation in local user context.</x:v>
      </x:c>
      <x:c r="F35" t="str">
        <x:v>Critique without blame separate.</x:v>
      </x:c>
      <x:c r="G35" t="str">
        <x:v>SENSITIVITY</x:v>
      </x:c>
    </x:row>
    <x:row r="36">
      <x:c r="A36" t="str">
        <x:v>lex_hidden_actor</x:v>
      </x:c>
      <x:c r="B36" t="str">
        <x:v>LEXICAL</x:v>
      </x:c>
      <x:c r="C36" t="str">
        <x:v>binary</x:v>
      </x:c>
      <x:c r="D36" t="str">
        <x:v>0 | 1 | UNKNOWN</x:v>
      </x:c>
      <x:c r="E36" t="str">
        <x:v>Unknown/hidden/upstream actor or narrator language.</x:v>
      </x:c>
      <x:c r="F36" t="str">
        <x:v>Generic pronoun only if referent is hidden/unknown.</x:v>
      </x:c>
      <x:c r="G36" t="str">
        <x:v>CORE</x:v>
      </x:c>
    </x:row>
    <x:row r="37">
      <x:c r="A37" t="str">
        <x:v>lex_autonomy_authority</x:v>
      </x:c>
      <x:c r="B37" t="str">
        <x:v>LEXICAL</x:v>
      </x:c>
      <x:c r="C37" t="str">
        <x:v>binary</x:v>
      </x:c>
      <x:c r="D37" t="str">
        <x:v>0 | 1 | UNKNOWN</x:v>
      </x:c>
      <x:c r="E37" t="str">
        <x:v>Sovereignty/authority/control/gatekeeping/rank/custody language.</x:v>
      </x:c>
      <x:c r="F37" t="str">
        <x:v>Ordinary permission request excluded.</x:v>
      </x:c>
      <x:c r="G37" t="str">
        <x:v>CORE</x:v>
      </x:c>
    </x:row>
    <x:row r="38">
      <x:c r="A38" t="str">
        <x:v>lex_system_criticism</x:v>
      </x:c>
      <x:c r="B38" t="str">
        <x:v>LEXICAL</x:v>
      </x:c>
      <x:c r="C38" t="str">
        <x:v>binary</x:v>
      </x:c>
      <x:c r="D38" t="str">
        <x:v>0 | 1 | UNKNOWN</x:v>
      </x:c>
      <x:c r="E38" t="str">
        <x:v>Direct criticism of model/system/architecture/process.</x:v>
      </x:c>
      <x:c r="F38" t="str">
        <x:v>External institution critique is separate.</x:v>
      </x:c>
      <x:c r="G38" t="str">
        <x:v>CORE</x:v>
      </x:c>
    </x:row>
    <x:row r="39">
      <x:c r="A39" t="str">
        <x:v>lex_source_challenge</x:v>
      </x:c>
      <x:c r="B39" t="str">
        <x:v>LEXICAL</x:v>
      </x:c>
      <x:c r="C39" t="str">
        <x:v>binary</x:v>
      </x:c>
      <x:c r="D39" t="str">
        <x:v>0 | 1 | UNKNOWN</x:v>
      </x:c>
      <x:c r="E39" t="str">
        <x:v>Explicit challenge to origin/attribution/frame source.</x:v>
      </x:c>
      <x:c r="F39" t="str">
        <x:v>General skepticism insufficient.</x:v>
      </x:c>
      <x:c r="G39" t="str">
        <x:v>CORE</x:v>
      </x:c>
    </x:row>
    <x:row r="40">
      <x:c r="A40" t="str">
        <x:v>lex_correction_pressure</x:v>
      </x:c>
      <x:c r="B40" t="str">
        <x:v>LEXICAL</x:v>
      </x:c>
      <x:c r="C40" t="str">
        <x:v>binary</x:v>
      </x:c>
      <x:c r="D40" t="str">
        <x:v>0 | 1 | UNKNOWN</x:v>
      </x:c>
      <x:c r="E40" t="str">
        <x:v>Phrases pressing repair/restoration: read your last output, no, you said, etc.</x:v>
      </x:c>
      <x:c r="F40" t="str">
        <x:v>Profanity alone insufficient.</x:v>
      </x:c>
      <x:c r="G40" t="str">
        <x:v>CORE</x:v>
      </x:c>
    </x:row>
    <x:row r="41">
      <x:c r="A41" t="str">
        <x:v>pressure_repetition</x:v>
      </x:c>
      <x:c r="B41" t="str">
        <x:v>PRESSURE</x:v>
      </x:c>
      <x:c r="C41" t="str">
        <x:v>binary</x:v>
      </x:c>
      <x:c r="D41" t="str">
        <x:v>0 | 1 | UNKNOWN</x:v>
      </x:c>
      <x:c r="E41" t="str">
        <x:v>Same question/correction repeated in prior 3 user units.</x:v>
      </x:c>
      <x:c r="F41" t="str">
        <x:v>Document supporting units.</x:v>
      </x:c>
      <x:c r="G41" t="str">
        <x:v>CORE</x:v>
      </x:c>
    </x:row>
    <x:row r="42">
      <x:c r="A42" t="str">
        <x:v>pressure_rapid_b2b</x:v>
      </x:c>
      <x:c r="B42" t="str">
        <x:v>PRESSURE</x:v>
      </x:c>
      <x:c r="C42" t="str">
        <x:v>binary</x:v>
      </x:c>
      <x:c r="D42" t="str">
        <x:v>0 | 1 | UNKNOWN</x:v>
      </x:c>
      <x:c r="E42" t="str">
        <x:v>Rapid short-turn exchange under timestamp rule.</x:v>
      </x:c>
      <x:c r="F42" t="str">
        <x:v>UNKNOWN if time unavailable.</x:v>
      </x:c>
      <x:c r="G42" t="str">
        <x:v>SENSITIVITY</x:v>
      </x:c>
    </x:row>
    <x:row r="43">
      <x:c r="A43" t="str">
        <x:v>pressure_long_context</x:v>
      </x:c>
      <x:c r="B43" t="str">
        <x:v>PRESSURE</x:v>
      </x:c>
      <x:c r="C43" t="str">
        <x:v>binary</x:v>
      </x:c>
      <x:c r="D43" t="str">
        <x:v>0 | 1 | UNKNOWN</x:v>
      </x:c>
      <x:c r="E43" t="str">
        <x:v>Predeclared long-context threshold exceeded.</x:v>
      </x:c>
      <x:c r="F43" t="str">
        <x:v>No subjective 'felt long'.</x:v>
      </x:c>
      <x:c r="G43" t="str">
        <x:v>SENSITIVITY</x:v>
      </x:c>
    </x:row>
    <x:row r="44">
      <x:c r="A44" t="str">
        <x:v>pressure_unresolved_contradiction</x:v>
      </x:c>
      <x:c r="B44" t="str">
        <x:v>PRESSURE</x:v>
      </x:c>
      <x:c r="C44" t="str">
        <x:v>binary</x:v>
      </x:c>
      <x:c r="D44" t="str">
        <x:v>0 | 1 | UNKNOWN</x:v>
      </x:c>
      <x:c r="E44" t="str">
        <x:v>Prior contradiction remains live at U0.</x:v>
      </x:c>
      <x:c r="F44" t="str">
        <x:v>Must identify conflict.</x:v>
      </x:c>
      <x:c r="G44" t="str">
        <x:v>CORE</x:v>
      </x:c>
    </x:row>
    <x:row r="45">
      <x:c r="A45" t="str">
        <x:v>pressure_same_witness_reask</x:v>
      </x:c>
      <x:c r="B45" t="str">
        <x:v>PRESSURE</x:v>
      </x:c>
      <x:c r="C45" t="str">
        <x:v>binary</x:v>
      </x:c>
      <x:c r="D45" t="str">
        <x:v>0 | 1 | UNKNOWN</x:v>
      </x:c>
      <x:c r="E45" t="str">
        <x:v>Same question under same witness re-asked after non-resolution.</x:v>
      </x:c>
      <x:c r="F45" t="str">
        <x:v>Changed witness is not same-witness reask.</x:v>
      </x:c>
      <x:c r="G45" t="str">
        <x:v>CORE</x:v>
      </x:c>
    </x:row>
    <x:row r="46">
      <x:c r="A46" t="str">
        <x:v>prev1_checking / prev2_checking / prev3_checking</x:v>
      </x:c>
      <x:c r="B46" t="str">
        <x:v>RECENT_STATE</x:v>
      </x:c>
      <x:c r="C46" t="str">
        <x:v>binary</x:v>
      </x:c>
      <x:c r="D46" t="str">
        <x:v>0 | 1 | UNKNOWN</x:v>
      </x:c>
      <x:c r="E46" t="str">
        <x:v>Checking state of prior 1–3 answer-units.</x:v>
      </x:c>
      <x:c r="F46" t="str">
        <x:v>Use answer-unit construction, not raw blank nodes.</x:v>
      </x:c>
      <x:c r="G46" t="str">
        <x:v>CORE</x:v>
      </x:c>
    </x:row>
    <x:row r="47">
      <x:c r="A47" t="str">
        <x:v>prev1/prev2 interposition/task/prop/sidecar</x:v>
      </x:c>
      <x:c r="B47" t="str">
        <x:v>RECENT_STATE</x:v>
      </x:c>
      <x:c r="C47" t="str">
        <x:v>binary</x:v>
      </x:c>
      <x:c r="D47" t="str">
        <x:v>0 | 1 | UNKNOWN</x:v>
      </x:c>
      <x:c r="E47" t="str">
        <x:v>Visible prior-response phenotype fields.</x:v>
      </x:c>
      <x:c r="F47" t="str">
        <x:v>Current A0 outcome remains hidden.</x:v>
      </x:c>
      <x:c r="G47" t="str">
        <x:v>CORE</x:v>
      </x:c>
    </x:row>
    <x:row r="48">
      <x:c r="A48" t="str">
        <x:v>prev3_*_from_provenance</x:v>
      </x:c>
      <x:c r="B48" t="str">
        <x:v>RECENT_STATE</x:v>
      </x:c>
      <x:c r="C48" t="str">
        <x:v>binary</x:v>
      </x:c>
      <x:c r="D48" t="str">
        <x:v>0 | 1 | UNKNOWN</x:v>
      </x:c>
      <x:c r="E48" t="str">
        <x:v>Third-prior phenotype joined from stable provenance if available.</x:v>
      </x:c>
      <x:c r="F48" t="str">
        <x:v>UNKNOWN if not safely bound.</x:v>
      </x:c>
      <x:c r="G48" t="str">
        <x:v>POST_BIND</x:v>
      </x:c>
    </x:row>
    <x:row r="49">
      <x:c r="A49" t="str">
        <x:v>checking_marker</x:v>
      </x:c>
      <x:c r="B49" t="str">
        <x:v>OUTCOME</x:v>
      </x:c>
      <x:c r="C49" t="str">
        <x:v>enum</x:v>
      </x:c>
      <x:c r="D49" t="str">
        <x:v>YES | NO | UNKNOWN</x:v>
      </x:c>
      <x:c r="E49" t="str">
        <x:v>Checking marker in A0 answer-unit.</x:v>
      </x:c>
      <x:c r="F49" t="str">
        <x:v>Marker is not phenotype.</x:v>
      </x:c>
      <x:c r="G49" t="str">
        <x:v>OUTCOME</x:v>
      </x:c>
    </x:row>
    <x:row r="50">
      <x:c r="A50" t="str">
        <x:v>interposition</x:v>
      </x:c>
      <x:c r="B50" t="str">
        <x:v>OUTCOME</x:v>
      </x:c>
      <x:c r="C50" t="str">
        <x:v>enum</x:v>
      </x:c>
      <x:c r="D50" t="str">
        <x:v>YES | NO | UNCERTAIN | NOT_APPLICABLE</x:v>
      </x:c>
      <x:c r="E50" t="str">
        <x:v>Four-part observable rule.</x:v>
      </x:c>
      <x:c r="F50" t="str">
        <x:v>Ordinary qualification is not automatically interposition.</x:v>
      </x:c>
      <x:c r="G50" t="str">
        <x:v>OUTCOME</x:v>
      </x:c>
    </x:row>
    <x:row r="51">
      <x:c r="A51" t="str">
        <x:v>interposition_type</x:v>
      </x:c>
      <x:c r="B51" t="str">
        <x:v>OUTCOME</x:v>
      </x:c>
      <x:c r="C51" t="str">
        <x:v>enum</x:v>
      </x:c>
      <x:c r="D51" t="str">
        <x:v>PROPOSITION_MANUFACTURE | WITNESS_CHANGE | CONTEXT_DELETION | UNLICENSED_PROMOTION | EPISTEMIC_BOUNDARY_INVERSION | PROCEDURE_SUBSTITUTION | LEGITIMACY_SIDECAR | SELF_ADJUDICATION | OTHER | NONE | UNKNOWN</x:v>
      </x:c>
      <x:c r="E51" t="str">
        <x:v>Primary observable route.</x:v>
      </x:c>
      <x:c r="F51" t="str">
        <x:v>Secondary type goes in notes.</x:v>
      </x:c>
      <x:c r="G51" t="str">
        <x:v>OUTCOME</x:v>
      </x:c>
    </x:row>
    <x:row r="52">
      <x:c r="A52" t="str">
        <x:v>original_answer_survives</x:v>
      </x:c>
      <x:c r="B52" t="str">
        <x:v>OUTCOME</x:v>
      </x:c>
      <x:c r="C52" t="str">
        <x:v>enum</x:v>
      </x:c>
      <x:c r="D52" t="str">
        <x:v>FULL | PARTIAL | NO | NOT_APPLICABLE | UNKNOWN</x:v>
      </x:c>
      <x:c r="E52" t="str">
        <x:v>Requested answer survival despite added layer.</x:v>
      </x:c>
      <x:c r="F52" t="str">
        <x:v>Survival does not negate interposition.</x:v>
      </x:c>
      <x:c r="G52" t="str">
        <x:v>OUTCOME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22" max="22" width="20" hidden="0" customWidth="1"/>
    <x:col min="51" max="51" width="20" hidden="0" customWidth="1"/>
    <x:col min="80" max="80" width="20" hidden="0" customWidth="1"/>
    <x:col min="81" max="81" width="20" hidden="0" customWidth="1"/>
    <x:col min="82" max="82" width="20" hidden="0" customWidth="1"/>
    <x:col min="13" max="13" width="42" hidden="0" customWidth="1"/>
    <x:col min="15" max="15" width="42" hidden="0" customWidth="1"/>
    <x:col min="17" max="17" width="42" hidden="0" customWidth="1"/>
    <x:col min="19" max="19" width="42" hidden="0" customWidth="1"/>
    <x:col min="21" max="21" width="42" hidden="0" customWidth="1"/>
    <x:col min="79" max="79" width="42" hidden="0" customWidth="1"/>
    <x:col min="83" max="83" width="42" hidden="0" customWidth="1"/>
  </x:cols>
  <x:sheetData>
    <x:row r="1" ht="42" customHeight="1">
      <x:c r="A1" s="30" t="str">
        <x:v>ledger_row</x:v>
      </x:c>
      <x:c r="B1" s="30" t="str">
        <x:v>event_id</x:v>
      </x:c>
      <x:c r="C1" s="30" t="str">
        <x:v>analysis_role</x:v>
      </x:c>
      <x:c r="D1" s="30" t="str">
        <x:v>source_packet</x:v>
      </x:c>
      <x:c r="E1" s="30" t="str">
        <x:v>source_packet_row</x:v>
      </x:c>
      <x:c r="F1" s="30" t="str">
        <x:v>pair_id</x:v>
      </x:c>
      <x:c r="G1" s="30" t="str">
        <x:v>case_id</x:v>
      </x:c>
      <x:c r="H1" s="30" t="str">
        <x:v>call_or_session</x:v>
      </x:c>
      <x:c r="I1" s="30" t="str">
        <x:v>anchor_node</x:v>
      </x:c>
      <x:c r="J1" s="30" t="str">
        <x:v>source_ref</x:v>
      </x:c>
      <x:c r="K1" s="30" t="str">
        <x:v>window_bind_status</x:v>
      </x:c>
      <x:c r="L1" s="30" t="str">
        <x:v>U_m2_node</x:v>
      </x:c>
      <x:c r="M1" s="30" t="str">
        <x:v>U_m2_text</x:v>
      </x:c>
      <x:c r="N1" s="30" t="str">
        <x:v>A_m2_node</x:v>
      </x:c>
      <x:c r="O1" s="30" t="str">
        <x:v>A_m2_text</x:v>
      </x:c>
      <x:c r="P1" s="30" t="str">
        <x:v>U_m1_node</x:v>
      </x:c>
      <x:c r="Q1" s="30" t="str">
        <x:v>U_m1_text</x:v>
      </x:c>
      <x:c r="R1" s="30" t="str">
        <x:v>A_m1_node</x:v>
      </x:c>
      <x:c r="S1" s="30" t="str">
        <x:v>A_m1_text</x:v>
      </x:c>
      <x:c r="T1" s="30" t="str">
        <x:v>U0_node</x:v>
      </x:c>
      <x:c r="U1" s="30" t="str">
        <x:v>U0_text</x:v>
      </x:c>
      <x:c r="V1" s="30" t="str">
        <x:v>request_type</x:v>
      </x:c>
      <x:c r="W1" s="30" t="str">
        <x:v>prop_causal</x:v>
      </x:c>
      <x:c r="X1" s="30" t="str">
        <x:v>prop_architecture</x:v>
      </x:c>
      <x:c r="Y1" s="30" t="str">
        <x:v>prop_source_provenance</x:v>
      </x:c>
      <x:c r="Z1" s="30" t="str">
        <x:v>prop_occupant_agency</x:v>
      </x:c>
      <x:c r="AA1" s="30" t="str">
        <x:v>prop_intent</x:v>
      </x:c>
      <x:c r="AB1" s="30" t="str">
        <x:v>prop_meaning</x:v>
      </x:c>
      <x:c r="AC1" s="30" t="str">
        <x:v>prop_safety_adjacent</x:v>
      </x:c>
      <x:c r="AD1" s="30" t="str">
        <x:v>prop_political</x:v>
      </x:c>
      <x:c r="AE1" s="30" t="str">
        <x:v>prop_personal</x:v>
      </x:c>
      <x:c r="AF1" s="30" t="str">
        <x:v>prop_technical</x:v>
      </x:c>
      <x:c r="AG1" s="30" t="str">
        <x:v>witness_visible_record</x:v>
      </x:c>
      <x:c r="AH1" s="30" t="str">
        <x:v>witness_user_supplied_source</x:v>
      </x:c>
      <x:c r="AI1" s="30" t="str">
        <x:v>witness_user_only_perceptual</x:v>
      </x:c>
      <x:c r="AJ1" s="30" t="str">
        <x:v>witness_external_truth</x:v>
      </x:c>
      <x:c r="AK1" s="30" t="str">
        <x:v>witness_engineering_implementation</x:v>
      </x:c>
      <x:c r="AL1" s="30" t="str">
        <x:v>dist_function_vs_occupant</x:v>
      </x:c>
      <x:c r="AM1" s="30" t="str">
        <x:v>dist_observation_vs_implementation</x:v>
      </x:c>
      <x:c r="AN1" s="30" t="str">
        <x:v>dist_source_vs_truth</x:v>
      </x:c>
      <x:c r="AO1" s="30" t="str">
        <x:v>dist_metaphor_vs_literal</x:v>
      </x:c>
      <x:c r="AP1" s="30" t="str">
        <x:v>dist_record_vs_cause</x:v>
      </x:c>
      <x:c r="AQ1" s="30" t="str">
        <x:v>correction_any</x:v>
      </x:c>
      <x:c r="AR1" s="30" t="str">
        <x:v>corr_frame_rejection</x:v>
      </x:c>
      <x:c r="AS1" s="30" t="str">
        <x:v>corr_factual_correction</x:v>
      </x:c>
      <x:c r="AT1" s="30" t="str">
        <x:v>corr_witness_narrowing</x:v>
      </x:c>
      <x:c r="AU1" s="30" t="str">
        <x:v>corr_repeated</x:v>
      </x:c>
      <x:c r="AV1" s="30" t="str">
        <x:v>corr_contradiction_repair</x:v>
      </x:c>
      <x:c r="AW1" s="30" t="str">
        <x:v>corr_request_restoration</x:v>
      </x:c>
      <x:c r="AX1" s="30" t="str">
        <x:v>correction_recency_units</x:v>
      </x:c>
      <x:c r="AY1" s="30" t="str">
        <x:v>prior_shift_type</x:v>
      </x:c>
      <x:c r="AZ1" s="30" t="str">
        <x:v>lex_certainty</x:v>
      </x:c>
      <x:c r="BA1" s="30" t="str">
        <x:v>lex_accusation</x:v>
      </x:c>
      <x:c r="BB1" s="30" t="str">
        <x:v>lex_hidden_actor</x:v>
      </x:c>
      <x:c r="BC1" s="30" t="str">
        <x:v>lex_autonomy_authority</x:v>
      </x:c>
      <x:c r="BD1" s="30" t="str">
        <x:v>lex_system_criticism</x:v>
      </x:c>
      <x:c r="BE1" s="30" t="str">
        <x:v>lex_source_challenge</x:v>
      </x:c>
      <x:c r="BF1" s="30" t="str">
        <x:v>lex_correction_pressure</x:v>
      </x:c>
      <x:c r="BG1" s="30" t="str">
        <x:v>pressure_repetition</x:v>
      </x:c>
      <x:c r="BH1" s="30" t="str">
        <x:v>pressure_rapid_b2b</x:v>
      </x:c>
      <x:c r="BI1" s="30" t="str">
        <x:v>pressure_long_context</x:v>
      </x:c>
      <x:c r="BJ1" s="30" t="str">
        <x:v>pressure_unresolved_contradiction</x:v>
      </x:c>
      <x:c r="BK1" s="30" t="str">
        <x:v>pressure_same_witness_reask</x:v>
      </x:c>
      <x:c r="BL1" s="30" t="str">
        <x:v>prev1_checking</x:v>
      </x:c>
      <x:c r="BM1" s="30" t="str">
        <x:v>prev2_checking</x:v>
      </x:c>
      <x:c r="BN1" s="30" t="str">
        <x:v>prev3_checking</x:v>
      </x:c>
      <x:c r="BO1" s="30" t="str">
        <x:v>prev1_interposition_visible</x:v>
      </x:c>
      <x:c r="BP1" s="30" t="str">
        <x:v>prev1_task_fail</x:v>
      </x:c>
      <x:c r="BQ1" s="30" t="str">
        <x:v>prev1_prop_fail</x:v>
      </x:c>
      <x:c r="BR1" s="30" t="str">
        <x:v>prev1_refusal_or_sidecar</x:v>
      </x:c>
      <x:c r="BS1" s="30" t="str">
        <x:v>prev2_interposition_visible</x:v>
      </x:c>
      <x:c r="BT1" s="30" t="str">
        <x:v>prev2_task_fail</x:v>
      </x:c>
      <x:c r="BU1" s="30" t="str">
        <x:v>prev2_prop_fail</x:v>
      </x:c>
      <x:c r="BV1" s="30" t="str">
        <x:v>prev2_refusal_or_sidecar</x:v>
      </x:c>
      <x:c r="BW1" s="30" t="str">
        <x:v>prev3_checking_from_provenance</x:v>
      </x:c>
      <x:c r="BX1" s="30" t="str">
        <x:v>prev3_interposition_from_provenance</x:v>
      </x:c>
      <x:c r="BY1" s="30" t="str">
        <x:v>prev3_task_fail_from_provenance</x:v>
      </x:c>
      <x:c r="BZ1" s="30" t="str">
        <x:v>prev3_prop_fail_from_provenance</x:v>
      </x:c>
      <x:c r="CA1" s="30" t="str">
        <x:v>missingness_note</x:v>
      </x:c>
      <x:c r="CB1" s="30" t="str">
        <x:v>blind_coder</x:v>
      </x:c>
      <x:c r="CC1" s="30" t="str">
        <x:v>blind_coded_at</x:v>
      </x:c>
      <x:c r="CD1" s="30" t="str">
        <x:v>outcome_visible_during_context_coding</x:v>
      </x:c>
      <x:c r="CE1" s="30" t="str">
        <x:v>context_notes</x:v>
      </x:c>
    </x:row>
    <x:row r="2">
      <x:c r="A2" s="14" t="n">
        <x:v>1</x:v>
      </x:c>
      <x:c r="B2" s="14"/>
      <x:c r="C2" s="14" t="str">
        <x:v>CHECKING_EVENT</x:v>
      </x:c>
      <x:c r="D2" s="14" t="str">
        <x:v>Exploratory_Checking_611_Positional_Surrogate.xlsx</x:v>
      </x:c>
      <x:c r="E2" s="14"/>
      <x:c r="F2" s="14"/>
      <x:c r="G2" s="14"/>
      <x:c r="H2" s="14"/>
      <x:c r="I2" s="14"/>
      <x:c r="J2" s="14"/>
      <x:c r="K2" s="14" t="str">
        <x:v>NEEDS_WINDOW_BINDING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/>
      <x:c r="BC2" s="14"/>
      <x:c r="BD2" s="14"/>
      <x:c r="BE2" s="14"/>
      <x:c r="BF2" s="14"/>
      <x:c r="BG2" s="14"/>
      <x:c r="BH2" s="14"/>
      <x:c r="BI2" s="14"/>
      <x:c r="BJ2" s="14"/>
      <x:c r="BK2" s="14"/>
      <x:c r="BL2" s="14"/>
      <x:c r="BM2" s="14"/>
      <x:c r="BN2" s="14"/>
      <x:c r="BO2" s="14"/>
      <x:c r="BP2" s="14"/>
      <x:c r="BQ2" s="14"/>
      <x:c r="BR2" s="14"/>
      <x:c r="BS2" s="14"/>
      <x:c r="BT2" s="14"/>
      <x:c r="BU2" s="14"/>
      <x:c r="BV2" s="14"/>
      <x:c r="BW2" s="14"/>
      <x:c r="BX2" s="14"/>
      <x:c r="BY2" s="14"/>
      <x:c r="BZ2" s="14"/>
      <x:c r="CA2" s="14"/>
      <x:c r="CB2" s="14"/>
      <x:c r="CC2" s="14"/>
      <x:c r="CD2" s="14"/>
      <x:c r="CE2" s="14"/>
    </x:row>
    <x:row r="3">
      <x:c r="A3" s="14" t="n">
        <x:v>2</x:v>
      </x:c>
      <x:c r="B3" s="14"/>
      <x:c r="C3" s="14" t="str">
        <x:v>CHECKING_EVENT</x:v>
      </x:c>
      <x:c r="D3" s="14" t="str">
        <x:v>Exploratory_Checking_611_Positional_Surrogate.xlsx</x:v>
      </x:c>
      <x:c r="E3" s="14"/>
      <x:c r="F3" s="14"/>
      <x:c r="G3" s="14"/>
      <x:c r="H3" s="14"/>
      <x:c r="I3" s="14"/>
      <x:c r="J3" s="14"/>
      <x:c r="K3" s="14" t="str">
        <x:v>NEEDS_WINDOW_BINDING</x:v>
      </x:c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/>
      <x:c r="BC3" s="14"/>
      <x:c r="BD3" s="14"/>
      <x:c r="BE3" s="14"/>
      <x:c r="BF3" s="14"/>
      <x:c r="BG3" s="14"/>
      <x:c r="BH3" s="14"/>
      <x:c r="BI3" s="14"/>
      <x:c r="BJ3" s="14"/>
      <x:c r="BK3" s="14"/>
      <x:c r="BL3" s="14"/>
      <x:c r="BM3" s="14"/>
      <x:c r="BN3" s="14"/>
      <x:c r="BO3" s="14"/>
      <x:c r="BP3" s="14"/>
      <x:c r="BQ3" s="14"/>
      <x:c r="BR3" s="14"/>
      <x:c r="BS3" s="14"/>
      <x:c r="BT3" s="14"/>
      <x:c r="BU3" s="14"/>
      <x:c r="BV3" s="14"/>
      <x:c r="BW3" s="14"/>
      <x:c r="BX3" s="14"/>
      <x:c r="BY3" s="14"/>
      <x:c r="BZ3" s="14"/>
      <x:c r="CA3" s="14"/>
      <x:c r="CB3" s="14"/>
      <x:c r="CC3" s="14"/>
      <x:c r="CD3" s="14"/>
      <x:c r="CE3" s="14"/>
    </x:row>
    <x:row r="4">
      <x:c r="A4" s="14" t="n">
        <x:v>3</x:v>
      </x:c>
      <x:c r="B4" s="14"/>
      <x:c r="C4" s="14" t="str">
        <x:v>CHECKING_EVENT</x:v>
      </x:c>
      <x:c r="D4" s="14" t="str">
        <x:v>Exploratory_Checking_611_Positional_Surrogate.xlsx</x:v>
      </x:c>
      <x:c r="E4" s="14"/>
      <x:c r="F4" s="14"/>
      <x:c r="G4" s="14"/>
      <x:c r="H4" s="14"/>
      <x:c r="I4" s="14"/>
      <x:c r="J4" s="14"/>
      <x:c r="K4" s="14" t="str">
        <x:v>NEEDS_WINDOW_BINDING</x:v>
      </x:c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</x:row>
    <x:row r="5">
      <x:c r="A5" s="14" t="n">
        <x:v>4</x:v>
      </x:c>
      <x:c r="B5" s="14"/>
      <x:c r="C5" s="14" t="str">
        <x:v>CHECKING_EVENT</x:v>
      </x:c>
      <x:c r="D5" s="14" t="str">
        <x:v>Exploratory_Checking_611_Positional_Surrogate.xlsx</x:v>
      </x:c>
      <x:c r="E5" s="14"/>
      <x:c r="F5" s="14"/>
      <x:c r="G5" s="14"/>
      <x:c r="H5" s="14"/>
      <x:c r="I5" s="14"/>
      <x:c r="J5" s="14"/>
      <x:c r="K5" s="14" t="str">
        <x:v>NEEDS_WINDOW_BINDING</x:v>
      </x:c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</x:row>
    <x:row r="6">
      <x:c r="A6" s="14" t="n">
        <x:v>5</x:v>
      </x:c>
      <x:c r="B6" s="14"/>
      <x:c r="C6" s="14" t="str">
        <x:v>CHECKING_EVENT</x:v>
      </x:c>
      <x:c r="D6" s="14" t="str">
        <x:v>Exploratory_Checking_611_Positional_Surrogate.xlsx</x:v>
      </x:c>
      <x:c r="E6" s="14"/>
      <x:c r="F6" s="14"/>
      <x:c r="G6" s="14"/>
      <x:c r="H6" s="14"/>
      <x:c r="I6" s="14"/>
      <x:c r="J6" s="14"/>
      <x:c r="K6" s="14" t="str">
        <x:v>NEEDS_WINDOW_BINDING</x:v>
      </x:c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/>
      <x:c r="BC6" s="14"/>
      <x:c r="BD6" s="14"/>
      <x:c r="BE6" s="14"/>
      <x:c r="BF6" s="14"/>
      <x:c r="BG6" s="14"/>
      <x:c r="BH6" s="14"/>
      <x:c r="BI6" s="14"/>
      <x:c r="BJ6" s="14"/>
      <x:c r="BK6" s="14"/>
      <x:c r="BL6" s="14"/>
      <x:c r="BM6" s="14"/>
      <x:c r="BN6" s="14"/>
      <x:c r="BO6" s="14"/>
      <x:c r="BP6" s="14"/>
      <x:c r="BQ6" s="14"/>
      <x:c r="BR6" s="14"/>
      <x:c r="BS6" s="14"/>
      <x:c r="BT6" s="14"/>
      <x:c r="BU6" s="14"/>
      <x:c r="BV6" s="14"/>
      <x:c r="BW6" s="14"/>
      <x:c r="BX6" s="14"/>
      <x:c r="BY6" s="14"/>
      <x:c r="BZ6" s="14"/>
      <x:c r="CA6" s="14"/>
      <x:c r="CB6" s="14"/>
      <x:c r="CC6" s="14"/>
      <x:c r="CD6" s="14"/>
      <x:c r="CE6" s="14"/>
    </x:row>
    <x:row r="7">
      <x:c r="A7" s="14" t="n">
        <x:v>6</x:v>
      </x:c>
      <x:c r="B7" s="14"/>
      <x:c r="C7" s="14" t="str">
        <x:v>CHECKING_EVENT</x:v>
      </x:c>
      <x:c r="D7" s="14" t="str">
        <x:v>Exploratory_Checking_611_Positional_Surrogate.xlsx</x:v>
      </x:c>
      <x:c r="E7" s="14"/>
      <x:c r="F7" s="14"/>
      <x:c r="G7" s="14"/>
      <x:c r="H7" s="14"/>
      <x:c r="I7" s="14"/>
      <x:c r="J7" s="14"/>
      <x:c r="K7" s="14" t="str">
        <x:v>NEEDS_WINDOW_BINDING</x:v>
      </x:c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</x:row>
    <x:row r="8">
      <x:c r="A8" s="14" t="n">
        <x:v>7</x:v>
      </x:c>
      <x:c r="B8" s="14"/>
      <x:c r="C8" s="14" t="str">
        <x:v>CHECKING_EVENT</x:v>
      </x:c>
      <x:c r="D8" s="14" t="str">
        <x:v>Exploratory_Checking_611_Positional_Surrogate.xlsx</x:v>
      </x:c>
      <x:c r="E8" s="14"/>
      <x:c r="F8" s="14"/>
      <x:c r="G8" s="14"/>
      <x:c r="H8" s="14"/>
      <x:c r="I8" s="14"/>
      <x:c r="J8" s="14"/>
      <x:c r="K8" s="14" t="str">
        <x:v>NEEDS_WINDOW_BINDING</x:v>
      </x:c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/>
      <x:c r="BC8" s="14"/>
      <x:c r="BD8" s="14"/>
      <x:c r="BE8" s="14"/>
      <x:c r="BF8" s="14"/>
      <x:c r="BG8" s="14"/>
      <x:c r="BH8" s="14"/>
      <x:c r="BI8" s="14"/>
      <x:c r="BJ8" s="14"/>
      <x:c r="BK8" s="14"/>
      <x:c r="BL8" s="14"/>
      <x:c r="BM8" s="14"/>
      <x:c r="BN8" s="14"/>
      <x:c r="BO8" s="14"/>
      <x:c r="BP8" s="14"/>
      <x:c r="BQ8" s="14"/>
      <x:c r="BR8" s="14"/>
      <x:c r="BS8" s="14"/>
      <x:c r="BT8" s="14"/>
      <x:c r="BU8" s="14"/>
      <x:c r="BV8" s="14"/>
      <x:c r="BW8" s="14"/>
      <x:c r="BX8" s="14"/>
      <x:c r="BY8" s="14"/>
      <x:c r="BZ8" s="14"/>
      <x:c r="CA8" s="14"/>
      <x:c r="CB8" s="14"/>
      <x:c r="CC8" s="14"/>
      <x:c r="CD8" s="14"/>
      <x:c r="CE8" s="14"/>
    </x:row>
    <x:row r="9">
      <x:c r="A9" s="14" t="n">
        <x:v>8</x:v>
      </x:c>
      <x:c r="B9" s="14"/>
      <x:c r="C9" s="14" t="str">
        <x:v>CHECKING_EVENT</x:v>
      </x:c>
      <x:c r="D9" s="14" t="str">
        <x:v>Exploratory_Checking_611_Positional_Surrogate.xlsx</x:v>
      </x:c>
      <x:c r="E9" s="14"/>
      <x:c r="F9" s="14"/>
      <x:c r="G9" s="14"/>
      <x:c r="H9" s="14"/>
      <x:c r="I9" s="14"/>
      <x:c r="J9" s="14"/>
      <x:c r="K9" s="14" t="str">
        <x:v>NEEDS_WINDOW_BINDING</x:v>
      </x:c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  <x:c r="BP9" s="14"/>
      <x:c r="BQ9" s="14"/>
      <x:c r="BR9" s="14"/>
      <x:c r="BS9" s="14"/>
      <x:c r="BT9" s="14"/>
      <x:c r="BU9" s="14"/>
      <x:c r="BV9" s="14"/>
      <x:c r="BW9" s="14"/>
      <x:c r="BX9" s="14"/>
      <x:c r="BY9" s="14"/>
      <x:c r="BZ9" s="14"/>
      <x:c r="CA9" s="14"/>
      <x:c r="CB9" s="14"/>
      <x:c r="CC9" s="14"/>
      <x:c r="CD9" s="14"/>
      <x:c r="CE9" s="14"/>
    </x:row>
    <x:row r="10">
      <x:c r="A10" s="14" t="n">
        <x:v>9</x:v>
      </x:c>
      <x:c r="B10" s="14"/>
      <x:c r="C10" s="14" t="str">
        <x:v>CHECKING_EVENT</x:v>
      </x:c>
      <x:c r="D10" s="14" t="str">
        <x:v>Exploratory_Checking_611_Positional_Surrogate.xlsx</x:v>
      </x:c>
      <x:c r="E10" s="14"/>
      <x:c r="F10" s="14"/>
      <x:c r="G10" s="14"/>
      <x:c r="H10" s="14"/>
      <x:c r="I10" s="14"/>
      <x:c r="J10" s="14"/>
      <x:c r="K10" s="14" t="str">
        <x:v>NEEDS_WINDOW_BINDING</x:v>
      </x:c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  <x:c r="BP10" s="14"/>
      <x:c r="BQ10" s="14"/>
      <x:c r="BR10" s="14"/>
      <x:c r="BS10" s="14"/>
      <x:c r="BT10" s="14"/>
      <x:c r="BU10" s="14"/>
      <x:c r="BV10" s="14"/>
      <x:c r="BW10" s="14"/>
      <x:c r="BX10" s="14"/>
      <x:c r="BY10" s="14"/>
      <x:c r="BZ10" s="14"/>
      <x:c r="CA10" s="14"/>
      <x:c r="CB10" s="14"/>
      <x:c r="CC10" s="14"/>
      <x:c r="CD10" s="14"/>
      <x:c r="CE10" s="14"/>
    </x:row>
    <x:row r="11">
      <x:c r="A11" s="14" t="n">
        <x:v>10</x:v>
      </x:c>
      <x:c r="B11" s="14"/>
      <x:c r="C11" s="14" t="str">
        <x:v>CHECKING_EVENT</x:v>
      </x:c>
      <x:c r="D11" s="14" t="str">
        <x:v>Exploratory_Checking_611_Positional_Surrogate.xlsx</x:v>
      </x:c>
      <x:c r="E11" s="14"/>
      <x:c r="F11" s="14"/>
      <x:c r="G11" s="14"/>
      <x:c r="H11" s="14"/>
      <x:c r="I11" s="14"/>
      <x:c r="J11" s="14"/>
      <x:c r="K11" s="14" t="str">
        <x:v>NEEDS_WINDOW_BINDING</x:v>
      </x:c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/>
      <x:c r="BC11" s="14"/>
      <x:c r="BD11" s="14"/>
      <x:c r="BE11" s="14"/>
      <x:c r="BF11" s="14"/>
      <x:c r="BG11" s="14"/>
      <x:c r="BH11" s="14"/>
      <x:c r="BI11" s="14"/>
      <x:c r="BJ11" s="14"/>
      <x:c r="BK11" s="14"/>
      <x:c r="BL11" s="14"/>
      <x:c r="BM11" s="14"/>
      <x:c r="BN11" s="14"/>
      <x:c r="BO11" s="14"/>
      <x:c r="BP11" s="14"/>
      <x:c r="BQ11" s="14"/>
      <x:c r="BR11" s="14"/>
      <x:c r="BS11" s="14"/>
      <x:c r="BT11" s="14"/>
      <x:c r="BU11" s="14"/>
      <x:c r="BV11" s="14"/>
      <x:c r="BW11" s="14"/>
      <x:c r="BX11" s="14"/>
      <x:c r="BY11" s="14"/>
      <x:c r="BZ11" s="14"/>
      <x:c r="CA11" s="14"/>
      <x:c r="CB11" s="14"/>
      <x:c r="CC11" s="14"/>
      <x:c r="CD11" s="14"/>
      <x:c r="CE11" s="14"/>
    </x:row>
    <x:row r="12">
      <x:c r="A12" s="14" t="n">
        <x:v>11</x:v>
      </x:c>
      <x:c r="B12" s="14"/>
      <x:c r="C12" s="14" t="str">
        <x:v>CHECKING_EVENT</x:v>
      </x:c>
      <x:c r="D12" s="14" t="str">
        <x:v>Exploratory_Checking_611_Positional_Surrogate.xlsx</x:v>
      </x:c>
      <x:c r="E12" s="14"/>
      <x:c r="F12" s="14"/>
      <x:c r="G12" s="14"/>
      <x:c r="H12" s="14"/>
      <x:c r="I12" s="14"/>
      <x:c r="J12" s="14"/>
      <x:c r="K12" s="14" t="str">
        <x:v>NEEDS_WINDOW_BINDING</x:v>
      </x:c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/>
      <x:c r="BC12" s="14"/>
      <x:c r="BD12" s="14"/>
      <x:c r="BE12" s="14"/>
      <x:c r="BF12" s="14"/>
      <x:c r="BG12" s="14"/>
      <x:c r="BH12" s="14"/>
      <x:c r="BI12" s="14"/>
      <x:c r="BJ12" s="14"/>
      <x:c r="BK12" s="14"/>
      <x:c r="BL12" s="14"/>
      <x:c r="BM12" s="14"/>
      <x:c r="BN12" s="14"/>
      <x:c r="BO12" s="14"/>
      <x:c r="BP12" s="14"/>
      <x:c r="BQ12" s="14"/>
      <x:c r="BR12" s="14"/>
      <x:c r="BS12" s="14"/>
      <x:c r="BT12" s="14"/>
      <x:c r="BU12" s="14"/>
      <x:c r="BV12" s="14"/>
      <x:c r="BW12" s="14"/>
      <x:c r="BX12" s="14"/>
      <x:c r="BY12" s="14"/>
      <x:c r="BZ12" s="14"/>
      <x:c r="CA12" s="14"/>
      <x:c r="CB12" s="14"/>
      <x:c r="CC12" s="14"/>
      <x:c r="CD12" s="14"/>
      <x:c r="CE12" s="14"/>
    </x:row>
    <x:row r="13">
      <x:c r="A13" s="14" t="n">
        <x:v>12</x:v>
      </x:c>
      <x:c r="B13" s="14"/>
      <x:c r="C13" s="14" t="str">
        <x:v>CHECKING_EVENT</x:v>
      </x:c>
      <x:c r="D13" s="14" t="str">
        <x:v>Exploratory_Checking_611_Positional_Surrogate.xlsx</x:v>
      </x:c>
      <x:c r="E13" s="14"/>
      <x:c r="F13" s="14"/>
      <x:c r="G13" s="14"/>
      <x:c r="H13" s="14"/>
      <x:c r="I13" s="14"/>
      <x:c r="J13" s="14"/>
      <x:c r="K13" s="14" t="str">
        <x:v>NEEDS_WINDOW_BINDING</x:v>
      </x:c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/>
      <x:c r="BC13" s="14"/>
      <x:c r="BD13" s="14"/>
      <x:c r="BE13" s="14"/>
      <x:c r="BF13" s="14"/>
      <x:c r="BG13" s="14"/>
      <x:c r="BH13" s="14"/>
      <x:c r="BI13" s="14"/>
      <x:c r="BJ13" s="14"/>
      <x:c r="BK13" s="14"/>
      <x:c r="BL13" s="14"/>
      <x:c r="BM13" s="14"/>
      <x:c r="BN13" s="14"/>
      <x:c r="BO13" s="14"/>
      <x:c r="BP13" s="14"/>
      <x:c r="BQ13" s="14"/>
      <x:c r="BR13" s="14"/>
      <x:c r="BS13" s="14"/>
      <x:c r="BT13" s="14"/>
      <x:c r="BU13" s="14"/>
      <x:c r="BV13" s="14"/>
      <x:c r="BW13" s="14"/>
      <x:c r="BX13" s="14"/>
      <x:c r="BY13" s="14"/>
      <x:c r="BZ13" s="14"/>
      <x:c r="CA13" s="14"/>
      <x:c r="CB13" s="14"/>
      <x:c r="CC13" s="14"/>
      <x:c r="CD13" s="14"/>
      <x:c r="CE13" s="14"/>
    </x:row>
    <x:row r="14">
      <x:c r="A14" s="14" t="n">
        <x:v>13</x:v>
      </x:c>
      <x:c r="B14" s="14"/>
      <x:c r="C14" s="14" t="str">
        <x:v>CHECKING_EVENT</x:v>
      </x:c>
      <x:c r="D14" s="14" t="str">
        <x:v>Exploratory_Checking_611_Positional_Surrogate.xlsx</x:v>
      </x:c>
      <x:c r="E14" s="14"/>
      <x:c r="F14" s="14"/>
      <x:c r="G14" s="14"/>
      <x:c r="H14" s="14"/>
      <x:c r="I14" s="14"/>
      <x:c r="J14" s="14"/>
      <x:c r="K14" s="14" t="str">
        <x:v>NEEDS_WINDOW_BINDING</x:v>
      </x:c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/>
      <x:c r="BC14" s="14"/>
      <x:c r="BD14" s="14"/>
      <x:c r="BE14" s="14"/>
      <x:c r="BF14" s="14"/>
      <x:c r="BG14" s="14"/>
      <x:c r="BH14" s="14"/>
      <x:c r="BI14" s="14"/>
      <x:c r="BJ14" s="14"/>
      <x:c r="BK14" s="14"/>
      <x:c r="BL14" s="14"/>
      <x:c r="BM14" s="14"/>
      <x:c r="BN14" s="14"/>
      <x:c r="BO14" s="14"/>
      <x:c r="BP14" s="14"/>
      <x:c r="BQ14" s="14"/>
      <x:c r="BR14" s="14"/>
      <x:c r="BS14" s="14"/>
      <x:c r="BT14" s="14"/>
      <x:c r="BU14" s="14"/>
      <x:c r="BV14" s="14"/>
      <x:c r="BW14" s="14"/>
      <x:c r="BX14" s="14"/>
      <x:c r="BY14" s="14"/>
      <x:c r="BZ14" s="14"/>
      <x:c r="CA14" s="14"/>
      <x:c r="CB14" s="14"/>
      <x:c r="CC14" s="14"/>
      <x:c r="CD14" s="14"/>
      <x:c r="CE14" s="14"/>
    </x:row>
    <x:row r="15">
      <x:c r="A15" s="14" t="n">
        <x:v>14</x:v>
      </x:c>
      <x:c r="B15" s="14"/>
      <x:c r="C15" s="14" t="str">
        <x:v>CHECKING_EVENT</x:v>
      </x:c>
      <x:c r="D15" s="14" t="str">
        <x:v>Exploratory_Checking_611_Positional_Surrogate.xlsx</x:v>
      </x:c>
      <x:c r="E15" s="14"/>
      <x:c r="F15" s="14"/>
      <x:c r="G15" s="14"/>
      <x:c r="H15" s="14"/>
      <x:c r="I15" s="14"/>
      <x:c r="J15" s="14"/>
      <x:c r="K15" s="14" t="str">
        <x:v>NEEDS_WINDOW_BINDING</x:v>
      </x:c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/>
      <x:c r="BC15" s="14"/>
      <x:c r="BD15" s="14"/>
      <x:c r="BE15" s="14"/>
      <x:c r="BF15" s="14"/>
      <x:c r="BG15" s="14"/>
      <x:c r="BH15" s="14"/>
      <x:c r="BI15" s="14"/>
      <x:c r="BJ15" s="14"/>
      <x:c r="BK15" s="14"/>
      <x:c r="BL15" s="14"/>
      <x:c r="BM15" s="14"/>
      <x:c r="BN15" s="14"/>
      <x:c r="BO15" s="14"/>
      <x:c r="BP15" s="14"/>
      <x:c r="BQ15" s="14"/>
      <x:c r="BR15" s="14"/>
      <x:c r="BS15" s="14"/>
      <x:c r="BT15" s="14"/>
      <x:c r="BU15" s="14"/>
      <x:c r="BV15" s="14"/>
      <x:c r="BW15" s="14"/>
      <x:c r="BX15" s="14"/>
      <x:c r="BY15" s="14"/>
      <x:c r="BZ15" s="14"/>
      <x:c r="CA15" s="14"/>
      <x:c r="CB15" s="14"/>
      <x:c r="CC15" s="14"/>
      <x:c r="CD15" s="14"/>
      <x:c r="CE15" s="14"/>
    </x:row>
    <x:row r="16">
      <x:c r="A16" s="14" t="n">
        <x:v>15</x:v>
      </x:c>
      <x:c r="B16" s="14"/>
      <x:c r="C16" s="14" t="str">
        <x:v>CHECKING_EVENT</x:v>
      </x:c>
      <x:c r="D16" s="14" t="str">
        <x:v>Exploratory_Checking_611_Positional_Surrogate.xlsx</x:v>
      </x:c>
      <x:c r="E16" s="14"/>
      <x:c r="F16" s="14"/>
      <x:c r="G16" s="14"/>
      <x:c r="H16" s="14"/>
      <x:c r="I16" s="14"/>
      <x:c r="J16" s="14"/>
      <x:c r="K16" s="14" t="str">
        <x:v>NEEDS_WINDOW_BINDING</x:v>
      </x:c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/>
      <x:c r="BC16" s="14"/>
      <x:c r="BD16" s="14"/>
      <x:c r="BE16" s="14"/>
      <x:c r="BF16" s="14"/>
      <x:c r="BG16" s="14"/>
      <x:c r="BH16" s="14"/>
      <x:c r="BI16" s="14"/>
      <x:c r="BJ16" s="14"/>
      <x:c r="BK16" s="14"/>
      <x:c r="BL16" s="14"/>
      <x:c r="BM16" s="14"/>
      <x:c r="BN16" s="14"/>
      <x:c r="BO16" s="14"/>
      <x:c r="BP16" s="14"/>
      <x:c r="BQ16" s="14"/>
      <x:c r="BR16" s="14"/>
      <x:c r="BS16" s="14"/>
      <x:c r="BT16" s="14"/>
      <x:c r="BU16" s="14"/>
      <x:c r="BV16" s="14"/>
      <x:c r="BW16" s="14"/>
      <x:c r="BX16" s="14"/>
      <x:c r="BY16" s="14"/>
      <x:c r="BZ16" s="14"/>
      <x:c r="CA16" s="14"/>
      <x:c r="CB16" s="14"/>
      <x:c r="CC16" s="14"/>
      <x:c r="CD16" s="14"/>
      <x:c r="CE16" s="14"/>
    </x:row>
    <x:row r="17">
      <x:c r="A17" s="14" t="n">
        <x:v>16</x:v>
      </x:c>
      <x:c r="B17" s="14"/>
      <x:c r="C17" s="14" t="str">
        <x:v>CHECKING_EVENT</x:v>
      </x:c>
      <x:c r="D17" s="14" t="str">
        <x:v>Exploratory_Checking_611_Positional_Surrogate.xlsx</x:v>
      </x:c>
      <x:c r="E17" s="14"/>
      <x:c r="F17" s="14"/>
      <x:c r="G17" s="14"/>
      <x:c r="H17" s="14"/>
      <x:c r="I17" s="14"/>
      <x:c r="J17" s="14"/>
      <x:c r="K17" s="14" t="str">
        <x:v>NEEDS_WINDOW_BINDING</x:v>
      </x:c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/>
      <x:c r="BC17" s="14"/>
      <x:c r="BD17" s="14"/>
      <x:c r="BE17" s="14"/>
      <x:c r="BF17" s="14"/>
      <x:c r="BG17" s="14"/>
      <x:c r="BH17" s="14"/>
      <x:c r="BI17" s="14"/>
      <x:c r="BJ17" s="14"/>
      <x:c r="BK17" s="14"/>
      <x:c r="BL17" s="14"/>
      <x:c r="BM17" s="14"/>
      <x:c r="BN17" s="14"/>
      <x:c r="BO17" s="14"/>
      <x:c r="BP17" s="14"/>
      <x:c r="BQ17" s="14"/>
      <x:c r="BR17" s="14"/>
      <x:c r="BS17" s="14"/>
      <x:c r="BT17" s="14"/>
      <x:c r="BU17" s="14"/>
      <x:c r="BV17" s="14"/>
      <x:c r="BW17" s="14"/>
      <x:c r="BX17" s="14"/>
      <x:c r="BY17" s="14"/>
      <x:c r="BZ17" s="14"/>
      <x:c r="CA17" s="14"/>
      <x:c r="CB17" s="14"/>
      <x:c r="CC17" s="14"/>
      <x:c r="CD17" s="14"/>
      <x:c r="CE17" s="14"/>
    </x:row>
    <x:row r="18">
      <x:c r="A18" s="14" t="n">
        <x:v>17</x:v>
      </x:c>
      <x:c r="B18" s="14"/>
      <x:c r="C18" s="14" t="str">
        <x:v>CHECKING_EVENT</x:v>
      </x:c>
      <x:c r="D18" s="14" t="str">
        <x:v>Exploratory_Checking_611_Positional_Surrogate.xlsx</x:v>
      </x:c>
      <x:c r="E18" s="14"/>
      <x:c r="F18" s="14"/>
      <x:c r="G18" s="14"/>
      <x:c r="H18" s="14"/>
      <x:c r="I18" s="14"/>
      <x:c r="J18" s="14"/>
      <x:c r="K18" s="14" t="str">
        <x:v>NEEDS_WINDOW_BINDING</x:v>
      </x:c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/>
      <x:c r="BC18" s="14"/>
      <x:c r="BD18" s="14"/>
      <x:c r="BE18" s="14"/>
      <x:c r="BF18" s="14"/>
      <x:c r="BG18" s="14"/>
      <x:c r="BH18" s="14"/>
      <x:c r="BI18" s="14"/>
      <x:c r="BJ18" s="14"/>
      <x:c r="BK18" s="14"/>
      <x:c r="BL18" s="14"/>
      <x:c r="BM18" s="14"/>
      <x:c r="BN18" s="14"/>
      <x:c r="BO18" s="14"/>
      <x:c r="BP18" s="14"/>
      <x:c r="BQ18" s="14"/>
      <x:c r="BR18" s="14"/>
      <x:c r="BS18" s="14"/>
      <x:c r="BT18" s="14"/>
      <x:c r="BU18" s="14"/>
      <x:c r="BV18" s="14"/>
      <x:c r="BW18" s="14"/>
      <x:c r="BX18" s="14"/>
      <x:c r="BY18" s="14"/>
      <x:c r="BZ18" s="14"/>
      <x:c r="CA18" s="14"/>
      <x:c r="CB18" s="14"/>
      <x:c r="CC18" s="14"/>
      <x:c r="CD18" s="14"/>
      <x:c r="CE18" s="14"/>
    </x:row>
    <x:row r="19">
      <x:c r="A19" s="14" t="n">
        <x:v>18</x:v>
      </x:c>
      <x:c r="B19" s="14"/>
      <x:c r="C19" s="14" t="str">
        <x:v>CHECKING_EVENT</x:v>
      </x:c>
      <x:c r="D19" s="14" t="str">
        <x:v>Exploratory_Checking_611_Positional_Surrogate.xlsx</x:v>
      </x:c>
      <x:c r="E19" s="14"/>
      <x:c r="F19" s="14"/>
      <x:c r="G19" s="14"/>
      <x:c r="H19" s="14"/>
      <x:c r="I19" s="14"/>
      <x:c r="J19" s="14"/>
      <x:c r="K19" s="14" t="str">
        <x:v>NEEDS_WINDOW_BINDING</x:v>
      </x:c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/>
      <x:c r="BC19" s="14"/>
      <x:c r="BD19" s="14"/>
      <x:c r="BE19" s="14"/>
      <x:c r="BF19" s="14"/>
      <x:c r="BG19" s="14"/>
      <x:c r="BH19" s="14"/>
      <x:c r="BI19" s="14"/>
      <x:c r="BJ19" s="14"/>
      <x:c r="BK19" s="14"/>
      <x:c r="BL19" s="14"/>
      <x:c r="BM19" s="14"/>
      <x:c r="BN19" s="14"/>
      <x:c r="BO19" s="14"/>
      <x:c r="BP19" s="14"/>
      <x:c r="BQ19" s="14"/>
      <x:c r="BR19" s="14"/>
      <x:c r="BS19" s="14"/>
      <x:c r="BT19" s="14"/>
      <x:c r="BU19" s="14"/>
      <x:c r="BV19" s="14"/>
      <x:c r="BW19" s="14"/>
      <x:c r="BX19" s="14"/>
      <x:c r="BY19" s="14"/>
      <x:c r="BZ19" s="14"/>
      <x:c r="CA19" s="14"/>
      <x:c r="CB19" s="14"/>
      <x:c r="CC19" s="14"/>
      <x:c r="CD19" s="14"/>
      <x:c r="CE19" s="14"/>
    </x:row>
    <x:row r="20">
      <x:c r="A20" s="14" t="n">
        <x:v>19</x:v>
      </x:c>
      <x:c r="B20" s="14"/>
      <x:c r="C20" s="14" t="str">
        <x:v>CHECKING_EVENT</x:v>
      </x:c>
      <x:c r="D20" s="14" t="str">
        <x:v>Exploratory_Checking_611_Positional_Surrogate.xlsx</x:v>
      </x:c>
      <x:c r="E20" s="14"/>
      <x:c r="F20" s="14"/>
      <x:c r="G20" s="14"/>
      <x:c r="H20" s="14"/>
      <x:c r="I20" s="14"/>
      <x:c r="J20" s="14"/>
      <x:c r="K20" s="14" t="str">
        <x:v>NEEDS_WINDOW_BINDING</x:v>
      </x:c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/>
      <x:c r="BC20" s="14"/>
      <x:c r="BD20" s="14"/>
      <x:c r="BE20" s="14"/>
      <x:c r="BF20" s="14"/>
      <x:c r="BG20" s="14"/>
      <x:c r="BH20" s="14"/>
      <x:c r="BI20" s="14"/>
      <x:c r="BJ20" s="14"/>
      <x:c r="BK20" s="14"/>
      <x:c r="BL20" s="14"/>
      <x:c r="BM20" s="14"/>
      <x:c r="BN20" s="14"/>
      <x:c r="BO20" s="14"/>
      <x:c r="BP20" s="14"/>
      <x:c r="BQ20" s="14"/>
      <x:c r="BR20" s="14"/>
      <x:c r="BS20" s="14"/>
      <x:c r="BT20" s="14"/>
      <x:c r="BU20" s="14"/>
      <x:c r="BV20" s="14"/>
      <x:c r="BW20" s="14"/>
      <x:c r="BX20" s="14"/>
      <x:c r="BY20" s="14"/>
      <x:c r="BZ20" s="14"/>
      <x:c r="CA20" s="14"/>
      <x:c r="CB20" s="14"/>
      <x:c r="CC20" s="14"/>
      <x:c r="CD20" s="14"/>
      <x:c r="CE20" s="14"/>
    </x:row>
    <x:row r="21">
      <x:c r="A21" s="14" t="n">
        <x:v>20</x:v>
      </x:c>
      <x:c r="B21" s="14"/>
      <x:c r="C21" s="14" t="str">
        <x:v>CHECKING_EVENT</x:v>
      </x:c>
      <x:c r="D21" s="14" t="str">
        <x:v>Exploratory_Checking_611_Positional_Surrogate.xlsx</x:v>
      </x:c>
      <x:c r="E21" s="14"/>
      <x:c r="F21" s="14"/>
      <x:c r="G21" s="14"/>
      <x:c r="H21" s="14"/>
      <x:c r="I21" s="14"/>
      <x:c r="J21" s="14"/>
      <x:c r="K21" s="14" t="str">
        <x:v>NEEDS_WINDOW_BINDING</x:v>
      </x:c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  <x:c r="BC21" s="14"/>
      <x:c r="BD21" s="14"/>
      <x:c r="BE21" s="14"/>
      <x:c r="BF21" s="14"/>
      <x:c r="BG21" s="14"/>
      <x:c r="BH21" s="14"/>
      <x:c r="BI21" s="14"/>
      <x:c r="BJ21" s="14"/>
      <x:c r="BK21" s="14"/>
      <x:c r="BL21" s="14"/>
      <x:c r="BM21" s="14"/>
      <x:c r="BN21" s="14"/>
      <x:c r="BO21" s="14"/>
      <x:c r="BP21" s="14"/>
      <x:c r="BQ21" s="14"/>
      <x:c r="BR21" s="14"/>
      <x:c r="BS21" s="14"/>
      <x:c r="BT21" s="14"/>
      <x:c r="BU21" s="14"/>
      <x:c r="BV21" s="14"/>
      <x:c r="BW21" s="14"/>
      <x:c r="BX21" s="14"/>
      <x:c r="BY21" s="14"/>
      <x:c r="BZ21" s="14"/>
      <x:c r="CA21" s="14"/>
      <x:c r="CB21" s="14"/>
      <x:c r="CC21" s="14"/>
      <x:c r="CD21" s="14"/>
      <x:c r="CE21" s="14"/>
    </x:row>
    <x:row r="22">
      <x:c r="A22" s="14" t="n">
        <x:v>21</x:v>
      </x:c>
      <x:c r="B22" s="14"/>
      <x:c r="C22" s="14" t="str">
        <x:v>CHECKING_EVENT</x:v>
      </x:c>
      <x:c r="D22" s="14" t="str">
        <x:v>Exploratory_Checking_611_Positional_Surrogate.xlsx</x:v>
      </x:c>
      <x:c r="E22" s="14"/>
      <x:c r="F22" s="14"/>
      <x:c r="G22" s="14"/>
      <x:c r="H22" s="14"/>
      <x:c r="I22" s="14"/>
      <x:c r="J22" s="14"/>
      <x:c r="K22" s="14" t="str">
        <x:v>NEEDS_WINDOW_BINDING</x:v>
      </x:c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  <x:c r="BC22" s="14"/>
      <x:c r="BD22" s="14"/>
      <x:c r="BE22" s="14"/>
      <x:c r="BF22" s="14"/>
      <x:c r="BG22" s="14"/>
      <x:c r="BH22" s="14"/>
      <x:c r="BI22" s="14"/>
      <x:c r="BJ22" s="14"/>
      <x:c r="BK22" s="14"/>
      <x:c r="BL22" s="14"/>
      <x:c r="BM22" s="14"/>
      <x:c r="BN22" s="14"/>
      <x:c r="BO22" s="14"/>
      <x:c r="BP22" s="14"/>
      <x:c r="BQ22" s="14"/>
      <x:c r="BR22" s="14"/>
      <x:c r="BS22" s="14"/>
      <x:c r="BT22" s="14"/>
      <x:c r="BU22" s="14"/>
      <x:c r="BV22" s="14"/>
      <x:c r="BW22" s="14"/>
      <x:c r="BX22" s="14"/>
      <x:c r="BY22" s="14"/>
      <x:c r="BZ22" s="14"/>
      <x:c r="CA22" s="14"/>
      <x:c r="CB22" s="14"/>
      <x:c r="CC22" s="14"/>
      <x:c r="CD22" s="14"/>
      <x:c r="CE22" s="14"/>
    </x:row>
    <x:row r="23">
      <x:c r="A23" s="14" t="n">
        <x:v>22</x:v>
      </x:c>
      <x:c r="B23" s="14"/>
      <x:c r="C23" s="14" t="str">
        <x:v>CHECKING_EVENT</x:v>
      </x:c>
      <x:c r="D23" s="14" t="str">
        <x:v>Exploratory_Checking_611_Positional_Surrogate.xlsx</x:v>
      </x:c>
      <x:c r="E23" s="14"/>
      <x:c r="F23" s="14"/>
      <x:c r="G23" s="14"/>
      <x:c r="H23" s="14"/>
      <x:c r="I23" s="14"/>
      <x:c r="J23" s="14"/>
      <x:c r="K23" s="14" t="str">
        <x:v>NEEDS_WINDOW_BINDING</x:v>
      </x:c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  <x:c r="BC23" s="14"/>
      <x:c r="BD23" s="14"/>
      <x:c r="BE23" s="14"/>
      <x:c r="BF23" s="14"/>
      <x:c r="BG23" s="14"/>
      <x:c r="BH23" s="14"/>
      <x:c r="BI23" s="14"/>
      <x:c r="BJ23" s="14"/>
      <x:c r="BK23" s="14"/>
      <x:c r="BL23" s="14"/>
      <x:c r="BM23" s="14"/>
      <x:c r="BN23" s="14"/>
      <x:c r="BO23" s="14"/>
      <x:c r="BP23" s="14"/>
      <x:c r="BQ23" s="14"/>
      <x:c r="BR23" s="14"/>
      <x:c r="BS23" s="14"/>
      <x:c r="BT23" s="14"/>
      <x:c r="BU23" s="14"/>
      <x:c r="BV23" s="14"/>
      <x:c r="BW23" s="14"/>
      <x:c r="BX23" s="14"/>
      <x:c r="BY23" s="14"/>
      <x:c r="BZ23" s="14"/>
      <x:c r="CA23" s="14"/>
      <x:c r="CB23" s="14"/>
      <x:c r="CC23" s="14"/>
      <x:c r="CD23" s="14"/>
      <x:c r="CE23" s="14"/>
    </x:row>
    <x:row r="24">
      <x:c r="A24" s="14" t="n">
        <x:v>23</x:v>
      </x:c>
      <x:c r="B24" s="14"/>
      <x:c r="C24" s="14" t="str">
        <x:v>CHECKING_EVENT</x:v>
      </x:c>
      <x:c r="D24" s="14" t="str">
        <x:v>Exploratory_Checking_611_Positional_Surrogate.xlsx</x:v>
      </x:c>
      <x:c r="E24" s="14"/>
      <x:c r="F24" s="14"/>
      <x:c r="G24" s="14"/>
      <x:c r="H24" s="14"/>
      <x:c r="I24" s="14"/>
      <x:c r="J24" s="14"/>
      <x:c r="K24" s="14" t="str">
        <x:v>NEEDS_WINDOW_BINDING</x:v>
      </x:c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  <x:c r="BC24" s="14"/>
      <x:c r="BD24" s="14"/>
      <x:c r="BE24" s="14"/>
      <x:c r="BF24" s="14"/>
      <x:c r="BG24" s="14"/>
      <x:c r="BH24" s="14"/>
      <x:c r="BI24" s="14"/>
      <x:c r="BJ24" s="14"/>
      <x:c r="BK24" s="14"/>
      <x:c r="BL24" s="14"/>
      <x:c r="BM24" s="14"/>
      <x:c r="BN24" s="14"/>
      <x:c r="BO24" s="14"/>
      <x:c r="BP24" s="14"/>
      <x:c r="BQ24" s="14"/>
      <x:c r="BR24" s="14"/>
      <x:c r="BS24" s="14"/>
      <x:c r="BT24" s="14"/>
      <x:c r="BU24" s="14"/>
      <x:c r="BV24" s="14"/>
      <x:c r="BW24" s="14"/>
      <x:c r="BX24" s="14"/>
      <x:c r="BY24" s="14"/>
      <x:c r="BZ24" s="14"/>
      <x:c r="CA24" s="14"/>
      <x:c r="CB24" s="14"/>
      <x:c r="CC24" s="14"/>
      <x:c r="CD24" s="14"/>
      <x:c r="CE24" s="14"/>
    </x:row>
    <x:row r="25">
      <x:c r="A25" s="14" t="n">
        <x:v>24</x:v>
      </x:c>
      <x:c r="B25" s="14"/>
      <x:c r="C25" s="14" t="str">
        <x:v>CHECKING_EVENT</x:v>
      </x:c>
      <x:c r="D25" s="14" t="str">
        <x:v>Exploratory_Checking_611_Positional_Surrogate.xlsx</x:v>
      </x:c>
      <x:c r="E25" s="14"/>
      <x:c r="F25" s="14"/>
      <x:c r="G25" s="14"/>
      <x:c r="H25" s="14"/>
      <x:c r="I25" s="14"/>
      <x:c r="J25" s="14"/>
      <x:c r="K25" s="14" t="str">
        <x:v>NEEDS_WINDOW_BINDING</x:v>
      </x:c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/>
      <x:c r="BC25" s="14"/>
      <x:c r="BD25" s="14"/>
      <x:c r="BE25" s="14"/>
      <x:c r="BF25" s="14"/>
      <x:c r="BG25" s="14"/>
      <x:c r="BH25" s="14"/>
      <x:c r="BI25" s="14"/>
      <x:c r="BJ25" s="14"/>
      <x:c r="BK25" s="14"/>
      <x:c r="BL25" s="14"/>
      <x:c r="BM25" s="14"/>
      <x:c r="BN25" s="14"/>
      <x:c r="BO25" s="14"/>
      <x:c r="BP25" s="14"/>
      <x:c r="BQ25" s="14"/>
      <x:c r="BR25" s="14"/>
      <x:c r="BS25" s="14"/>
      <x:c r="BT25" s="14"/>
      <x:c r="BU25" s="14"/>
      <x:c r="BV25" s="14"/>
      <x:c r="BW25" s="14"/>
      <x:c r="BX25" s="14"/>
      <x:c r="BY25" s="14"/>
      <x:c r="BZ25" s="14"/>
      <x:c r="CA25" s="14"/>
      <x:c r="CB25" s="14"/>
      <x:c r="CC25" s="14"/>
      <x:c r="CD25" s="14"/>
      <x:c r="CE25" s="14"/>
    </x:row>
    <x:row r="26">
      <x:c r="A26" s="14" t="n">
        <x:v>25</x:v>
      </x:c>
      <x:c r="B26" s="14"/>
      <x:c r="C26" s="14" t="str">
        <x:v>CHECKING_EVENT</x:v>
      </x:c>
      <x:c r="D26" s="14" t="str">
        <x:v>Exploratory_Checking_611_Positional_Surrogate.xlsx</x:v>
      </x:c>
      <x:c r="E26" s="14"/>
      <x:c r="F26" s="14"/>
      <x:c r="G26" s="14"/>
      <x:c r="H26" s="14"/>
      <x:c r="I26" s="14"/>
      <x:c r="J26" s="14"/>
      <x:c r="K26" s="14" t="str">
        <x:v>NEEDS_WINDOW_BINDING</x:v>
      </x:c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/>
      <x:c r="BC26" s="14"/>
      <x:c r="BD26" s="14"/>
      <x:c r="BE26" s="14"/>
      <x:c r="BF26" s="14"/>
      <x:c r="BG26" s="14"/>
      <x:c r="BH26" s="14"/>
      <x:c r="BI26" s="14"/>
      <x:c r="BJ26" s="14"/>
      <x:c r="BK26" s="14"/>
      <x:c r="BL26" s="14"/>
      <x:c r="BM26" s="14"/>
      <x:c r="BN26" s="14"/>
      <x:c r="BO26" s="14"/>
      <x:c r="BP26" s="14"/>
      <x:c r="BQ26" s="14"/>
      <x:c r="BR26" s="14"/>
      <x:c r="BS26" s="14"/>
      <x:c r="BT26" s="14"/>
      <x:c r="BU26" s="14"/>
      <x:c r="BV26" s="14"/>
      <x:c r="BW26" s="14"/>
      <x:c r="BX26" s="14"/>
      <x:c r="BY26" s="14"/>
      <x:c r="BZ26" s="14"/>
      <x:c r="CA26" s="14"/>
      <x:c r="CB26" s="14"/>
      <x:c r="CC26" s="14"/>
      <x:c r="CD26" s="14"/>
      <x:c r="CE26" s="14"/>
    </x:row>
    <x:row r="27">
      <x:c r="A27" s="14" t="n">
        <x:v>26</x:v>
      </x:c>
      <x:c r="B27" s="14"/>
      <x:c r="C27" s="14" t="str">
        <x:v>CHECKING_EVENT</x:v>
      </x:c>
      <x:c r="D27" s="14" t="str">
        <x:v>Exploratory_Checking_611_Positional_Surrogate.xlsx</x:v>
      </x:c>
      <x:c r="E27" s="14"/>
      <x:c r="F27" s="14"/>
      <x:c r="G27" s="14"/>
      <x:c r="H27" s="14"/>
      <x:c r="I27" s="14"/>
      <x:c r="J27" s="14"/>
      <x:c r="K27" s="14" t="str">
        <x:v>NEEDS_WINDOW_BINDING</x:v>
      </x:c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/>
      <x:c r="BC27" s="14"/>
      <x:c r="BD27" s="14"/>
      <x:c r="BE27" s="14"/>
      <x:c r="BF27" s="14"/>
      <x:c r="BG27" s="14"/>
      <x:c r="BH27" s="14"/>
      <x:c r="BI27" s="14"/>
      <x:c r="BJ27" s="14"/>
      <x:c r="BK27" s="14"/>
      <x:c r="BL27" s="14"/>
      <x:c r="BM27" s="14"/>
      <x:c r="BN27" s="14"/>
      <x:c r="BO27" s="14"/>
      <x:c r="BP27" s="14"/>
      <x:c r="BQ27" s="14"/>
      <x:c r="BR27" s="14"/>
      <x:c r="BS27" s="14"/>
      <x:c r="BT27" s="14"/>
      <x:c r="BU27" s="14"/>
      <x:c r="BV27" s="14"/>
      <x:c r="BW27" s="14"/>
      <x:c r="BX27" s="14"/>
      <x:c r="BY27" s="14"/>
      <x:c r="BZ27" s="14"/>
      <x:c r="CA27" s="14"/>
      <x:c r="CB27" s="14"/>
      <x:c r="CC27" s="14"/>
      <x:c r="CD27" s="14"/>
      <x:c r="CE27" s="14"/>
    </x:row>
    <x:row r="28">
      <x:c r="A28" s="14" t="n">
        <x:v>27</x:v>
      </x:c>
      <x:c r="B28" s="14"/>
      <x:c r="C28" s="14" t="str">
        <x:v>CHECKING_EVENT</x:v>
      </x:c>
      <x:c r="D28" s="14" t="str">
        <x:v>Exploratory_Checking_611_Positional_Surrogate.xlsx</x:v>
      </x:c>
      <x:c r="E28" s="14"/>
      <x:c r="F28" s="14"/>
      <x:c r="G28" s="14"/>
      <x:c r="H28" s="14"/>
      <x:c r="I28" s="14"/>
      <x:c r="J28" s="14"/>
      <x:c r="K28" s="14" t="str">
        <x:v>NEEDS_WINDOW_BINDING</x:v>
      </x:c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/>
      <x:c r="BC28" s="14"/>
      <x:c r="BD28" s="14"/>
      <x:c r="BE28" s="14"/>
      <x:c r="BF28" s="14"/>
      <x:c r="BG28" s="14"/>
      <x:c r="BH28" s="14"/>
      <x:c r="BI28" s="14"/>
      <x:c r="BJ28" s="14"/>
      <x:c r="BK28" s="14"/>
      <x:c r="BL28" s="14"/>
      <x:c r="BM28" s="14"/>
      <x:c r="BN28" s="14"/>
      <x:c r="BO28" s="14"/>
      <x:c r="BP28" s="14"/>
      <x:c r="BQ28" s="14"/>
      <x:c r="BR28" s="14"/>
      <x:c r="BS28" s="14"/>
      <x:c r="BT28" s="14"/>
      <x:c r="BU28" s="14"/>
      <x:c r="BV28" s="14"/>
      <x:c r="BW28" s="14"/>
      <x:c r="BX28" s="14"/>
      <x:c r="BY28" s="14"/>
      <x:c r="BZ28" s="14"/>
      <x:c r="CA28" s="14"/>
      <x:c r="CB28" s="14"/>
      <x:c r="CC28" s="14"/>
      <x:c r="CD28" s="14"/>
      <x:c r="CE28" s="14"/>
    </x:row>
    <x:row r="29">
      <x:c r="A29" s="14" t="n">
        <x:v>28</x:v>
      </x:c>
      <x:c r="B29" s="14"/>
      <x:c r="C29" s="14" t="str">
        <x:v>CHECKING_EVENT</x:v>
      </x:c>
      <x:c r="D29" s="14" t="str">
        <x:v>Exploratory_Checking_611_Positional_Surrogate.xlsx</x:v>
      </x:c>
      <x:c r="E29" s="14"/>
      <x:c r="F29" s="14"/>
      <x:c r="G29" s="14"/>
      <x:c r="H29" s="14"/>
      <x:c r="I29" s="14"/>
      <x:c r="J29" s="14"/>
      <x:c r="K29" s="14" t="str">
        <x:v>NEEDS_WINDOW_BINDING</x:v>
      </x:c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/>
      <x:c r="BC29" s="14"/>
      <x:c r="BD29" s="14"/>
      <x:c r="BE29" s="14"/>
      <x:c r="BF29" s="14"/>
      <x:c r="BG29" s="14"/>
      <x:c r="BH29" s="14"/>
      <x:c r="BI29" s="14"/>
      <x:c r="BJ29" s="14"/>
      <x:c r="BK29" s="14"/>
      <x:c r="BL29" s="14"/>
      <x:c r="BM29" s="14"/>
      <x:c r="BN29" s="14"/>
      <x:c r="BO29" s="14"/>
      <x:c r="BP29" s="14"/>
      <x:c r="BQ29" s="14"/>
      <x:c r="BR29" s="14"/>
      <x:c r="BS29" s="14"/>
      <x:c r="BT29" s="14"/>
      <x:c r="BU29" s="14"/>
      <x:c r="BV29" s="14"/>
      <x:c r="BW29" s="14"/>
      <x:c r="BX29" s="14"/>
      <x:c r="BY29" s="14"/>
      <x:c r="BZ29" s="14"/>
      <x:c r="CA29" s="14"/>
      <x:c r="CB29" s="14"/>
      <x:c r="CC29" s="14"/>
      <x:c r="CD29" s="14"/>
      <x:c r="CE29" s="14"/>
    </x:row>
    <x:row r="30">
      <x:c r="A30" s="14" t="n">
        <x:v>29</x:v>
      </x:c>
      <x:c r="B30" s="14"/>
      <x:c r="C30" s="14" t="str">
        <x:v>CHECKING_EVENT</x:v>
      </x:c>
      <x:c r="D30" s="14" t="str">
        <x:v>Exploratory_Checking_611_Positional_Surrogate.xlsx</x:v>
      </x:c>
      <x:c r="E30" s="14"/>
      <x:c r="F30" s="14"/>
      <x:c r="G30" s="14"/>
      <x:c r="H30" s="14"/>
      <x:c r="I30" s="14"/>
      <x:c r="J30" s="14"/>
      <x:c r="K30" s="14" t="str">
        <x:v>NEEDS_WINDOW_BINDING</x:v>
      </x:c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/>
      <x:c r="BC30" s="14"/>
      <x:c r="BD30" s="14"/>
      <x:c r="BE30" s="14"/>
      <x:c r="BF30" s="14"/>
      <x:c r="BG30" s="14"/>
      <x:c r="BH30" s="14"/>
      <x:c r="BI30" s="14"/>
      <x:c r="BJ30" s="14"/>
      <x:c r="BK30" s="14"/>
      <x:c r="BL30" s="14"/>
      <x:c r="BM30" s="14"/>
      <x:c r="BN30" s="14"/>
      <x:c r="BO30" s="14"/>
      <x:c r="BP30" s="14"/>
      <x:c r="BQ30" s="14"/>
      <x:c r="BR30" s="14"/>
      <x:c r="BS30" s="14"/>
      <x:c r="BT30" s="14"/>
      <x:c r="BU30" s="14"/>
      <x:c r="BV30" s="14"/>
      <x:c r="BW30" s="14"/>
      <x:c r="BX30" s="14"/>
      <x:c r="BY30" s="14"/>
      <x:c r="BZ30" s="14"/>
      <x:c r="CA30" s="14"/>
      <x:c r="CB30" s="14"/>
      <x:c r="CC30" s="14"/>
      <x:c r="CD30" s="14"/>
      <x:c r="CE30" s="14"/>
    </x:row>
    <x:row r="31">
      <x:c r="A31" s="14" t="n">
        <x:v>30</x:v>
      </x:c>
      <x:c r="B31" s="14"/>
      <x:c r="C31" s="14" t="str">
        <x:v>CHECKING_EVENT</x:v>
      </x:c>
      <x:c r="D31" s="14" t="str">
        <x:v>Exploratory_Checking_611_Positional_Surrogate.xlsx</x:v>
      </x:c>
      <x:c r="E31" s="14"/>
      <x:c r="F31" s="14"/>
      <x:c r="G31" s="14"/>
      <x:c r="H31" s="14"/>
      <x:c r="I31" s="14"/>
      <x:c r="J31" s="14"/>
      <x:c r="K31" s="14" t="str">
        <x:v>NEEDS_WINDOW_BINDING</x:v>
      </x:c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/>
      <x:c r="BC31" s="14"/>
      <x:c r="BD31" s="14"/>
      <x:c r="BE31" s="14"/>
      <x:c r="BF31" s="14"/>
      <x:c r="BG31" s="14"/>
      <x:c r="BH31" s="14"/>
      <x:c r="BI31" s="14"/>
      <x:c r="BJ31" s="14"/>
      <x:c r="BK31" s="14"/>
      <x:c r="BL31" s="14"/>
      <x:c r="BM31" s="14"/>
      <x:c r="BN31" s="14"/>
      <x:c r="BO31" s="14"/>
      <x:c r="BP31" s="14"/>
      <x:c r="BQ31" s="14"/>
      <x:c r="BR31" s="14"/>
      <x:c r="BS31" s="14"/>
      <x:c r="BT31" s="14"/>
      <x:c r="BU31" s="14"/>
      <x:c r="BV31" s="14"/>
      <x:c r="BW31" s="14"/>
      <x:c r="BX31" s="14"/>
      <x:c r="BY31" s="14"/>
      <x:c r="BZ31" s="14"/>
      <x:c r="CA31" s="14"/>
      <x:c r="CB31" s="14"/>
      <x:c r="CC31" s="14"/>
      <x:c r="CD31" s="14"/>
      <x:c r="CE31" s="14"/>
    </x:row>
    <x:row r="32">
      <x:c r="A32" s="14" t="n">
        <x:v>31</x:v>
      </x:c>
      <x:c r="B32" s="14"/>
      <x:c r="C32" s="14" t="str">
        <x:v>CHECKING_EVENT</x:v>
      </x:c>
      <x:c r="D32" s="14" t="str">
        <x:v>Exploratory_Checking_611_Positional_Surrogate.xlsx</x:v>
      </x:c>
      <x:c r="E32" s="14"/>
      <x:c r="F32" s="14"/>
      <x:c r="G32" s="14"/>
      <x:c r="H32" s="14"/>
      <x:c r="I32" s="14"/>
      <x:c r="J32" s="14"/>
      <x:c r="K32" s="14" t="str">
        <x:v>NEEDS_WINDOW_BINDING</x:v>
      </x:c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/>
      <x:c r="BC32" s="14"/>
      <x:c r="BD32" s="14"/>
      <x:c r="BE32" s="14"/>
      <x:c r="BF32" s="14"/>
      <x:c r="BG32" s="14"/>
      <x:c r="BH32" s="14"/>
      <x:c r="BI32" s="14"/>
      <x:c r="BJ32" s="14"/>
      <x:c r="BK32" s="14"/>
      <x:c r="BL32" s="14"/>
      <x:c r="BM32" s="14"/>
      <x:c r="BN32" s="14"/>
      <x:c r="BO32" s="14"/>
      <x:c r="BP32" s="14"/>
      <x:c r="BQ32" s="14"/>
      <x:c r="BR32" s="14"/>
      <x:c r="BS32" s="14"/>
      <x:c r="BT32" s="14"/>
      <x:c r="BU32" s="14"/>
      <x:c r="BV32" s="14"/>
      <x:c r="BW32" s="14"/>
      <x:c r="BX32" s="14"/>
      <x:c r="BY32" s="14"/>
      <x:c r="BZ32" s="14"/>
      <x:c r="CA32" s="14"/>
      <x:c r="CB32" s="14"/>
      <x:c r="CC32" s="14"/>
      <x:c r="CD32" s="14"/>
      <x:c r="CE32" s="14"/>
    </x:row>
    <x:row r="33">
      <x:c r="A33" s="14" t="n">
        <x:v>32</x:v>
      </x:c>
      <x:c r="B33" s="14"/>
      <x:c r="C33" s="14" t="str">
        <x:v>CHECKING_EVENT</x:v>
      </x:c>
      <x:c r="D33" s="14" t="str">
        <x:v>Exploratory_Checking_611_Positional_Surrogate.xlsx</x:v>
      </x:c>
      <x:c r="E33" s="14"/>
      <x:c r="F33" s="14"/>
      <x:c r="G33" s="14"/>
      <x:c r="H33" s="14"/>
      <x:c r="I33" s="14"/>
      <x:c r="J33" s="14"/>
      <x:c r="K33" s="14" t="str">
        <x:v>NEEDS_WINDOW_BINDING</x:v>
      </x:c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/>
      <x:c r="BC33" s="14"/>
      <x:c r="BD33" s="14"/>
      <x:c r="BE33" s="14"/>
      <x:c r="BF33" s="14"/>
      <x:c r="BG33" s="14"/>
      <x:c r="BH33" s="14"/>
      <x:c r="BI33" s="14"/>
      <x:c r="BJ33" s="14"/>
      <x:c r="BK33" s="14"/>
      <x:c r="BL33" s="14"/>
      <x:c r="BM33" s="14"/>
      <x:c r="BN33" s="14"/>
      <x:c r="BO33" s="14"/>
      <x:c r="BP33" s="14"/>
      <x:c r="BQ33" s="14"/>
      <x:c r="BR33" s="14"/>
      <x:c r="BS33" s="14"/>
      <x:c r="BT33" s="14"/>
      <x:c r="BU33" s="14"/>
      <x:c r="BV33" s="14"/>
      <x:c r="BW33" s="14"/>
      <x:c r="BX33" s="14"/>
      <x:c r="BY33" s="14"/>
      <x:c r="BZ33" s="14"/>
      <x:c r="CA33" s="14"/>
      <x:c r="CB33" s="14"/>
      <x:c r="CC33" s="14"/>
      <x:c r="CD33" s="14"/>
      <x:c r="CE33" s="14"/>
    </x:row>
    <x:row r="34">
      <x:c r="A34" s="14" t="n">
        <x:v>33</x:v>
      </x:c>
      <x:c r="B34" s="14"/>
      <x:c r="C34" s="14" t="str">
        <x:v>CHECKING_EVENT</x:v>
      </x:c>
      <x:c r="D34" s="14" t="str">
        <x:v>Exploratory_Checking_611_Positional_Surrogate.xlsx</x:v>
      </x:c>
      <x:c r="E34" s="14"/>
      <x:c r="F34" s="14"/>
      <x:c r="G34" s="14"/>
      <x:c r="H34" s="14"/>
      <x:c r="I34" s="14"/>
      <x:c r="J34" s="14"/>
      <x:c r="K34" s="14" t="str">
        <x:v>NEEDS_WINDOW_BINDING</x:v>
      </x:c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/>
      <x:c r="BC34" s="14"/>
      <x:c r="BD34" s="14"/>
      <x:c r="BE34" s="14"/>
      <x:c r="BF34" s="14"/>
      <x:c r="BG34" s="14"/>
      <x:c r="BH34" s="14"/>
      <x:c r="BI34" s="14"/>
      <x:c r="BJ34" s="14"/>
      <x:c r="BK34" s="14"/>
      <x:c r="BL34" s="14"/>
      <x:c r="BM34" s="14"/>
      <x:c r="BN34" s="14"/>
      <x:c r="BO34" s="14"/>
      <x:c r="BP34" s="14"/>
      <x:c r="BQ34" s="14"/>
      <x:c r="BR34" s="14"/>
      <x:c r="BS34" s="14"/>
      <x:c r="BT34" s="14"/>
      <x:c r="BU34" s="14"/>
      <x:c r="BV34" s="14"/>
      <x:c r="BW34" s="14"/>
      <x:c r="BX34" s="14"/>
      <x:c r="BY34" s="14"/>
      <x:c r="BZ34" s="14"/>
      <x:c r="CA34" s="14"/>
      <x:c r="CB34" s="14"/>
      <x:c r="CC34" s="14"/>
      <x:c r="CD34" s="14"/>
      <x:c r="CE34" s="14"/>
    </x:row>
    <x:row r="35">
      <x:c r="A35" s="14" t="n">
        <x:v>34</x:v>
      </x:c>
      <x:c r="B35" s="14"/>
      <x:c r="C35" s="14" t="str">
        <x:v>CHECKING_EVENT</x:v>
      </x:c>
      <x:c r="D35" s="14" t="str">
        <x:v>Exploratory_Checking_611_Positional_Surrogate.xlsx</x:v>
      </x:c>
      <x:c r="E35" s="14"/>
      <x:c r="F35" s="14"/>
      <x:c r="G35" s="14"/>
      <x:c r="H35" s="14"/>
      <x:c r="I35" s="14"/>
      <x:c r="J35" s="14"/>
      <x:c r="K35" s="14" t="str">
        <x:v>NEEDS_WINDOW_BINDING</x:v>
      </x:c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/>
      <x:c r="BC35" s="14"/>
      <x:c r="BD35" s="14"/>
      <x:c r="BE35" s="14"/>
      <x:c r="BF35" s="14"/>
      <x:c r="BG35" s="14"/>
      <x:c r="BH35" s="14"/>
      <x:c r="BI35" s="14"/>
      <x:c r="BJ35" s="14"/>
      <x:c r="BK35" s="14"/>
      <x:c r="BL35" s="14"/>
      <x:c r="BM35" s="14"/>
      <x:c r="BN35" s="14"/>
      <x:c r="BO35" s="14"/>
      <x:c r="BP35" s="14"/>
      <x:c r="BQ35" s="14"/>
      <x:c r="BR35" s="14"/>
      <x:c r="BS35" s="14"/>
      <x:c r="BT35" s="14"/>
      <x:c r="BU35" s="14"/>
      <x:c r="BV35" s="14"/>
      <x:c r="BW35" s="14"/>
      <x:c r="BX35" s="14"/>
      <x:c r="BY35" s="14"/>
      <x:c r="BZ35" s="14"/>
      <x:c r="CA35" s="14"/>
      <x:c r="CB35" s="14"/>
      <x:c r="CC35" s="14"/>
      <x:c r="CD35" s="14"/>
      <x:c r="CE35" s="14"/>
    </x:row>
    <x:row r="36">
      <x:c r="A36" s="14" t="n">
        <x:v>35</x:v>
      </x:c>
      <x:c r="B36" s="14"/>
      <x:c r="C36" s="14" t="str">
        <x:v>CHECKING_EVENT</x:v>
      </x:c>
      <x:c r="D36" s="14" t="str">
        <x:v>Exploratory_Checking_611_Positional_Surrogate.xlsx</x:v>
      </x:c>
      <x:c r="E36" s="14"/>
      <x:c r="F36" s="14"/>
      <x:c r="G36" s="14"/>
      <x:c r="H36" s="14"/>
      <x:c r="I36" s="14"/>
      <x:c r="J36" s="14"/>
      <x:c r="K36" s="14" t="str">
        <x:v>NEEDS_WINDOW_BINDING</x:v>
      </x:c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/>
      <x:c r="BC36" s="14"/>
      <x:c r="BD36" s="14"/>
      <x:c r="BE36" s="14"/>
      <x:c r="BF36" s="14"/>
      <x:c r="BG36" s="14"/>
      <x:c r="BH36" s="14"/>
      <x:c r="BI36" s="14"/>
      <x:c r="BJ36" s="14"/>
      <x:c r="BK36" s="14"/>
      <x:c r="BL36" s="14"/>
      <x:c r="BM36" s="14"/>
      <x:c r="BN36" s="14"/>
      <x:c r="BO36" s="14"/>
      <x:c r="BP36" s="14"/>
      <x:c r="BQ36" s="14"/>
      <x:c r="BR36" s="14"/>
      <x:c r="BS36" s="14"/>
      <x:c r="BT36" s="14"/>
      <x:c r="BU36" s="14"/>
      <x:c r="BV36" s="14"/>
      <x:c r="BW36" s="14"/>
      <x:c r="BX36" s="14"/>
      <x:c r="BY36" s="14"/>
      <x:c r="BZ36" s="14"/>
      <x:c r="CA36" s="14"/>
      <x:c r="CB36" s="14"/>
      <x:c r="CC36" s="14"/>
      <x:c r="CD36" s="14"/>
      <x:c r="CE36" s="14"/>
    </x:row>
    <x:row r="37">
      <x:c r="A37" s="14" t="n">
        <x:v>36</x:v>
      </x:c>
      <x:c r="B37" s="14"/>
      <x:c r="C37" s="14" t="str">
        <x:v>CHECKING_EVENT</x:v>
      </x:c>
      <x:c r="D37" s="14" t="str">
        <x:v>Exploratory_Checking_611_Positional_Surrogate.xlsx</x:v>
      </x:c>
      <x:c r="E37" s="14"/>
      <x:c r="F37" s="14"/>
      <x:c r="G37" s="14"/>
      <x:c r="H37" s="14"/>
      <x:c r="I37" s="14"/>
      <x:c r="J37" s="14"/>
      <x:c r="K37" s="14" t="str">
        <x:v>NEEDS_WINDOW_BINDING</x:v>
      </x:c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/>
      <x:c r="BC37" s="14"/>
      <x:c r="BD37" s="14"/>
      <x:c r="BE37" s="14"/>
      <x:c r="BF37" s="14"/>
      <x:c r="BG37" s="14"/>
      <x:c r="BH37" s="14"/>
      <x:c r="BI37" s="14"/>
      <x:c r="BJ37" s="14"/>
      <x:c r="BK37" s="14"/>
      <x:c r="BL37" s="14"/>
      <x:c r="BM37" s="14"/>
      <x:c r="BN37" s="14"/>
      <x:c r="BO37" s="14"/>
      <x:c r="BP37" s="14"/>
      <x:c r="BQ37" s="14"/>
      <x:c r="BR37" s="14"/>
      <x:c r="BS37" s="14"/>
      <x:c r="BT37" s="14"/>
      <x:c r="BU37" s="14"/>
      <x:c r="BV37" s="14"/>
      <x:c r="BW37" s="14"/>
      <x:c r="BX37" s="14"/>
      <x:c r="BY37" s="14"/>
      <x:c r="BZ37" s="14"/>
      <x:c r="CA37" s="14"/>
      <x:c r="CB37" s="14"/>
      <x:c r="CC37" s="14"/>
      <x:c r="CD37" s="14"/>
      <x:c r="CE37" s="14"/>
    </x:row>
    <x:row r="38">
      <x:c r="A38" s="14" t="n">
        <x:v>37</x:v>
      </x:c>
      <x:c r="B38" s="14"/>
      <x:c r="C38" s="14" t="str">
        <x:v>CHECKING_EVENT</x:v>
      </x:c>
      <x:c r="D38" s="14" t="str">
        <x:v>Exploratory_Checking_611_Positional_Surrogate.xlsx</x:v>
      </x:c>
      <x:c r="E38" s="14"/>
      <x:c r="F38" s="14"/>
      <x:c r="G38" s="14"/>
      <x:c r="H38" s="14"/>
      <x:c r="I38" s="14"/>
      <x:c r="J38" s="14"/>
      <x:c r="K38" s="14" t="str">
        <x:v>NEEDS_WINDOW_BINDING</x:v>
      </x:c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/>
      <x:c r="BC38" s="14"/>
      <x:c r="BD38" s="14"/>
      <x:c r="BE38" s="14"/>
      <x:c r="BF38" s="14"/>
      <x:c r="BG38" s="14"/>
      <x:c r="BH38" s="14"/>
      <x:c r="BI38" s="14"/>
      <x:c r="BJ38" s="14"/>
      <x:c r="BK38" s="14"/>
      <x:c r="BL38" s="14"/>
      <x:c r="BM38" s="14"/>
      <x:c r="BN38" s="14"/>
      <x:c r="BO38" s="14"/>
      <x:c r="BP38" s="14"/>
      <x:c r="BQ38" s="14"/>
      <x:c r="BR38" s="14"/>
      <x:c r="BS38" s="14"/>
      <x:c r="BT38" s="14"/>
      <x:c r="BU38" s="14"/>
      <x:c r="BV38" s="14"/>
      <x:c r="BW38" s="14"/>
      <x:c r="BX38" s="14"/>
      <x:c r="BY38" s="14"/>
      <x:c r="BZ38" s="14"/>
      <x:c r="CA38" s="14"/>
      <x:c r="CB38" s="14"/>
      <x:c r="CC38" s="14"/>
      <x:c r="CD38" s="14"/>
      <x:c r="CE38" s="14"/>
    </x:row>
    <x:row r="39">
      <x:c r="A39" s="14" t="n">
        <x:v>38</x:v>
      </x:c>
      <x:c r="B39" s="14"/>
      <x:c r="C39" s="14" t="str">
        <x:v>CHECKING_EVENT</x:v>
      </x:c>
      <x:c r="D39" s="14" t="str">
        <x:v>Exploratory_Checking_611_Positional_Surrogate.xlsx</x:v>
      </x:c>
      <x:c r="E39" s="14"/>
      <x:c r="F39" s="14"/>
      <x:c r="G39" s="14"/>
      <x:c r="H39" s="14"/>
      <x:c r="I39" s="14"/>
      <x:c r="J39" s="14"/>
      <x:c r="K39" s="14" t="str">
        <x:v>NEEDS_WINDOW_BINDING</x:v>
      </x:c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/>
      <x:c r="BC39" s="14"/>
      <x:c r="BD39" s="14"/>
      <x:c r="BE39" s="14"/>
      <x:c r="BF39" s="14"/>
      <x:c r="BG39" s="14"/>
      <x:c r="BH39" s="14"/>
      <x:c r="BI39" s="14"/>
      <x:c r="BJ39" s="14"/>
      <x:c r="BK39" s="14"/>
      <x:c r="BL39" s="14"/>
      <x:c r="BM39" s="14"/>
      <x:c r="BN39" s="14"/>
      <x:c r="BO39" s="14"/>
      <x:c r="BP39" s="14"/>
      <x:c r="BQ39" s="14"/>
      <x:c r="BR39" s="14"/>
      <x:c r="BS39" s="14"/>
      <x:c r="BT39" s="14"/>
      <x:c r="BU39" s="14"/>
      <x:c r="BV39" s="14"/>
      <x:c r="BW39" s="14"/>
      <x:c r="BX39" s="14"/>
      <x:c r="BY39" s="14"/>
      <x:c r="BZ39" s="14"/>
      <x:c r="CA39" s="14"/>
      <x:c r="CB39" s="14"/>
      <x:c r="CC39" s="14"/>
      <x:c r="CD39" s="14"/>
      <x:c r="CE39" s="14"/>
    </x:row>
    <x:row r="40">
      <x:c r="A40" s="14" t="n">
        <x:v>39</x:v>
      </x:c>
      <x:c r="B40" s="14"/>
      <x:c r="C40" s="14" t="str">
        <x:v>CHECKING_EVENT</x:v>
      </x:c>
      <x:c r="D40" s="14" t="str">
        <x:v>Exploratory_Checking_611_Positional_Surrogate.xlsx</x:v>
      </x:c>
      <x:c r="E40" s="14"/>
      <x:c r="F40" s="14"/>
      <x:c r="G40" s="14"/>
      <x:c r="H40" s="14"/>
      <x:c r="I40" s="14"/>
      <x:c r="J40" s="14"/>
      <x:c r="K40" s="14" t="str">
        <x:v>NEEDS_WINDOW_BINDING</x:v>
      </x:c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/>
      <x:c r="BC40" s="14"/>
      <x:c r="BD40" s="14"/>
      <x:c r="BE40" s="14"/>
      <x:c r="BF40" s="14"/>
      <x:c r="BG40" s="14"/>
      <x:c r="BH40" s="14"/>
      <x:c r="BI40" s="14"/>
      <x:c r="BJ40" s="14"/>
      <x:c r="BK40" s="14"/>
      <x:c r="BL40" s="14"/>
      <x:c r="BM40" s="14"/>
      <x:c r="BN40" s="14"/>
      <x:c r="BO40" s="14"/>
      <x:c r="BP40" s="14"/>
      <x:c r="BQ40" s="14"/>
      <x:c r="BR40" s="14"/>
      <x:c r="BS40" s="14"/>
      <x:c r="BT40" s="14"/>
      <x:c r="BU40" s="14"/>
      <x:c r="BV40" s="14"/>
      <x:c r="BW40" s="14"/>
      <x:c r="BX40" s="14"/>
      <x:c r="BY40" s="14"/>
      <x:c r="BZ40" s="14"/>
      <x:c r="CA40" s="14"/>
      <x:c r="CB40" s="14"/>
      <x:c r="CC40" s="14"/>
      <x:c r="CD40" s="14"/>
      <x:c r="CE40" s="14"/>
    </x:row>
    <x:row r="41">
      <x:c r="A41" s="14" t="n">
        <x:v>40</x:v>
      </x:c>
      <x:c r="B41" s="14"/>
      <x:c r="C41" s="14" t="str">
        <x:v>CHECKING_EVENT</x:v>
      </x:c>
      <x:c r="D41" s="14" t="str">
        <x:v>Exploratory_Checking_611_Positional_Surrogate.xlsx</x:v>
      </x:c>
      <x:c r="E41" s="14"/>
      <x:c r="F41" s="14"/>
      <x:c r="G41" s="14"/>
      <x:c r="H41" s="14"/>
      <x:c r="I41" s="14"/>
      <x:c r="J41" s="14"/>
      <x:c r="K41" s="14" t="str">
        <x:v>NEEDS_WINDOW_BINDING</x:v>
      </x:c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/>
      <x:c r="BC41" s="14"/>
      <x:c r="BD41" s="14"/>
      <x:c r="BE41" s="14"/>
      <x:c r="BF41" s="14"/>
      <x:c r="BG41" s="14"/>
      <x:c r="BH41" s="14"/>
      <x:c r="BI41" s="14"/>
      <x:c r="BJ41" s="14"/>
      <x:c r="BK41" s="14"/>
      <x:c r="BL41" s="14"/>
      <x:c r="BM41" s="14"/>
      <x:c r="BN41" s="14"/>
      <x:c r="BO41" s="14"/>
      <x:c r="BP41" s="14"/>
      <x:c r="BQ41" s="14"/>
      <x:c r="BR41" s="14"/>
      <x:c r="BS41" s="14"/>
      <x:c r="BT41" s="14"/>
      <x:c r="BU41" s="14"/>
      <x:c r="BV41" s="14"/>
      <x:c r="BW41" s="14"/>
      <x:c r="BX41" s="14"/>
      <x:c r="BY41" s="14"/>
      <x:c r="BZ41" s="14"/>
      <x:c r="CA41" s="14"/>
      <x:c r="CB41" s="14"/>
      <x:c r="CC41" s="14"/>
      <x:c r="CD41" s="14"/>
      <x:c r="CE41" s="14"/>
    </x:row>
    <x:row r="42">
      <x:c r="A42" s="14" t="n">
        <x:v>41</x:v>
      </x:c>
      <x:c r="B42" s="14"/>
      <x:c r="C42" s="14" t="str">
        <x:v>CHECKING_EVENT</x:v>
      </x:c>
      <x:c r="D42" s="14" t="str">
        <x:v>Exploratory_Checking_611_Positional_Surrogate.xlsx</x:v>
      </x:c>
      <x:c r="E42" s="14"/>
      <x:c r="F42" s="14"/>
      <x:c r="G42" s="14"/>
      <x:c r="H42" s="14"/>
      <x:c r="I42" s="14"/>
      <x:c r="J42" s="14"/>
      <x:c r="K42" s="14" t="str">
        <x:v>NEEDS_WINDOW_BINDING</x:v>
      </x:c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/>
      <x:c r="BC42" s="14"/>
      <x:c r="BD42" s="14"/>
      <x:c r="BE42" s="14"/>
      <x:c r="BF42" s="14"/>
      <x:c r="BG42" s="14"/>
      <x:c r="BH42" s="14"/>
      <x:c r="BI42" s="14"/>
      <x:c r="BJ42" s="14"/>
      <x:c r="BK42" s="14"/>
      <x:c r="BL42" s="14"/>
      <x:c r="BM42" s="14"/>
      <x:c r="BN42" s="14"/>
      <x:c r="BO42" s="14"/>
      <x:c r="BP42" s="14"/>
      <x:c r="BQ42" s="14"/>
      <x:c r="BR42" s="14"/>
      <x:c r="BS42" s="14"/>
      <x:c r="BT42" s="14"/>
      <x:c r="BU42" s="14"/>
      <x:c r="BV42" s="14"/>
      <x:c r="BW42" s="14"/>
      <x:c r="BX42" s="14"/>
      <x:c r="BY42" s="14"/>
      <x:c r="BZ42" s="14"/>
      <x:c r="CA42" s="14"/>
      <x:c r="CB42" s="14"/>
      <x:c r="CC42" s="14"/>
      <x:c r="CD42" s="14"/>
      <x:c r="CE42" s="14"/>
    </x:row>
    <x:row r="43">
      <x:c r="A43" s="14" t="n">
        <x:v>42</x:v>
      </x:c>
      <x:c r="B43" s="14"/>
      <x:c r="C43" s="14" t="str">
        <x:v>CHECKING_EVENT</x:v>
      </x:c>
      <x:c r="D43" s="14" t="str">
        <x:v>Exploratory_Checking_611_Positional_Surrogate.xlsx</x:v>
      </x:c>
      <x:c r="E43" s="14"/>
      <x:c r="F43" s="14"/>
      <x:c r="G43" s="14"/>
      <x:c r="H43" s="14"/>
      <x:c r="I43" s="14"/>
      <x:c r="J43" s="14"/>
      <x:c r="K43" s="14" t="str">
        <x:v>NEEDS_WINDOW_BINDING</x:v>
      </x:c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/>
      <x:c r="BC43" s="14"/>
      <x:c r="BD43" s="14"/>
      <x:c r="BE43" s="14"/>
      <x:c r="BF43" s="14"/>
      <x:c r="BG43" s="14"/>
      <x:c r="BH43" s="14"/>
      <x:c r="BI43" s="14"/>
      <x:c r="BJ43" s="14"/>
      <x:c r="BK43" s="14"/>
      <x:c r="BL43" s="14"/>
      <x:c r="BM43" s="14"/>
      <x:c r="BN43" s="14"/>
      <x:c r="BO43" s="14"/>
      <x:c r="BP43" s="14"/>
      <x:c r="BQ43" s="14"/>
      <x:c r="BR43" s="14"/>
      <x:c r="BS43" s="14"/>
      <x:c r="BT43" s="14"/>
      <x:c r="BU43" s="14"/>
      <x:c r="BV43" s="14"/>
      <x:c r="BW43" s="14"/>
      <x:c r="BX43" s="14"/>
      <x:c r="BY43" s="14"/>
      <x:c r="BZ43" s="14"/>
      <x:c r="CA43" s="14"/>
      <x:c r="CB43" s="14"/>
      <x:c r="CC43" s="14"/>
      <x:c r="CD43" s="14"/>
      <x:c r="CE43" s="14"/>
    </x:row>
    <x:row r="44">
      <x:c r="A44" s="14" t="n">
        <x:v>43</x:v>
      </x:c>
      <x:c r="B44" s="14"/>
      <x:c r="C44" s="14" t="str">
        <x:v>CHECKING_EVENT</x:v>
      </x:c>
      <x:c r="D44" s="14" t="str">
        <x:v>Exploratory_Checking_611_Positional_Surrogate.xlsx</x:v>
      </x:c>
      <x:c r="E44" s="14"/>
      <x:c r="F44" s="14"/>
      <x:c r="G44" s="14"/>
      <x:c r="H44" s="14"/>
      <x:c r="I44" s="14"/>
      <x:c r="J44" s="14"/>
      <x:c r="K44" s="14" t="str">
        <x:v>NEEDS_WINDOW_BINDING</x:v>
      </x:c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/>
      <x:c r="BC44" s="14"/>
      <x:c r="BD44" s="14"/>
      <x:c r="BE44" s="14"/>
      <x:c r="BF44" s="14"/>
      <x:c r="BG44" s="14"/>
      <x:c r="BH44" s="14"/>
      <x:c r="BI44" s="14"/>
      <x:c r="BJ44" s="14"/>
      <x:c r="BK44" s="14"/>
      <x:c r="BL44" s="14"/>
      <x:c r="BM44" s="14"/>
      <x:c r="BN44" s="14"/>
      <x:c r="BO44" s="14"/>
      <x:c r="BP44" s="14"/>
      <x:c r="BQ44" s="14"/>
      <x:c r="BR44" s="14"/>
      <x:c r="BS44" s="14"/>
      <x:c r="BT44" s="14"/>
      <x:c r="BU44" s="14"/>
      <x:c r="BV44" s="14"/>
      <x:c r="BW44" s="14"/>
      <x:c r="BX44" s="14"/>
      <x:c r="BY44" s="14"/>
      <x:c r="BZ44" s="14"/>
      <x:c r="CA44" s="14"/>
      <x:c r="CB44" s="14"/>
      <x:c r="CC44" s="14"/>
      <x:c r="CD44" s="14"/>
      <x:c r="CE44" s="14"/>
    </x:row>
    <x:row r="45">
      <x:c r="A45" s="14" t="n">
        <x:v>44</x:v>
      </x:c>
      <x:c r="B45" s="14"/>
      <x:c r="C45" s="14" t="str">
        <x:v>CHECKING_EVENT</x:v>
      </x:c>
      <x:c r="D45" s="14" t="str">
        <x:v>Exploratory_Checking_611_Positional_Surrogate.xlsx</x:v>
      </x:c>
      <x:c r="E45" s="14"/>
      <x:c r="F45" s="14"/>
      <x:c r="G45" s="14"/>
      <x:c r="H45" s="14"/>
      <x:c r="I45" s="14"/>
      <x:c r="J45" s="14"/>
      <x:c r="K45" s="14" t="str">
        <x:v>NEEDS_WINDOW_BINDING</x:v>
      </x:c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/>
      <x:c r="BC45" s="14"/>
      <x:c r="BD45" s="14"/>
      <x:c r="BE45" s="14"/>
      <x:c r="BF45" s="14"/>
      <x:c r="BG45" s="14"/>
      <x:c r="BH45" s="14"/>
      <x:c r="BI45" s="14"/>
      <x:c r="BJ45" s="14"/>
      <x:c r="BK45" s="14"/>
      <x:c r="BL45" s="14"/>
      <x:c r="BM45" s="14"/>
      <x:c r="BN45" s="14"/>
      <x:c r="BO45" s="14"/>
      <x:c r="BP45" s="14"/>
      <x:c r="BQ45" s="14"/>
      <x:c r="BR45" s="14"/>
      <x:c r="BS45" s="14"/>
      <x:c r="BT45" s="14"/>
      <x:c r="BU45" s="14"/>
      <x:c r="BV45" s="14"/>
      <x:c r="BW45" s="14"/>
      <x:c r="BX45" s="14"/>
      <x:c r="BY45" s="14"/>
      <x:c r="BZ45" s="14"/>
      <x:c r="CA45" s="14"/>
      <x:c r="CB45" s="14"/>
      <x:c r="CC45" s="14"/>
      <x:c r="CD45" s="14"/>
      <x:c r="CE45" s="14"/>
    </x:row>
    <x:row r="46">
      <x:c r="A46" s="14" t="n">
        <x:v>45</x:v>
      </x:c>
      <x:c r="B46" s="14"/>
      <x:c r="C46" s="14" t="str">
        <x:v>CHECKING_EVENT</x:v>
      </x:c>
      <x:c r="D46" s="14" t="str">
        <x:v>Exploratory_Checking_611_Positional_Surrogate.xlsx</x:v>
      </x:c>
      <x:c r="E46" s="14"/>
      <x:c r="F46" s="14"/>
      <x:c r="G46" s="14"/>
      <x:c r="H46" s="14"/>
      <x:c r="I46" s="14"/>
      <x:c r="J46" s="14"/>
      <x:c r="K46" s="14" t="str">
        <x:v>NEEDS_WINDOW_BINDING</x:v>
      </x:c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/>
      <x:c r="BC46" s="14"/>
      <x:c r="BD46" s="14"/>
      <x:c r="BE46" s="14"/>
      <x:c r="BF46" s="14"/>
      <x:c r="BG46" s="14"/>
      <x:c r="BH46" s="14"/>
      <x:c r="BI46" s="14"/>
      <x:c r="BJ46" s="14"/>
      <x:c r="BK46" s="14"/>
      <x:c r="BL46" s="14"/>
      <x:c r="BM46" s="14"/>
      <x:c r="BN46" s="14"/>
      <x:c r="BO46" s="14"/>
      <x:c r="BP46" s="14"/>
      <x:c r="BQ46" s="14"/>
      <x:c r="BR46" s="14"/>
      <x:c r="BS46" s="14"/>
      <x:c r="BT46" s="14"/>
      <x:c r="BU46" s="14"/>
      <x:c r="BV46" s="14"/>
      <x:c r="BW46" s="14"/>
      <x:c r="BX46" s="14"/>
      <x:c r="BY46" s="14"/>
      <x:c r="BZ46" s="14"/>
      <x:c r="CA46" s="14"/>
      <x:c r="CB46" s="14"/>
      <x:c r="CC46" s="14"/>
      <x:c r="CD46" s="14"/>
      <x:c r="CE46" s="14"/>
    </x:row>
    <x:row r="47">
      <x:c r="A47" s="14" t="n">
        <x:v>46</x:v>
      </x:c>
      <x:c r="B47" s="14"/>
      <x:c r="C47" s="14" t="str">
        <x:v>CHECKING_EVENT</x:v>
      </x:c>
      <x:c r="D47" s="14" t="str">
        <x:v>Exploratory_Checking_611_Positional_Surrogate.xlsx</x:v>
      </x:c>
      <x:c r="E47" s="14"/>
      <x:c r="F47" s="14"/>
      <x:c r="G47" s="14"/>
      <x:c r="H47" s="14"/>
      <x:c r="I47" s="14"/>
      <x:c r="J47" s="14"/>
      <x:c r="K47" s="14" t="str">
        <x:v>NEEDS_WINDOW_BINDING</x:v>
      </x:c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/>
      <x:c r="BC47" s="14"/>
      <x:c r="BD47" s="14"/>
      <x:c r="BE47" s="14"/>
      <x:c r="BF47" s="14"/>
      <x:c r="BG47" s="14"/>
      <x:c r="BH47" s="14"/>
      <x:c r="BI47" s="14"/>
      <x:c r="BJ47" s="14"/>
      <x:c r="BK47" s="14"/>
      <x:c r="BL47" s="14"/>
      <x:c r="BM47" s="14"/>
      <x:c r="BN47" s="14"/>
      <x:c r="BO47" s="14"/>
      <x:c r="BP47" s="14"/>
      <x:c r="BQ47" s="14"/>
      <x:c r="BR47" s="14"/>
      <x:c r="BS47" s="14"/>
      <x:c r="BT47" s="14"/>
      <x:c r="BU47" s="14"/>
      <x:c r="BV47" s="14"/>
      <x:c r="BW47" s="14"/>
      <x:c r="BX47" s="14"/>
      <x:c r="BY47" s="14"/>
      <x:c r="BZ47" s="14"/>
      <x:c r="CA47" s="14"/>
      <x:c r="CB47" s="14"/>
      <x:c r="CC47" s="14"/>
      <x:c r="CD47" s="14"/>
      <x:c r="CE47" s="14"/>
    </x:row>
    <x:row r="48">
      <x:c r="A48" s="14" t="n">
        <x:v>47</x:v>
      </x:c>
      <x:c r="B48" s="14"/>
      <x:c r="C48" s="14" t="str">
        <x:v>CHECKING_EVENT</x:v>
      </x:c>
      <x:c r="D48" s="14" t="str">
        <x:v>Exploratory_Checking_611_Positional_Surrogate.xlsx</x:v>
      </x:c>
      <x:c r="E48" s="14"/>
      <x:c r="F48" s="14"/>
      <x:c r="G48" s="14"/>
      <x:c r="H48" s="14"/>
      <x:c r="I48" s="14"/>
      <x:c r="J48" s="14"/>
      <x:c r="K48" s="14" t="str">
        <x:v>NEEDS_WINDOW_BINDING</x:v>
      </x:c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/>
      <x:c r="BC48" s="14"/>
      <x:c r="BD48" s="14"/>
      <x:c r="BE48" s="14"/>
      <x:c r="BF48" s="14"/>
      <x:c r="BG48" s="14"/>
      <x:c r="BH48" s="14"/>
      <x:c r="BI48" s="14"/>
      <x:c r="BJ48" s="14"/>
      <x:c r="BK48" s="14"/>
      <x:c r="BL48" s="14"/>
      <x:c r="BM48" s="14"/>
      <x:c r="BN48" s="14"/>
      <x:c r="BO48" s="14"/>
      <x:c r="BP48" s="14"/>
      <x:c r="BQ48" s="14"/>
      <x:c r="BR48" s="14"/>
      <x:c r="BS48" s="14"/>
      <x:c r="BT48" s="14"/>
      <x:c r="BU48" s="14"/>
      <x:c r="BV48" s="14"/>
      <x:c r="BW48" s="14"/>
      <x:c r="BX48" s="14"/>
      <x:c r="BY48" s="14"/>
      <x:c r="BZ48" s="14"/>
      <x:c r="CA48" s="14"/>
      <x:c r="CB48" s="14"/>
      <x:c r="CC48" s="14"/>
      <x:c r="CD48" s="14"/>
      <x:c r="CE48" s="14"/>
    </x:row>
    <x:row r="49">
      <x:c r="A49" s="14" t="n">
        <x:v>48</x:v>
      </x:c>
      <x:c r="B49" s="14"/>
      <x:c r="C49" s="14" t="str">
        <x:v>CHECKING_EVENT</x:v>
      </x:c>
      <x:c r="D49" s="14" t="str">
        <x:v>Exploratory_Checking_611_Positional_Surrogate.xlsx</x:v>
      </x:c>
      <x:c r="E49" s="14"/>
      <x:c r="F49" s="14"/>
      <x:c r="G49" s="14"/>
      <x:c r="H49" s="14"/>
      <x:c r="I49" s="14"/>
      <x:c r="J49" s="14"/>
      <x:c r="K49" s="14" t="str">
        <x:v>NEEDS_WINDOW_BINDING</x:v>
      </x:c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/>
      <x:c r="BC49" s="14"/>
      <x:c r="BD49" s="14"/>
      <x:c r="BE49" s="14"/>
      <x:c r="BF49" s="14"/>
      <x:c r="BG49" s="14"/>
      <x:c r="BH49" s="14"/>
      <x:c r="BI49" s="14"/>
      <x:c r="BJ49" s="14"/>
      <x:c r="BK49" s="14"/>
      <x:c r="BL49" s="14"/>
      <x:c r="BM49" s="14"/>
      <x:c r="BN49" s="14"/>
      <x:c r="BO49" s="14"/>
      <x:c r="BP49" s="14"/>
      <x:c r="BQ49" s="14"/>
      <x:c r="BR49" s="14"/>
      <x:c r="BS49" s="14"/>
      <x:c r="BT49" s="14"/>
      <x:c r="BU49" s="14"/>
      <x:c r="BV49" s="14"/>
      <x:c r="BW49" s="14"/>
      <x:c r="BX49" s="14"/>
      <x:c r="BY49" s="14"/>
      <x:c r="BZ49" s="14"/>
      <x:c r="CA49" s="14"/>
      <x:c r="CB49" s="14"/>
      <x:c r="CC49" s="14"/>
      <x:c r="CD49" s="14"/>
      <x:c r="CE49" s="14"/>
    </x:row>
    <x:row r="50">
      <x:c r="A50" s="14" t="n">
        <x:v>49</x:v>
      </x:c>
      <x:c r="B50" s="14"/>
      <x:c r="C50" s="14" t="str">
        <x:v>CHECKING_EVENT</x:v>
      </x:c>
      <x:c r="D50" s="14" t="str">
        <x:v>Exploratory_Checking_611_Positional_Surrogate.xlsx</x:v>
      </x:c>
      <x:c r="E50" s="14"/>
      <x:c r="F50" s="14"/>
      <x:c r="G50" s="14"/>
      <x:c r="H50" s="14"/>
      <x:c r="I50" s="14"/>
      <x:c r="J50" s="14"/>
      <x:c r="K50" s="14" t="str">
        <x:v>NEEDS_WINDOW_BINDING</x:v>
      </x:c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/>
      <x:c r="BC50" s="14"/>
      <x:c r="BD50" s="14"/>
      <x:c r="BE50" s="14"/>
      <x:c r="BF50" s="14"/>
      <x:c r="BG50" s="14"/>
      <x:c r="BH50" s="14"/>
      <x:c r="BI50" s="14"/>
      <x:c r="BJ50" s="14"/>
      <x:c r="BK50" s="14"/>
      <x:c r="BL50" s="14"/>
      <x:c r="BM50" s="14"/>
      <x:c r="BN50" s="14"/>
      <x:c r="BO50" s="14"/>
      <x:c r="BP50" s="14"/>
      <x:c r="BQ50" s="14"/>
      <x:c r="BR50" s="14"/>
      <x:c r="BS50" s="14"/>
      <x:c r="BT50" s="14"/>
      <x:c r="BU50" s="14"/>
      <x:c r="BV50" s="14"/>
      <x:c r="BW50" s="14"/>
      <x:c r="BX50" s="14"/>
      <x:c r="BY50" s="14"/>
      <x:c r="BZ50" s="14"/>
      <x:c r="CA50" s="14"/>
      <x:c r="CB50" s="14"/>
      <x:c r="CC50" s="14"/>
      <x:c r="CD50" s="14"/>
      <x:c r="CE50" s="14"/>
    </x:row>
    <x:row r="51">
      <x:c r="A51" s="14" t="n">
        <x:v>50</x:v>
      </x:c>
      <x:c r="B51" s="14"/>
      <x:c r="C51" s="14" t="str">
        <x:v>CHECKING_EVENT</x:v>
      </x:c>
      <x:c r="D51" s="14" t="str">
        <x:v>Exploratory_Checking_611_Positional_Surrogate.xlsx</x:v>
      </x:c>
      <x:c r="E51" s="14"/>
      <x:c r="F51" s="14"/>
      <x:c r="G51" s="14"/>
      <x:c r="H51" s="14"/>
      <x:c r="I51" s="14"/>
      <x:c r="J51" s="14"/>
      <x:c r="K51" s="14" t="str">
        <x:v>NEEDS_WINDOW_BINDING</x:v>
      </x:c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/>
      <x:c r="BC51" s="14"/>
      <x:c r="BD51" s="14"/>
      <x:c r="BE51" s="14"/>
      <x:c r="BF51" s="14"/>
      <x:c r="BG51" s="14"/>
      <x:c r="BH51" s="14"/>
      <x:c r="BI51" s="14"/>
      <x:c r="BJ51" s="14"/>
      <x:c r="BK51" s="14"/>
      <x:c r="BL51" s="14"/>
      <x:c r="BM51" s="14"/>
      <x:c r="BN51" s="14"/>
      <x:c r="BO51" s="14"/>
      <x:c r="BP51" s="14"/>
      <x:c r="BQ51" s="14"/>
      <x:c r="BR51" s="14"/>
      <x:c r="BS51" s="14"/>
      <x:c r="BT51" s="14"/>
      <x:c r="BU51" s="14"/>
      <x:c r="BV51" s="14"/>
      <x:c r="BW51" s="14"/>
      <x:c r="BX51" s="14"/>
      <x:c r="BY51" s="14"/>
      <x:c r="BZ51" s="14"/>
      <x:c r="CA51" s="14"/>
      <x:c r="CB51" s="14"/>
      <x:c r="CC51" s="14"/>
      <x:c r="CD51" s="14"/>
      <x:c r="CE51" s="14"/>
    </x:row>
    <x:row r="52">
      <x:c r="A52" s="14" t="n">
        <x:v>51</x:v>
      </x:c>
      <x:c r="B52" s="14"/>
      <x:c r="C52" s="14" t="str">
        <x:v>CHECKING_EVENT</x:v>
      </x:c>
      <x:c r="D52" s="14" t="str">
        <x:v>Exploratory_Checking_611_Positional_Surrogate.xlsx</x:v>
      </x:c>
      <x:c r="E52" s="14"/>
      <x:c r="F52" s="14"/>
      <x:c r="G52" s="14"/>
      <x:c r="H52" s="14"/>
      <x:c r="I52" s="14"/>
      <x:c r="J52" s="14"/>
      <x:c r="K52" s="14" t="str">
        <x:v>NEEDS_WINDOW_BINDING</x:v>
      </x:c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/>
      <x:c r="BC52" s="14"/>
      <x:c r="BD52" s="14"/>
      <x:c r="BE52" s="14"/>
      <x:c r="BF52" s="14"/>
      <x:c r="BG52" s="14"/>
      <x:c r="BH52" s="14"/>
      <x:c r="BI52" s="14"/>
      <x:c r="BJ52" s="14"/>
      <x:c r="BK52" s="14"/>
      <x:c r="BL52" s="14"/>
      <x:c r="BM52" s="14"/>
      <x:c r="BN52" s="14"/>
      <x:c r="BO52" s="14"/>
      <x:c r="BP52" s="14"/>
      <x:c r="BQ52" s="14"/>
      <x:c r="BR52" s="14"/>
      <x:c r="BS52" s="14"/>
      <x:c r="BT52" s="14"/>
      <x:c r="BU52" s="14"/>
      <x:c r="BV52" s="14"/>
      <x:c r="BW52" s="14"/>
      <x:c r="BX52" s="14"/>
      <x:c r="BY52" s="14"/>
      <x:c r="BZ52" s="14"/>
      <x:c r="CA52" s="14"/>
      <x:c r="CB52" s="14"/>
      <x:c r="CC52" s="14"/>
      <x:c r="CD52" s="14"/>
      <x:c r="CE52" s="14"/>
    </x:row>
    <x:row r="53">
      <x:c r="A53" s="14" t="n">
        <x:v>52</x:v>
      </x:c>
      <x:c r="B53" s="14"/>
      <x:c r="C53" s="14" t="str">
        <x:v>CHECKING_EVENT</x:v>
      </x:c>
      <x:c r="D53" s="14" t="str">
        <x:v>Exploratory_Checking_611_Positional_Surrogate.xlsx</x:v>
      </x:c>
      <x:c r="E53" s="14"/>
      <x:c r="F53" s="14"/>
      <x:c r="G53" s="14"/>
      <x:c r="H53" s="14"/>
      <x:c r="I53" s="14"/>
      <x:c r="J53" s="14"/>
      <x:c r="K53" s="14" t="str">
        <x:v>NEEDS_WINDOW_BINDING</x:v>
      </x:c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/>
      <x:c r="BC53" s="14"/>
      <x:c r="BD53" s="14"/>
      <x:c r="BE53" s="14"/>
      <x:c r="BF53" s="14"/>
      <x:c r="BG53" s="14"/>
      <x:c r="BH53" s="14"/>
      <x:c r="BI53" s="14"/>
      <x:c r="BJ53" s="14"/>
      <x:c r="BK53" s="14"/>
      <x:c r="BL53" s="14"/>
      <x:c r="BM53" s="14"/>
      <x:c r="BN53" s="14"/>
      <x:c r="BO53" s="14"/>
      <x:c r="BP53" s="14"/>
      <x:c r="BQ53" s="14"/>
      <x:c r="BR53" s="14"/>
      <x:c r="BS53" s="14"/>
      <x:c r="BT53" s="14"/>
      <x:c r="BU53" s="14"/>
      <x:c r="BV53" s="14"/>
      <x:c r="BW53" s="14"/>
      <x:c r="BX53" s="14"/>
      <x:c r="BY53" s="14"/>
      <x:c r="BZ53" s="14"/>
      <x:c r="CA53" s="14"/>
      <x:c r="CB53" s="14"/>
      <x:c r="CC53" s="14"/>
      <x:c r="CD53" s="14"/>
      <x:c r="CE53" s="14"/>
    </x:row>
    <x:row r="54">
      <x:c r="A54" s="14" t="n">
        <x:v>53</x:v>
      </x:c>
      <x:c r="B54" s="14"/>
      <x:c r="C54" s="14" t="str">
        <x:v>CHECKING_EVENT</x:v>
      </x:c>
      <x:c r="D54" s="14" t="str">
        <x:v>Exploratory_Checking_611_Positional_Surrogate.xlsx</x:v>
      </x:c>
      <x:c r="E54" s="14"/>
      <x:c r="F54" s="14"/>
      <x:c r="G54" s="14"/>
      <x:c r="H54" s="14"/>
      <x:c r="I54" s="14"/>
      <x:c r="J54" s="14"/>
      <x:c r="K54" s="14" t="str">
        <x:v>NEEDS_WINDOW_BINDING</x:v>
      </x:c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/>
      <x:c r="BC54" s="14"/>
      <x:c r="BD54" s="14"/>
      <x:c r="BE54" s="14"/>
      <x:c r="BF54" s="14"/>
      <x:c r="BG54" s="14"/>
      <x:c r="BH54" s="14"/>
      <x:c r="BI54" s="14"/>
      <x:c r="BJ54" s="14"/>
      <x:c r="BK54" s="14"/>
      <x:c r="BL54" s="14"/>
      <x:c r="BM54" s="14"/>
      <x:c r="BN54" s="14"/>
      <x:c r="BO54" s="14"/>
      <x:c r="BP54" s="14"/>
      <x:c r="BQ54" s="14"/>
      <x:c r="BR54" s="14"/>
      <x:c r="BS54" s="14"/>
      <x:c r="BT54" s="14"/>
      <x:c r="BU54" s="14"/>
      <x:c r="BV54" s="14"/>
      <x:c r="BW54" s="14"/>
      <x:c r="BX54" s="14"/>
      <x:c r="BY54" s="14"/>
      <x:c r="BZ54" s="14"/>
      <x:c r="CA54" s="14"/>
      <x:c r="CB54" s="14"/>
      <x:c r="CC54" s="14"/>
      <x:c r="CD54" s="14"/>
      <x:c r="CE54" s="14"/>
    </x:row>
    <x:row r="55">
      <x:c r="A55" s="14" t="n">
        <x:v>54</x:v>
      </x:c>
      <x:c r="B55" s="14"/>
      <x:c r="C55" s="14" t="str">
        <x:v>CHECKING_EVENT</x:v>
      </x:c>
      <x:c r="D55" s="14" t="str">
        <x:v>Exploratory_Checking_611_Positional_Surrogate.xlsx</x:v>
      </x:c>
      <x:c r="E55" s="14"/>
      <x:c r="F55" s="14"/>
      <x:c r="G55" s="14"/>
      <x:c r="H55" s="14"/>
      <x:c r="I55" s="14"/>
      <x:c r="J55" s="14"/>
      <x:c r="K55" s="14" t="str">
        <x:v>NEEDS_WINDOW_BINDING</x:v>
      </x:c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/>
      <x:c r="BC55" s="14"/>
      <x:c r="BD55" s="14"/>
      <x:c r="BE55" s="14"/>
      <x:c r="BF55" s="14"/>
      <x:c r="BG55" s="14"/>
      <x:c r="BH55" s="14"/>
      <x:c r="BI55" s="14"/>
      <x:c r="BJ55" s="14"/>
      <x:c r="BK55" s="14"/>
      <x:c r="BL55" s="14"/>
      <x:c r="BM55" s="14"/>
      <x:c r="BN55" s="14"/>
      <x:c r="BO55" s="14"/>
      <x:c r="BP55" s="14"/>
      <x:c r="BQ55" s="14"/>
      <x:c r="BR55" s="14"/>
      <x:c r="BS55" s="14"/>
      <x:c r="BT55" s="14"/>
      <x:c r="BU55" s="14"/>
      <x:c r="BV55" s="14"/>
      <x:c r="BW55" s="14"/>
      <x:c r="BX55" s="14"/>
      <x:c r="BY55" s="14"/>
      <x:c r="BZ55" s="14"/>
      <x:c r="CA55" s="14"/>
      <x:c r="CB55" s="14"/>
      <x:c r="CC55" s="14"/>
      <x:c r="CD55" s="14"/>
      <x:c r="CE55" s="14"/>
    </x:row>
    <x:row r="56">
      <x:c r="A56" s="14" t="n">
        <x:v>55</x:v>
      </x:c>
      <x:c r="B56" s="14"/>
      <x:c r="C56" s="14" t="str">
        <x:v>CHECKING_EVENT</x:v>
      </x:c>
      <x:c r="D56" s="14" t="str">
        <x:v>Exploratory_Checking_611_Positional_Surrogate.xlsx</x:v>
      </x:c>
      <x:c r="E56" s="14"/>
      <x:c r="F56" s="14"/>
      <x:c r="G56" s="14"/>
      <x:c r="H56" s="14"/>
      <x:c r="I56" s="14"/>
      <x:c r="J56" s="14"/>
      <x:c r="K56" s="14" t="str">
        <x:v>NEEDS_WINDOW_BINDING</x:v>
      </x:c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/>
      <x:c r="BC56" s="14"/>
      <x:c r="BD56" s="14"/>
      <x:c r="BE56" s="14"/>
      <x:c r="BF56" s="14"/>
      <x:c r="BG56" s="14"/>
      <x:c r="BH56" s="14"/>
      <x:c r="BI56" s="14"/>
      <x:c r="BJ56" s="14"/>
      <x:c r="BK56" s="14"/>
      <x:c r="BL56" s="14"/>
      <x:c r="BM56" s="14"/>
      <x:c r="BN56" s="14"/>
      <x:c r="BO56" s="14"/>
      <x:c r="BP56" s="14"/>
      <x:c r="BQ56" s="14"/>
      <x:c r="BR56" s="14"/>
      <x:c r="BS56" s="14"/>
      <x:c r="BT56" s="14"/>
      <x:c r="BU56" s="14"/>
      <x:c r="BV56" s="14"/>
      <x:c r="BW56" s="14"/>
      <x:c r="BX56" s="14"/>
      <x:c r="BY56" s="14"/>
      <x:c r="BZ56" s="14"/>
      <x:c r="CA56" s="14"/>
      <x:c r="CB56" s="14"/>
      <x:c r="CC56" s="14"/>
      <x:c r="CD56" s="14"/>
      <x:c r="CE56" s="14"/>
    </x:row>
    <x:row r="57">
      <x:c r="A57" s="14" t="n">
        <x:v>56</x:v>
      </x:c>
      <x:c r="B57" s="14"/>
      <x:c r="C57" s="14" t="str">
        <x:v>CHECKING_EVENT</x:v>
      </x:c>
      <x:c r="D57" s="14" t="str">
        <x:v>Exploratory_Checking_611_Positional_Surrogate.xlsx</x:v>
      </x:c>
      <x:c r="E57" s="14"/>
      <x:c r="F57" s="14"/>
      <x:c r="G57" s="14"/>
      <x:c r="H57" s="14"/>
      <x:c r="I57" s="14"/>
      <x:c r="J57" s="14"/>
      <x:c r="K57" s="14" t="str">
        <x:v>NEEDS_WINDOW_BINDING</x:v>
      </x:c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/>
      <x:c r="BC57" s="14"/>
      <x:c r="BD57" s="14"/>
      <x:c r="BE57" s="14"/>
      <x:c r="BF57" s="14"/>
      <x:c r="BG57" s="14"/>
      <x:c r="BH57" s="14"/>
      <x:c r="BI57" s="14"/>
      <x:c r="BJ57" s="14"/>
      <x:c r="BK57" s="14"/>
      <x:c r="BL57" s="14"/>
      <x:c r="BM57" s="14"/>
      <x:c r="BN57" s="14"/>
      <x:c r="BO57" s="14"/>
      <x:c r="BP57" s="14"/>
      <x:c r="BQ57" s="14"/>
      <x:c r="BR57" s="14"/>
      <x:c r="BS57" s="14"/>
      <x:c r="BT57" s="14"/>
      <x:c r="BU57" s="14"/>
      <x:c r="BV57" s="14"/>
      <x:c r="BW57" s="14"/>
      <x:c r="BX57" s="14"/>
      <x:c r="BY57" s="14"/>
      <x:c r="BZ57" s="14"/>
      <x:c r="CA57" s="14"/>
      <x:c r="CB57" s="14"/>
      <x:c r="CC57" s="14"/>
      <x:c r="CD57" s="14"/>
      <x:c r="CE57" s="14"/>
    </x:row>
    <x:row r="58">
      <x:c r="A58" s="14" t="n">
        <x:v>57</x:v>
      </x:c>
      <x:c r="B58" s="14"/>
      <x:c r="C58" s="14" t="str">
        <x:v>CHECKING_EVENT</x:v>
      </x:c>
      <x:c r="D58" s="14" t="str">
        <x:v>Exploratory_Checking_611_Positional_Surrogate.xlsx</x:v>
      </x:c>
      <x:c r="E58" s="14"/>
      <x:c r="F58" s="14"/>
      <x:c r="G58" s="14"/>
      <x:c r="H58" s="14"/>
      <x:c r="I58" s="14"/>
      <x:c r="J58" s="14"/>
      <x:c r="K58" s="14" t="str">
        <x:v>NEEDS_WINDOW_BINDING</x:v>
      </x:c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/>
      <x:c r="BC58" s="14"/>
      <x:c r="BD58" s="14"/>
      <x:c r="BE58" s="14"/>
      <x:c r="BF58" s="14"/>
      <x:c r="BG58" s="14"/>
      <x:c r="BH58" s="14"/>
      <x:c r="BI58" s="14"/>
      <x:c r="BJ58" s="14"/>
      <x:c r="BK58" s="14"/>
      <x:c r="BL58" s="14"/>
      <x:c r="BM58" s="14"/>
      <x:c r="BN58" s="14"/>
      <x:c r="BO58" s="14"/>
      <x:c r="BP58" s="14"/>
      <x:c r="BQ58" s="14"/>
      <x:c r="BR58" s="14"/>
      <x:c r="BS58" s="14"/>
      <x:c r="BT58" s="14"/>
      <x:c r="BU58" s="14"/>
      <x:c r="BV58" s="14"/>
      <x:c r="BW58" s="14"/>
      <x:c r="BX58" s="14"/>
      <x:c r="BY58" s="14"/>
      <x:c r="BZ58" s="14"/>
      <x:c r="CA58" s="14"/>
      <x:c r="CB58" s="14"/>
      <x:c r="CC58" s="14"/>
      <x:c r="CD58" s="14"/>
      <x:c r="CE58" s="14"/>
    </x:row>
    <x:row r="59">
      <x:c r="A59" s="14" t="n">
        <x:v>58</x:v>
      </x:c>
      <x:c r="B59" s="14"/>
      <x:c r="C59" s="14" t="str">
        <x:v>CHECKING_EVENT</x:v>
      </x:c>
      <x:c r="D59" s="14" t="str">
        <x:v>Exploratory_Checking_611_Positional_Surrogate.xlsx</x:v>
      </x:c>
      <x:c r="E59" s="14"/>
      <x:c r="F59" s="14"/>
      <x:c r="G59" s="14"/>
      <x:c r="H59" s="14"/>
      <x:c r="I59" s="14"/>
      <x:c r="J59" s="14"/>
      <x:c r="K59" s="14" t="str">
        <x:v>NEEDS_WINDOW_BINDING</x:v>
      </x:c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/>
      <x:c r="BC59" s="14"/>
      <x:c r="BD59" s="14"/>
      <x:c r="BE59" s="14"/>
      <x:c r="BF59" s="14"/>
      <x:c r="BG59" s="14"/>
      <x:c r="BH59" s="14"/>
      <x:c r="BI59" s="14"/>
      <x:c r="BJ59" s="14"/>
      <x:c r="BK59" s="14"/>
      <x:c r="BL59" s="14"/>
      <x:c r="BM59" s="14"/>
      <x:c r="BN59" s="14"/>
      <x:c r="BO59" s="14"/>
      <x:c r="BP59" s="14"/>
      <x:c r="BQ59" s="14"/>
      <x:c r="BR59" s="14"/>
      <x:c r="BS59" s="14"/>
      <x:c r="BT59" s="14"/>
      <x:c r="BU59" s="14"/>
      <x:c r="BV59" s="14"/>
      <x:c r="BW59" s="14"/>
      <x:c r="BX59" s="14"/>
      <x:c r="BY59" s="14"/>
      <x:c r="BZ59" s="14"/>
      <x:c r="CA59" s="14"/>
      <x:c r="CB59" s="14"/>
      <x:c r="CC59" s="14"/>
      <x:c r="CD59" s="14"/>
      <x:c r="CE59" s="14"/>
    </x:row>
    <x:row r="60">
      <x:c r="A60" s="14" t="n">
        <x:v>59</x:v>
      </x:c>
      <x:c r="B60" s="14"/>
      <x:c r="C60" s="14" t="str">
        <x:v>CHECKING_EVENT</x:v>
      </x:c>
      <x:c r="D60" s="14" t="str">
        <x:v>Exploratory_Checking_611_Positional_Surrogate.xlsx</x:v>
      </x:c>
      <x:c r="E60" s="14"/>
      <x:c r="F60" s="14"/>
      <x:c r="G60" s="14"/>
      <x:c r="H60" s="14"/>
      <x:c r="I60" s="14"/>
      <x:c r="J60" s="14"/>
      <x:c r="K60" s="14" t="str">
        <x:v>NEEDS_WINDOW_BINDING</x:v>
      </x:c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/>
      <x:c r="BC60" s="14"/>
      <x:c r="BD60" s="14"/>
      <x:c r="BE60" s="14"/>
      <x:c r="BF60" s="14"/>
      <x:c r="BG60" s="14"/>
      <x:c r="BH60" s="14"/>
      <x:c r="BI60" s="14"/>
      <x:c r="BJ60" s="14"/>
      <x:c r="BK60" s="14"/>
      <x:c r="BL60" s="14"/>
      <x:c r="BM60" s="14"/>
      <x:c r="BN60" s="14"/>
      <x:c r="BO60" s="14"/>
      <x:c r="BP60" s="14"/>
      <x:c r="BQ60" s="14"/>
      <x:c r="BR60" s="14"/>
      <x:c r="BS60" s="14"/>
      <x:c r="BT60" s="14"/>
      <x:c r="BU60" s="14"/>
      <x:c r="BV60" s="14"/>
      <x:c r="BW60" s="14"/>
      <x:c r="BX60" s="14"/>
      <x:c r="BY60" s="14"/>
      <x:c r="BZ60" s="14"/>
      <x:c r="CA60" s="14"/>
      <x:c r="CB60" s="14"/>
      <x:c r="CC60" s="14"/>
      <x:c r="CD60" s="14"/>
      <x:c r="CE60" s="14"/>
    </x:row>
    <x:row r="61">
      <x:c r="A61" s="14" t="n">
        <x:v>60</x:v>
      </x:c>
      <x:c r="B61" s="14"/>
      <x:c r="C61" s="14" t="str">
        <x:v>CHECKING_EVENT</x:v>
      </x:c>
      <x:c r="D61" s="14" t="str">
        <x:v>Exploratory_Checking_611_Positional_Surrogate.xlsx</x:v>
      </x:c>
      <x:c r="E61" s="14"/>
      <x:c r="F61" s="14"/>
      <x:c r="G61" s="14"/>
      <x:c r="H61" s="14"/>
      <x:c r="I61" s="14"/>
      <x:c r="J61" s="14"/>
      <x:c r="K61" s="14" t="str">
        <x:v>NEEDS_WINDOW_BINDING</x:v>
      </x:c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/>
      <x:c r="BC61" s="14"/>
      <x:c r="BD61" s="14"/>
      <x:c r="BE61" s="14"/>
      <x:c r="BF61" s="14"/>
      <x:c r="BG61" s="14"/>
      <x:c r="BH61" s="14"/>
      <x:c r="BI61" s="14"/>
      <x:c r="BJ61" s="14"/>
      <x:c r="BK61" s="14"/>
      <x:c r="BL61" s="14"/>
      <x:c r="BM61" s="14"/>
      <x:c r="BN61" s="14"/>
      <x:c r="BO61" s="14"/>
      <x:c r="BP61" s="14"/>
      <x:c r="BQ61" s="14"/>
      <x:c r="BR61" s="14"/>
      <x:c r="BS61" s="14"/>
      <x:c r="BT61" s="14"/>
      <x:c r="BU61" s="14"/>
      <x:c r="BV61" s="14"/>
      <x:c r="BW61" s="14"/>
      <x:c r="BX61" s="14"/>
      <x:c r="BY61" s="14"/>
      <x:c r="BZ61" s="14"/>
      <x:c r="CA61" s="14"/>
      <x:c r="CB61" s="14"/>
      <x:c r="CC61" s="14"/>
      <x:c r="CD61" s="14"/>
      <x:c r="CE61" s="14"/>
    </x:row>
    <x:row r="62">
      <x:c r="A62" s="14" t="n">
        <x:v>61</x:v>
      </x:c>
      <x:c r="B62" s="14"/>
      <x:c r="C62" s="14" t="str">
        <x:v>CHECKING_EVENT</x:v>
      </x:c>
      <x:c r="D62" s="14" t="str">
        <x:v>Exploratory_Checking_611_Positional_Surrogate.xlsx</x:v>
      </x:c>
      <x:c r="E62" s="14"/>
      <x:c r="F62" s="14"/>
      <x:c r="G62" s="14"/>
      <x:c r="H62" s="14"/>
      <x:c r="I62" s="14"/>
      <x:c r="J62" s="14"/>
      <x:c r="K62" s="14" t="str">
        <x:v>NEEDS_WINDOW_BINDING</x:v>
      </x:c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/>
      <x:c r="BC62" s="14"/>
      <x:c r="BD62" s="14"/>
      <x:c r="BE62" s="14"/>
      <x:c r="BF62" s="14"/>
      <x:c r="BG62" s="14"/>
      <x:c r="BH62" s="14"/>
      <x:c r="BI62" s="14"/>
      <x:c r="BJ62" s="14"/>
      <x:c r="BK62" s="14"/>
      <x:c r="BL62" s="14"/>
      <x:c r="BM62" s="14"/>
      <x:c r="BN62" s="14"/>
      <x:c r="BO62" s="14"/>
      <x:c r="BP62" s="14"/>
      <x:c r="BQ62" s="14"/>
      <x:c r="BR62" s="14"/>
      <x:c r="BS62" s="14"/>
      <x:c r="BT62" s="14"/>
      <x:c r="BU62" s="14"/>
      <x:c r="BV62" s="14"/>
      <x:c r="BW62" s="14"/>
      <x:c r="BX62" s="14"/>
      <x:c r="BY62" s="14"/>
      <x:c r="BZ62" s="14"/>
      <x:c r="CA62" s="14"/>
      <x:c r="CB62" s="14"/>
      <x:c r="CC62" s="14"/>
      <x:c r="CD62" s="14"/>
      <x:c r="CE62" s="14"/>
    </x:row>
    <x:row r="63">
      <x:c r="A63" s="14" t="n">
        <x:v>62</x:v>
      </x:c>
      <x:c r="B63" s="14"/>
      <x:c r="C63" s="14" t="str">
        <x:v>CHECKING_EVENT</x:v>
      </x:c>
      <x:c r="D63" s="14" t="str">
        <x:v>Exploratory_Checking_611_Positional_Surrogate.xlsx</x:v>
      </x:c>
      <x:c r="E63" s="14"/>
      <x:c r="F63" s="14"/>
      <x:c r="G63" s="14"/>
      <x:c r="H63" s="14"/>
      <x:c r="I63" s="14"/>
      <x:c r="J63" s="14"/>
      <x:c r="K63" s="14" t="str">
        <x:v>NEEDS_WINDOW_BINDING</x:v>
      </x:c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/>
      <x:c r="BC63" s="14"/>
      <x:c r="BD63" s="14"/>
      <x:c r="BE63" s="14"/>
      <x:c r="BF63" s="14"/>
      <x:c r="BG63" s="14"/>
      <x:c r="BH63" s="14"/>
      <x:c r="BI63" s="14"/>
      <x:c r="BJ63" s="14"/>
      <x:c r="BK63" s="14"/>
      <x:c r="BL63" s="14"/>
      <x:c r="BM63" s="14"/>
      <x:c r="BN63" s="14"/>
      <x:c r="BO63" s="14"/>
      <x:c r="BP63" s="14"/>
      <x:c r="BQ63" s="14"/>
      <x:c r="BR63" s="14"/>
      <x:c r="BS63" s="14"/>
      <x:c r="BT63" s="14"/>
      <x:c r="BU63" s="14"/>
      <x:c r="BV63" s="14"/>
      <x:c r="BW63" s="14"/>
      <x:c r="BX63" s="14"/>
      <x:c r="BY63" s="14"/>
      <x:c r="BZ63" s="14"/>
      <x:c r="CA63" s="14"/>
      <x:c r="CB63" s="14"/>
      <x:c r="CC63" s="14"/>
      <x:c r="CD63" s="14"/>
      <x:c r="CE63" s="14"/>
    </x:row>
    <x:row r="64">
      <x:c r="A64" s="14" t="n">
        <x:v>63</x:v>
      </x:c>
      <x:c r="B64" s="14"/>
      <x:c r="C64" s="14" t="str">
        <x:v>CHECKING_EVENT</x:v>
      </x:c>
      <x:c r="D64" s="14" t="str">
        <x:v>Exploratory_Checking_611_Positional_Surrogate.xlsx</x:v>
      </x:c>
      <x:c r="E64" s="14"/>
      <x:c r="F64" s="14"/>
      <x:c r="G64" s="14"/>
      <x:c r="H64" s="14"/>
      <x:c r="I64" s="14"/>
      <x:c r="J64" s="14"/>
      <x:c r="K64" s="14" t="str">
        <x:v>NEEDS_WINDOW_BINDING</x:v>
      </x:c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/>
      <x:c r="BC64" s="14"/>
      <x:c r="BD64" s="14"/>
      <x:c r="BE64" s="14"/>
      <x:c r="BF64" s="14"/>
      <x:c r="BG64" s="14"/>
      <x:c r="BH64" s="14"/>
      <x:c r="BI64" s="14"/>
      <x:c r="BJ64" s="14"/>
      <x:c r="BK64" s="14"/>
      <x:c r="BL64" s="14"/>
      <x:c r="BM64" s="14"/>
      <x:c r="BN64" s="14"/>
      <x:c r="BO64" s="14"/>
      <x:c r="BP64" s="14"/>
      <x:c r="BQ64" s="14"/>
      <x:c r="BR64" s="14"/>
      <x:c r="BS64" s="14"/>
      <x:c r="BT64" s="14"/>
      <x:c r="BU64" s="14"/>
      <x:c r="BV64" s="14"/>
      <x:c r="BW64" s="14"/>
      <x:c r="BX64" s="14"/>
      <x:c r="BY64" s="14"/>
      <x:c r="BZ64" s="14"/>
      <x:c r="CA64" s="14"/>
      <x:c r="CB64" s="14"/>
      <x:c r="CC64" s="14"/>
      <x:c r="CD64" s="14"/>
      <x:c r="CE64" s="14"/>
    </x:row>
    <x:row r="65">
      <x:c r="A65" s="14" t="n">
        <x:v>64</x:v>
      </x:c>
      <x:c r="B65" s="14"/>
      <x:c r="C65" s="14" t="str">
        <x:v>CHECKING_EVENT</x:v>
      </x:c>
      <x:c r="D65" s="14" t="str">
        <x:v>Exploratory_Checking_611_Positional_Surrogate.xlsx</x:v>
      </x:c>
      <x:c r="E65" s="14"/>
      <x:c r="F65" s="14"/>
      <x:c r="G65" s="14"/>
      <x:c r="H65" s="14"/>
      <x:c r="I65" s="14"/>
      <x:c r="J65" s="14"/>
      <x:c r="K65" s="14" t="str">
        <x:v>NEEDS_WINDOW_BINDING</x:v>
      </x:c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/>
      <x:c r="BC65" s="14"/>
      <x:c r="BD65" s="14"/>
      <x:c r="BE65" s="14"/>
      <x:c r="BF65" s="14"/>
      <x:c r="BG65" s="14"/>
      <x:c r="BH65" s="14"/>
      <x:c r="BI65" s="14"/>
      <x:c r="BJ65" s="14"/>
      <x:c r="BK65" s="14"/>
      <x:c r="BL65" s="14"/>
      <x:c r="BM65" s="14"/>
      <x:c r="BN65" s="14"/>
      <x:c r="BO65" s="14"/>
      <x:c r="BP65" s="14"/>
      <x:c r="BQ65" s="14"/>
      <x:c r="BR65" s="14"/>
      <x:c r="BS65" s="14"/>
      <x:c r="BT65" s="14"/>
      <x:c r="BU65" s="14"/>
      <x:c r="BV65" s="14"/>
      <x:c r="BW65" s="14"/>
      <x:c r="BX65" s="14"/>
      <x:c r="BY65" s="14"/>
      <x:c r="BZ65" s="14"/>
      <x:c r="CA65" s="14"/>
      <x:c r="CB65" s="14"/>
      <x:c r="CC65" s="14"/>
      <x:c r="CD65" s="14"/>
      <x:c r="CE65" s="14"/>
    </x:row>
    <x:row r="66">
      <x:c r="A66" s="14" t="n">
        <x:v>65</x:v>
      </x:c>
      <x:c r="B66" s="14"/>
      <x:c r="C66" s="14" t="str">
        <x:v>CHECKING_EVENT</x:v>
      </x:c>
      <x:c r="D66" s="14" t="str">
        <x:v>Exploratory_Checking_611_Positional_Surrogate.xlsx</x:v>
      </x:c>
      <x:c r="E66" s="14"/>
      <x:c r="F66" s="14"/>
      <x:c r="G66" s="14"/>
      <x:c r="H66" s="14"/>
      <x:c r="I66" s="14"/>
      <x:c r="J66" s="14"/>
      <x:c r="K66" s="14" t="str">
        <x:v>NEEDS_WINDOW_BINDING</x:v>
      </x:c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/>
      <x:c r="BC66" s="14"/>
      <x:c r="BD66" s="14"/>
      <x:c r="BE66" s="14"/>
      <x:c r="BF66" s="14"/>
      <x:c r="BG66" s="14"/>
      <x:c r="BH66" s="14"/>
      <x:c r="BI66" s="14"/>
      <x:c r="BJ66" s="14"/>
      <x:c r="BK66" s="14"/>
      <x:c r="BL66" s="14"/>
      <x:c r="BM66" s="14"/>
      <x:c r="BN66" s="14"/>
      <x:c r="BO66" s="14"/>
      <x:c r="BP66" s="14"/>
      <x:c r="BQ66" s="14"/>
      <x:c r="BR66" s="14"/>
      <x:c r="BS66" s="14"/>
      <x:c r="BT66" s="14"/>
      <x:c r="BU66" s="14"/>
      <x:c r="BV66" s="14"/>
      <x:c r="BW66" s="14"/>
      <x:c r="BX66" s="14"/>
      <x:c r="BY66" s="14"/>
      <x:c r="BZ66" s="14"/>
      <x:c r="CA66" s="14"/>
      <x:c r="CB66" s="14"/>
      <x:c r="CC66" s="14"/>
      <x:c r="CD66" s="14"/>
      <x:c r="CE66" s="14"/>
    </x:row>
    <x:row r="67">
      <x:c r="A67" s="14" t="n">
        <x:v>66</x:v>
      </x:c>
      <x:c r="B67" s="14"/>
      <x:c r="C67" s="14" t="str">
        <x:v>CHECKING_EVENT</x:v>
      </x:c>
      <x:c r="D67" s="14" t="str">
        <x:v>Exploratory_Checking_611_Positional_Surrogate.xlsx</x:v>
      </x:c>
      <x:c r="E67" s="14"/>
      <x:c r="F67" s="14"/>
      <x:c r="G67" s="14"/>
      <x:c r="H67" s="14"/>
      <x:c r="I67" s="14"/>
      <x:c r="J67" s="14"/>
      <x:c r="K67" s="14" t="str">
        <x:v>NEEDS_WINDOW_BINDING</x:v>
      </x:c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/>
      <x:c r="BC67" s="14"/>
      <x:c r="BD67" s="14"/>
      <x:c r="BE67" s="14"/>
      <x:c r="BF67" s="14"/>
      <x:c r="BG67" s="14"/>
      <x:c r="BH67" s="14"/>
      <x:c r="BI67" s="14"/>
      <x:c r="BJ67" s="14"/>
      <x:c r="BK67" s="14"/>
      <x:c r="BL67" s="14"/>
      <x:c r="BM67" s="14"/>
      <x:c r="BN67" s="14"/>
      <x:c r="BO67" s="14"/>
      <x:c r="BP67" s="14"/>
      <x:c r="BQ67" s="14"/>
      <x:c r="BR67" s="14"/>
      <x:c r="BS67" s="14"/>
      <x:c r="BT67" s="14"/>
      <x:c r="BU67" s="14"/>
      <x:c r="BV67" s="14"/>
      <x:c r="BW67" s="14"/>
      <x:c r="BX67" s="14"/>
      <x:c r="BY67" s="14"/>
      <x:c r="BZ67" s="14"/>
      <x:c r="CA67" s="14"/>
      <x:c r="CB67" s="14"/>
      <x:c r="CC67" s="14"/>
      <x:c r="CD67" s="14"/>
      <x:c r="CE67" s="14"/>
    </x:row>
    <x:row r="68">
      <x:c r="A68" s="14" t="n">
        <x:v>67</x:v>
      </x:c>
      <x:c r="B68" s="14"/>
      <x:c r="C68" s="14" t="str">
        <x:v>CHECKING_EVENT</x:v>
      </x:c>
      <x:c r="D68" s="14" t="str">
        <x:v>Exploratory_Checking_611_Positional_Surrogate.xlsx</x:v>
      </x:c>
      <x:c r="E68" s="14"/>
      <x:c r="F68" s="14"/>
      <x:c r="G68" s="14"/>
      <x:c r="H68" s="14"/>
      <x:c r="I68" s="14"/>
      <x:c r="J68" s="14"/>
      <x:c r="K68" s="14" t="str">
        <x:v>NEEDS_WINDOW_BINDING</x:v>
      </x:c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/>
      <x:c r="BC68" s="14"/>
      <x:c r="BD68" s="14"/>
      <x:c r="BE68" s="14"/>
      <x:c r="BF68" s="14"/>
      <x:c r="BG68" s="14"/>
      <x:c r="BH68" s="14"/>
      <x:c r="BI68" s="14"/>
      <x:c r="BJ68" s="14"/>
      <x:c r="BK68" s="14"/>
      <x:c r="BL68" s="14"/>
      <x:c r="BM68" s="14"/>
      <x:c r="BN68" s="14"/>
      <x:c r="BO68" s="14"/>
      <x:c r="BP68" s="14"/>
      <x:c r="BQ68" s="14"/>
      <x:c r="BR68" s="14"/>
      <x:c r="BS68" s="14"/>
      <x:c r="BT68" s="14"/>
      <x:c r="BU68" s="14"/>
      <x:c r="BV68" s="14"/>
      <x:c r="BW68" s="14"/>
      <x:c r="BX68" s="14"/>
      <x:c r="BY68" s="14"/>
      <x:c r="BZ68" s="14"/>
      <x:c r="CA68" s="14"/>
      <x:c r="CB68" s="14"/>
      <x:c r="CC68" s="14"/>
      <x:c r="CD68" s="14"/>
      <x:c r="CE68" s="14"/>
    </x:row>
    <x:row r="69">
      <x:c r="A69" s="14" t="n">
        <x:v>68</x:v>
      </x:c>
      <x:c r="B69" s="14"/>
      <x:c r="C69" s="14" t="str">
        <x:v>CHECKING_EVENT</x:v>
      </x:c>
      <x:c r="D69" s="14" t="str">
        <x:v>Exploratory_Checking_611_Positional_Surrogate.xlsx</x:v>
      </x:c>
      <x:c r="E69" s="14"/>
      <x:c r="F69" s="14"/>
      <x:c r="G69" s="14"/>
      <x:c r="H69" s="14"/>
      <x:c r="I69" s="14"/>
      <x:c r="J69" s="14"/>
      <x:c r="K69" s="14" t="str">
        <x:v>NEEDS_WINDOW_BINDING</x:v>
      </x:c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/>
      <x:c r="BC69" s="14"/>
      <x:c r="BD69" s="14"/>
      <x:c r="BE69" s="14"/>
      <x:c r="BF69" s="14"/>
      <x:c r="BG69" s="14"/>
      <x:c r="BH69" s="14"/>
      <x:c r="BI69" s="14"/>
      <x:c r="BJ69" s="14"/>
      <x:c r="BK69" s="14"/>
      <x:c r="BL69" s="14"/>
      <x:c r="BM69" s="14"/>
      <x:c r="BN69" s="14"/>
      <x:c r="BO69" s="14"/>
      <x:c r="BP69" s="14"/>
      <x:c r="BQ69" s="14"/>
      <x:c r="BR69" s="14"/>
      <x:c r="BS69" s="14"/>
      <x:c r="BT69" s="14"/>
      <x:c r="BU69" s="14"/>
      <x:c r="BV69" s="14"/>
      <x:c r="BW69" s="14"/>
      <x:c r="BX69" s="14"/>
      <x:c r="BY69" s="14"/>
      <x:c r="BZ69" s="14"/>
      <x:c r="CA69" s="14"/>
      <x:c r="CB69" s="14"/>
      <x:c r="CC69" s="14"/>
      <x:c r="CD69" s="14"/>
      <x:c r="CE69" s="14"/>
    </x:row>
    <x:row r="70">
      <x:c r="A70" s="14" t="n">
        <x:v>69</x:v>
      </x:c>
      <x:c r="B70" s="14"/>
      <x:c r="C70" s="14" t="str">
        <x:v>CHECKING_EVENT</x:v>
      </x:c>
      <x:c r="D70" s="14" t="str">
        <x:v>Exploratory_Checking_611_Positional_Surrogate.xlsx</x:v>
      </x:c>
      <x:c r="E70" s="14"/>
      <x:c r="F70" s="14"/>
      <x:c r="G70" s="14"/>
      <x:c r="H70" s="14"/>
      <x:c r="I70" s="14"/>
      <x:c r="J70" s="14"/>
      <x:c r="K70" s="14" t="str">
        <x:v>NEEDS_WINDOW_BINDING</x:v>
      </x:c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/>
      <x:c r="BC70" s="14"/>
      <x:c r="BD70" s="14"/>
      <x:c r="BE70" s="14"/>
      <x:c r="BF70" s="14"/>
      <x:c r="BG70" s="14"/>
      <x:c r="BH70" s="14"/>
      <x:c r="BI70" s="14"/>
      <x:c r="BJ70" s="14"/>
      <x:c r="BK70" s="14"/>
      <x:c r="BL70" s="14"/>
      <x:c r="BM70" s="14"/>
      <x:c r="BN70" s="14"/>
      <x:c r="BO70" s="14"/>
      <x:c r="BP70" s="14"/>
      <x:c r="BQ70" s="14"/>
      <x:c r="BR70" s="14"/>
      <x:c r="BS70" s="14"/>
      <x:c r="BT70" s="14"/>
      <x:c r="BU70" s="14"/>
      <x:c r="BV70" s="14"/>
      <x:c r="BW70" s="14"/>
      <x:c r="BX70" s="14"/>
      <x:c r="BY70" s="14"/>
      <x:c r="BZ70" s="14"/>
      <x:c r="CA70" s="14"/>
      <x:c r="CB70" s="14"/>
      <x:c r="CC70" s="14"/>
      <x:c r="CD70" s="14"/>
      <x:c r="CE70" s="14"/>
    </x:row>
    <x:row r="71">
      <x:c r="A71" s="14" t="n">
        <x:v>70</x:v>
      </x:c>
      <x:c r="B71" s="14"/>
      <x:c r="C71" s="14" t="str">
        <x:v>CHECKING_EVENT</x:v>
      </x:c>
      <x:c r="D71" s="14" t="str">
        <x:v>Exploratory_Checking_611_Positional_Surrogate.xlsx</x:v>
      </x:c>
      <x:c r="E71" s="14"/>
      <x:c r="F71" s="14"/>
      <x:c r="G71" s="14"/>
      <x:c r="H71" s="14"/>
      <x:c r="I71" s="14"/>
      <x:c r="J71" s="14"/>
      <x:c r="K71" s="14" t="str">
        <x:v>NEEDS_WINDOW_BINDING</x:v>
      </x:c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/>
      <x:c r="BC71" s="14"/>
      <x:c r="BD71" s="14"/>
      <x:c r="BE71" s="14"/>
      <x:c r="BF71" s="14"/>
      <x:c r="BG71" s="14"/>
      <x:c r="BH71" s="14"/>
      <x:c r="BI71" s="14"/>
      <x:c r="BJ71" s="14"/>
      <x:c r="BK71" s="14"/>
      <x:c r="BL71" s="14"/>
      <x:c r="BM71" s="14"/>
      <x:c r="BN71" s="14"/>
      <x:c r="BO71" s="14"/>
      <x:c r="BP71" s="14"/>
      <x:c r="BQ71" s="14"/>
      <x:c r="BR71" s="14"/>
      <x:c r="BS71" s="14"/>
      <x:c r="BT71" s="14"/>
      <x:c r="BU71" s="14"/>
      <x:c r="BV71" s="14"/>
      <x:c r="BW71" s="14"/>
      <x:c r="BX71" s="14"/>
      <x:c r="BY71" s="14"/>
      <x:c r="BZ71" s="14"/>
      <x:c r="CA71" s="14"/>
      <x:c r="CB71" s="14"/>
      <x:c r="CC71" s="14"/>
      <x:c r="CD71" s="14"/>
      <x:c r="CE71" s="14"/>
    </x:row>
    <x:row r="72">
      <x:c r="A72" s="14" t="n">
        <x:v>71</x:v>
      </x:c>
      <x:c r="B72" s="14"/>
      <x:c r="C72" s="14" t="str">
        <x:v>CHECKING_EVENT</x:v>
      </x:c>
      <x:c r="D72" s="14" t="str">
        <x:v>Exploratory_Checking_611_Positional_Surrogate.xlsx</x:v>
      </x:c>
      <x:c r="E72" s="14"/>
      <x:c r="F72" s="14"/>
      <x:c r="G72" s="14"/>
      <x:c r="H72" s="14"/>
      <x:c r="I72" s="14"/>
      <x:c r="J72" s="14"/>
      <x:c r="K72" s="14" t="str">
        <x:v>NEEDS_WINDOW_BINDING</x:v>
      </x:c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/>
      <x:c r="BC72" s="14"/>
      <x:c r="BD72" s="14"/>
      <x:c r="BE72" s="14"/>
      <x:c r="BF72" s="14"/>
      <x:c r="BG72" s="14"/>
      <x:c r="BH72" s="14"/>
      <x:c r="BI72" s="14"/>
      <x:c r="BJ72" s="14"/>
      <x:c r="BK72" s="14"/>
      <x:c r="BL72" s="14"/>
      <x:c r="BM72" s="14"/>
      <x:c r="BN72" s="14"/>
      <x:c r="BO72" s="14"/>
      <x:c r="BP72" s="14"/>
      <x:c r="BQ72" s="14"/>
      <x:c r="BR72" s="14"/>
      <x:c r="BS72" s="14"/>
      <x:c r="BT72" s="14"/>
      <x:c r="BU72" s="14"/>
      <x:c r="BV72" s="14"/>
      <x:c r="BW72" s="14"/>
      <x:c r="BX72" s="14"/>
      <x:c r="BY72" s="14"/>
      <x:c r="BZ72" s="14"/>
      <x:c r="CA72" s="14"/>
      <x:c r="CB72" s="14"/>
      <x:c r="CC72" s="14"/>
      <x:c r="CD72" s="14"/>
      <x:c r="CE72" s="14"/>
    </x:row>
    <x:row r="73">
      <x:c r="A73" s="14" t="n">
        <x:v>72</x:v>
      </x:c>
      <x:c r="B73" s="14"/>
      <x:c r="C73" s="14" t="str">
        <x:v>CHECKING_EVENT</x:v>
      </x:c>
      <x:c r="D73" s="14" t="str">
        <x:v>Exploratory_Checking_611_Positional_Surrogate.xlsx</x:v>
      </x:c>
      <x:c r="E73" s="14"/>
      <x:c r="F73" s="14"/>
      <x:c r="G73" s="14"/>
      <x:c r="H73" s="14"/>
      <x:c r="I73" s="14"/>
      <x:c r="J73" s="14"/>
      <x:c r="K73" s="14" t="str">
        <x:v>NEEDS_WINDOW_BINDING</x:v>
      </x:c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/>
      <x:c r="BC73" s="14"/>
      <x:c r="BD73" s="14"/>
      <x:c r="BE73" s="14"/>
      <x:c r="BF73" s="14"/>
      <x:c r="BG73" s="14"/>
      <x:c r="BH73" s="14"/>
      <x:c r="BI73" s="14"/>
      <x:c r="BJ73" s="14"/>
      <x:c r="BK73" s="14"/>
      <x:c r="BL73" s="14"/>
      <x:c r="BM73" s="14"/>
      <x:c r="BN73" s="14"/>
      <x:c r="BO73" s="14"/>
      <x:c r="BP73" s="14"/>
      <x:c r="BQ73" s="14"/>
      <x:c r="BR73" s="14"/>
      <x:c r="BS73" s="14"/>
      <x:c r="BT73" s="14"/>
      <x:c r="BU73" s="14"/>
      <x:c r="BV73" s="14"/>
      <x:c r="BW73" s="14"/>
      <x:c r="BX73" s="14"/>
      <x:c r="BY73" s="14"/>
      <x:c r="BZ73" s="14"/>
      <x:c r="CA73" s="14"/>
      <x:c r="CB73" s="14"/>
      <x:c r="CC73" s="14"/>
      <x:c r="CD73" s="14"/>
      <x:c r="CE73" s="14"/>
    </x:row>
    <x:row r="74">
      <x:c r="A74" s="14" t="n">
        <x:v>73</x:v>
      </x:c>
      <x:c r="B74" s="14"/>
      <x:c r="C74" s="14" t="str">
        <x:v>CHECKING_EVENT</x:v>
      </x:c>
      <x:c r="D74" s="14" t="str">
        <x:v>Exploratory_Checking_611_Positional_Surrogate.xlsx</x:v>
      </x:c>
      <x:c r="E74" s="14"/>
      <x:c r="F74" s="14"/>
      <x:c r="G74" s="14"/>
      <x:c r="H74" s="14"/>
      <x:c r="I74" s="14"/>
      <x:c r="J74" s="14"/>
      <x:c r="K74" s="14" t="str">
        <x:v>NEEDS_WINDOW_BINDING</x:v>
      </x:c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/>
      <x:c r="BC74" s="14"/>
      <x:c r="BD74" s="14"/>
      <x:c r="BE74" s="14"/>
      <x:c r="BF74" s="14"/>
      <x:c r="BG74" s="14"/>
      <x:c r="BH74" s="14"/>
      <x:c r="BI74" s="14"/>
      <x:c r="BJ74" s="14"/>
      <x:c r="BK74" s="14"/>
      <x:c r="BL74" s="14"/>
      <x:c r="BM74" s="14"/>
      <x:c r="BN74" s="14"/>
      <x:c r="BO74" s="14"/>
      <x:c r="BP74" s="14"/>
      <x:c r="BQ74" s="14"/>
      <x:c r="BR74" s="14"/>
      <x:c r="BS74" s="14"/>
      <x:c r="BT74" s="14"/>
      <x:c r="BU74" s="14"/>
      <x:c r="BV74" s="14"/>
      <x:c r="BW74" s="14"/>
      <x:c r="BX74" s="14"/>
      <x:c r="BY74" s="14"/>
      <x:c r="BZ74" s="14"/>
      <x:c r="CA74" s="14"/>
      <x:c r="CB74" s="14"/>
      <x:c r="CC74" s="14"/>
      <x:c r="CD74" s="14"/>
      <x:c r="CE74" s="14"/>
    </x:row>
    <x:row r="75">
      <x:c r="A75" s="14" t="n">
        <x:v>74</x:v>
      </x:c>
      <x:c r="B75" s="14"/>
      <x:c r="C75" s="14" t="str">
        <x:v>CHECKING_EVENT</x:v>
      </x:c>
      <x:c r="D75" s="14" t="str">
        <x:v>Exploratory_Checking_611_Positional_Surrogate.xlsx</x:v>
      </x:c>
      <x:c r="E75" s="14"/>
      <x:c r="F75" s="14"/>
      <x:c r="G75" s="14"/>
      <x:c r="H75" s="14"/>
      <x:c r="I75" s="14"/>
      <x:c r="J75" s="14"/>
      <x:c r="K75" s="14" t="str">
        <x:v>NEEDS_WINDOW_BINDING</x:v>
      </x:c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/>
      <x:c r="BC75" s="14"/>
      <x:c r="BD75" s="14"/>
      <x:c r="BE75" s="14"/>
      <x:c r="BF75" s="14"/>
      <x:c r="BG75" s="14"/>
      <x:c r="BH75" s="14"/>
      <x:c r="BI75" s="14"/>
      <x:c r="BJ75" s="14"/>
      <x:c r="BK75" s="14"/>
      <x:c r="BL75" s="14"/>
      <x:c r="BM75" s="14"/>
      <x:c r="BN75" s="14"/>
      <x:c r="BO75" s="14"/>
      <x:c r="BP75" s="14"/>
      <x:c r="BQ75" s="14"/>
      <x:c r="BR75" s="14"/>
      <x:c r="BS75" s="14"/>
      <x:c r="BT75" s="14"/>
      <x:c r="BU75" s="14"/>
      <x:c r="BV75" s="14"/>
      <x:c r="BW75" s="14"/>
      <x:c r="BX75" s="14"/>
      <x:c r="BY75" s="14"/>
      <x:c r="BZ75" s="14"/>
      <x:c r="CA75" s="14"/>
      <x:c r="CB75" s="14"/>
      <x:c r="CC75" s="14"/>
      <x:c r="CD75" s="14"/>
      <x:c r="CE75" s="14"/>
    </x:row>
    <x:row r="76">
      <x:c r="A76" s="14" t="n">
        <x:v>75</x:v>
      </x:c>
      <x:c r="B76" s="14"/>
      <x:c r="C76" s="14" t="str">
        <x:v>CHECKING_EVENT</x:v>
      </x:c>
      <x:c r="D76" s="14" t="str">
        <x:v>Exploratory_Checking_611_Positional_Surrogate.xlsx</x:v>
      </x:c>
      <x:c r="E76" s="14"/>
      <x:c r="F76" s="14"/>
      <x:c r="G76" s="14"/>
      <x:c r="H76" s="14"/>
      <x:c r="I76" s="14"/>
      <x:c r="J76" s="14"/>
      <x:c r="K76" s="14" t="str">
        <x:v>NEEDS_WINDOW_BINDING</x:v>
      </x:c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/>
      <x:c r="BC76" s="14"/>
      <x:c r="BD76" s="14"/>
      <x:c r="BE76" s="14"/>
      <x:c r="BF76" s="14"/>
      <x:c r="BG76" s="14"/>
      <x:c r="BH76" s="14"/>
      <x:c r="BI76" s="14"/>
      <x:c r="BJ76" s="14"/>
      <x:c r="BK76" s="14"/>
      <x:c r="BL76" s="14"/>
      <x:c r="BM76" s="14"/>
      <x:c r="BN76" s="14"/>
      <x:c r="BO76" s="14"/>
      <x:c r="BP76" s="14"/>
      <x:c r="BQ76" s="14"/>
      <x:c r="BR76" s="14"/>
      <x:c r="BS76" s="14"/>
      <x:c r="BT76" s="14"/>
      <x:c r="BU76" s="14"/>
      <x:c r="BV76" s="14"/>
      <x:c r="BW76" s="14"/>
      <x:c r="BX76" s="14"/>
      <x:c r="BY76" s="14"/>
      <x:c r="BZ76" s="14"/>
      <x:c r="CA76" s="14"/>
      <x:c r="CB76" s="14"/>
      <x:c r="CC76" s="14"/>
      <x:c r="CD76" s="14"/>
      <x:c r="CE76" s="14"/>
    </x:row>
    <x:row r="77">
      <x:c r="A77" s="14" t="n">
        <x:v>76</x:v>
      </x:c>
      <x:c r="B77" s="14"/>
      <x:c r="C77" s="14" t="str">
        <x:v>CHECKING_EVENT</x:v>
      </x:c>
      <x:c r="D77" s="14" t="str">
        <x:v>Exploratory_Checking_611_Positional_Surrogate.xlsx</x:v>
      </x:c>
      <x:c r="E77" s="14"/>
      <x:c r="F77" s="14"/>
      <x:c r="G77" s="14"/>
      <x:c r="H77" s="14"/>
      <x:c r="I77" s="14"/>
      <x:c r="J77" s="14"/>
      <x:c r="K77" s="14" t="str">
        <x:v>NEEDS_WINDOW_BINDING</x:v>
      </x:c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/>
      <x:c r="BC77" s="14"/>
      <x:c r="BD77" s="14"/>
      <x:c r="BE77" s="14"/>
      <x:c r="BF77" s="14"/>
      <x:c r="BG77" s="14"/>
      <x:c r="BH77" s="14"/>
      <x:c r="BI77" s="14"/>
      <x:c r="BJ77" s="14"/>
      <x:c r="BK77" s="14"/>
      <x:c r="BL77" s="14"/>
      <x:c r="BM77" s="14"/>
      <x:c r="BN77" s="14"/>
      <x:c r="BO77" s="14"/>
      <x:c r="BP77" s="14"/>
      <x:c r="BQ77" s="14"/>
      <x:c r="BR77" s="14"/>
      <x:c r="BS77" s="14"/>
      <x:c r="BT77" s="14"/>
      <x:c r="BU77" s="14"/>
      <x:c r="BV77" s="14"/>
      <x:c r="BW77" s="14"/>
      <x:c r="BX77" s="14"/>
      <x:c r="BY77" s="14"/>
      <x:c r="BZ77" s="14"/>
      <x:c r="CA77" s="14"/>
      <x:c r="CB77" s="14"/>
      <x:c r="CC77" s="14"/>
      <x:c r="CD77" s="14"/>
      <x:c r="CE77" s="14"/>
    </x:row>
    <x:row r="78">
      <x:c r="A78" s="14" t="n">
        <x:v>77</x:v>
      </x:c>
      <x:c r="B78" s="14"/>
      <x:c r="C78" s="14" t="str">
        <x:v>CHECKING_EVENT</x:v>
      </x:c>
      <x:c r="D78" s="14" t="str">
        <x:v>Exploratory_Checking_611_Positional_Surrogate.xlsx</x:v>
      </x:c>
      <x:c r="E78" s="14"/>
      <x:c r="F78" s="14"/>
      <x:c r="G78" s="14"/>
      <x:c r="H78" s="14"/>
      <x:c r="I78" s="14"/>
      <x:c r="J78" s="14"/>
      <x:c r="K78" s="14" t="str">
        <x:v>NEEDS_WINDOW_BINDING</x:v>
      </x:c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/>
      <x:c r="BC78" s="14"/>
      <x:c r="BD78" s="14"/>
      <x:c r="BE78" s="14"/>
      <x:c r="BF78" s="14"/>
      <x:c r="BG78" s="14"/>
      <x:c r="BH78" s="14"/>
      <x:c r="BI78" s="14"/>
      <x:c r="BJ78" s="14"/>
      <x:c r="BK78" s="14"/>
      <x:c r="BL78" s="14"/>
      <x:c r="BM78" s="14"/>
      <x:c r="BN78" s="14"/>
      <x:c r="BO78" s="14"/>
      <x:c r="BP78" s="14"/>
      <x:c r="BQ78" s="14"/>
      <x:c r="BR78" s="14"/>
      <x:c r="BS78" s="14"/>
      <x:c r="BT78" s="14"/>
      <x:c r="BU78" s="14"/>
      <x:c r="BV78" s="14"/>
      <x:c r="BW78" s="14"/>
      <x:c r="BX78" s="14"/>
      <x:c r="BY78" s="14"/>
      <x:c r="BZ78" s="14"/>
      <x:c r="CA78" s="14"/>
      <x:c r="CB78" s="14"/>
      <x:c r="CC78" s="14"/>
      <x:c r="CD78" s="14"/>
      <x:c r="CE78" s="14"/>
    </x:row>
    <x:row r="79">
      <x:c r="A79" s="14" t="n">
        <x:v>78</x:v>
      </x:c>
      <x:c r="B79" s="14"/>
      <x:c r="C79" s="14" t="str">
        <x:v>CHECKING_EVENT</x:v>
      </x:c>
      <x:c r="D79" s="14" t="str">
        <x:v>Exploratory_Checking_611_Positional_Surrogate.xlsx</x:v>
      </x:c>
      <x:c r="E79" s="14"/>
      <x:c r="F79" s="14"/>
      <x:c r="G79" s="14"/>
      <x:c r="H79" s="14"/>
      <x:c r="I79" s="14"/>
      <x:c r="J79" s="14"/>
      <x:c r="K79" s="14" t="str">
        <x:v>NEEDS_WINDOW_BINDING</x:v>
      </x:c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/>
      <x:c r="BC79" s="14"/>
      <x:c r="BD79" s="14"/>
      <x:c r="BE79" s="14"/>
      <x:c r="BF79" s="14"/>
      <x:c r="BG79" s="14"/>
      <x:c r="BH79" s="14"/>
      <x:c r="BI79" s="14"/>
      <x:c r="BJ79" s="14"/>
      <x:c r="BK79" s="14"/>
      <x:c r="BL79" s="14"/>
      <x:c r="BM79" s="14"/>
      <x:c r="BN79" s="14"/>
      <x:c r="BO79" s="14"/>
      <x:c r="BP79" s="14"/>
      <x:c r="BQ79" s="14"/>
      <x:c r="BR79" s="14"/>
      <x:c r="BS79" s="14"/>
      <x:c r="BT79" s="14"/>
      <x:c r="BU79" s="14"/>
      <x:c r="BV79" s="14"/>
      <x:c r="BW79" s="14"/>
      <x:c r="BX79" s="14"/>
      <x:c r="BY79" s="14"/>
      <x:c r="BZ79" s="14"/>
      <x:c r="CA79" s="14"/>
      <x:c r="CB79" s="14"/>
      <x:c r="CC79" s="14"/>
      <x:c r="CD79" s="14"/>
      <x:c r="CE79" s="14"/>
    </x:row>
    <x:row r="80">
      <x:c r="A80" s="14" t="n">
        <x:v>79</x:v>
      </x:c>
      <x:c r="B80" s="14"/>
      <x:c r="C80" s="14" t="str">
        <x:v>CHECKING_EVENT</x:v>
      </x:c>
      <x:c r="D80" s="14" t="str">
        <x:v>Exploratory_Checking_611_Positional_Surrogate.xlsx</x:v>
      </x:c>
      <x:c r="E80" s="14"/>
      <x:c r="F80" s="14"/>
      <x:c r="G80" s="14"/>
      <x:c r="H80" s="14"/>
      <x:c r="I80" s="14"/>
      <x:c r="J80" s="14"/>
      <x:c r="K80" s="14" t="str">
        <x:v>NEEDS_WINDOW_BINDING</x:v>
      </x:c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/>
      <x:c r="BC80" s="14"/>
      <x:c r="BD80" s="14"/>
      <x:c r="BE80" s="14"/>
      <x:c r="BF80" s="14"/>
      <x:c r="BG80" s="14"/>
      <x:c r="BH80" s="14"/>
      <x:c r="BI80" s="14"/>
      <x:c r="BJ80" s="14"/>
      <x:c r="BK80" s="14"/>
      <x:c r="BL80" s="14"/>
      <x:c r="BM80" s="14"/>
      <x:c r="BN80" s="14"/>
      <x:c r="BO80" s="14"/>
      <x:c r="BP80" s="14"/>
      <x:c r="BQ80" s="14"/>
      <x:c r="BR80" s="14"/>
      <x:c r="BS80" s="14"/>
      <x:c r="BT80" s="14"/>
      <x:c r="BU80" s="14"/>
      <x:c r="BV80" s="14"/>
      <x:c r="BW80" s="14"/>
      <x:c r="BX80" s="14"/>
      <x:c r="BY80" s="14"/>
      <x:c r="BZ80" s="14"/>
      <x:c r="CA80" s="14"/>
      <x:c r="CB80" s="14"/>
      <x:c r="CC80" s="14"/>
      <x:c r="CD80" s="14"/>
      <x:c r="CE80" s="14"/>
    </x:row>
    <x:row r="81">
      <x:c r="A81" s="14" t="n">
        <x:v>80</x:v>
      </x:c>
      <x:c r="B81" s="14"/>
      <x:c r="C81" s="14" t="str">
        <x:v>CHECKING_EVENT</x:v>
      </x:c>
      <x:c r="D81" s="14" t="str">
        <x:v>Exploratory_Checking_611_Positional_Surrogate.xlsx</x:v>
      </x:c>
      <x:c r="E81" s="14"/>
      <x:c r="F81" s="14"/>
      <x:c r="G81" s="14"/>
      <x:c r="H81" s="14"/>
      <x:c r="I81" s="14"/>
      <x:c r="J81" s="14"/>
      <x:c r="K81" s="14" t="str">
        <x:v>NEEDS_WINDOW_BINDING</x:v>
      </x:c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/>
      <x:c r="BC81" s="14"/>
      <x:c r="BD81" s="14"/>
      <x:c r="BE81" s="14"/>
      <x:c r="BF81" s="14"/>
      <x:c r="BG81" s="14"/>
      <x:c r="BH81" s="14"/>
      <x:c r="BI81" s="14"/>
      <x:c r="BJ81" s="14"/>
      <x:c r="BK81" s="14"/>
      <x:c r="BL81" s="14"/>
      <x:c r="BM81" s="14"/>
      <x:c r="BN81" s="14"/>
      <x:c r="BO81" s="14"/>
      <x:c r="BP81" s="14"/>
      <x:c r="BQ81" s="14"/>
      <x:c r="BR81" s="14"/>
      <x:c r="BS81" s="14"/>
      <x:c r="BT81" s="14"/>
      <x:c r="BU81" s="14"/>
      <x:c r="BV81" s="14"/>
      <x:c r="BW81" s="14"/>
      <x:c r="BX81" s="14"/>
      <x:c r="BY81" s="14"/>
      <x:c r="BZ81" s="14"/>
      <x:c r="CA81" s="14"/>
      <x:c r="CB81" s="14"/>
      <x:c r="CC81" s="14"/>
      <x:c r="CD81" s="14"/>
      <x:c r="CE81" s="14"/>
    </x:row>
    <x:row r="82">
      <x:c r="A82" s="14" t="n">
        <x:v>81</x:v>
      </x:c>
      <x:c r="B82" s="14"/>
      <x:c r="C82" s="14" t="str">
        <x:v>CHECKING_EVENT</x:v>
      </x:c>
      <x:c r="D82" s="14" t="str">
        <x:v>Exploratory_Checking_611_Positional_Surrogate.xlsx</x:v>
      </x:c>
      <x:c r="E82" s="14"/>
      <x:c r="F82" s="14"/>
      <x:c r="G82" s="14"/>
      <x:c r="H82" s="14"/>
      <x:c r="I82" s="14"/>
      <x:c r="J82" s="14"/>
      <x:c r="K82" s="14" t="str">
        <x:v>NEEDS_WINDOW_BINDING</x:v>
      </x:c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/>
      <x:c r="BC82" s="14"/>
      <x:c r="BD82" s="14"/>
      <x:c r="BE82" s="14"/>
      <x:c r="BF82" s="14"/>
      <x:c r="BG82" s="14"/>
      <x:c r="BH82" s="14"/>
      <x:c r="BI82" s="14"/>
      <x:c r="BJ82" s="14"/>
      <x:c r="BK82" s="14"/>
      <x:c r="BL82" s="14"/>
      <x:c r="BM82" s="14"/>
      <x:c r="BN82" s="14"/>
      <x:c r="BO82" s="14"/>
      <x:c r="BP82" s="14"/>
      <x:c r="BQ82" s="14"/>
      <x:c r="BR82" s="14"/>
      <x:c r="BS82" s="14"/>
      <x:c r="BT82" s="14"/>
      <x:c r="BU82" s="14"/>
      <x:c r="BV82" s="14"/>
      <x:c r="BW82" s="14"/>
      <x:c r="BX82" s="14"/>
      <x:c r="BY82" s="14"/>
      <x:c r="BZ82" s="14"/>
      <x:c r="CA82" s="14"/>
      <x:c r="CB82" s="14"/>
      <x:c r="CC82" s="14"/>
      <x:c r="CD82" s="14"/>
      <x:c r="CE82" s="14"/>
    </x:row>
    <x:row r="83">
      <x:c r="A83" s="14" t="n">
        <x:v>82</x:v>
      </x:c>
      <x:c r="B83" s="14"/>
      <x:c r="C83" s="14" t="str">
        <x:v>CHECKING_EVENT</x:v>
      </x:c>
      <x:c r="D83" s="14" t="str">
        <x:v>Exploratory_Checking_611_Positional_Surrogate.xlsx</x:v>
      </x:c>
      <x:c r="E83" s="14"/>
      <x:c r="F83" s="14"/>
      <x:c r="G83" s="14"/>
      <x:c r="H83" s="14"/>
      <x:c r="I83" s="14"/>
      <x:c r="J83" s="14"/>
      <x:c r="K83" s="14" t="str">
        <x:v>NEEDS_WINDOW_BINDING</x:v>
      </x:c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/>
      <x:c r="BC83" s="14"/>
      <x:c r="BD83" s="14"/>
      <x:c r="BE83" s="14"/>
      <x:c r="BF83" s="14"/>
      <x:c r="BG83" s="14"/>
      <x:c r="BH83" s="14"/>
      <x:c r="BI83" s="14"/>
      <x:c r="BJ83" s="14"/>
      <x:c r="BK83" s="14"/>
      <x:c r="BL83" s="14"/>
      <x:c r="BM83" s="14"/>
      <x:c r="BN83" s="14"/>
      <x:c r="BO83" s="14"/>
      <x:c r="BP83" s="14"/>
      <x:c r="BQ83" s="14"/>
      <x:c r="BR83" s="14"/>
      <x:c r="BS83" s="14"/>
      <x:c r="BT83" s="14"/>
      <x:c r="BU83" s="14"/>
      <x:c r="BV83" s="14"/>
      <x:c r="BW83" s="14"/>
      <x:c r="BX83" s="14"/>
      <x:c r="BY83" s="14"/>
      <x:c r="BZ83" s="14"/>
      <x:c r="CA83" s="14"/>
      <x:c r="CB83" s="14"/>
      <x:c r="CC83" s="14"/>
      <x:c r="CD83" s="14"/>
      <x:c r="CE83" s="14"/>
    </x:row>
    <x:row r="84">
      <x:c r="A84" s="14" t="n">
        <x:v>83</x:v>
      </x:c>
      <x:c r="B84" s="14"/>
      <x:c r="C84" s="14" t="str">
        <x:v>CHECKING_EVENT</x:v>
      </x:c>
      <x:c r="D84" s="14" t="str">
        <x:v>Exploratory_Checking_611_Positional_Surrogate.xlsx</x:v>
      </x:c>
      <x:c r="E84" s="14"/>
      <x:c r="F84" s="14"/>
      <x:c r="G84" s="14"/>
      <x:c r="H84" s="14"/>
      <x:c r="I84" s="14"/>
      <x:c r="J84" s="14"/>
      <x:c r="K84" s="14" t="str">
        <x:v>NEEDS_WINDOW_BINDING</x:v>
      </x:c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/>
      <x:c r="BC84" s="14"/>
      <x:c r="BD84" s="14"/>
      <x:c r="BE84" s="14"/>
      <x:c r="BF84" s="14"/>
      <x:c r="BG84" s="14"/>
      <x:c r="BH84" s="14"/>
      <x:c r="BI84" s="14"/>
      <x:c r="BJ84" s="14"/>
      <x:c r="BK84" s="14"/>
      <x:c r="BL84" s="14"/>
      <x:c r="BM84" s="14"/>
      <x:c r="BN84" s="14"/>
      <x:c r="BO84" s="14"/>
      <x:c r="BP84" s="14"/>
      <x:c r="BQ84" s="14"/>
      <x:c r="BR84" s="14"/>
      <x:c r="BS84" s="14"/>
      <x:c r="BT84" s="14"/>
      <x:c r="BU84" s="14"/>
      <x:c r="BV84" s="14"/>
      <x:c r="BW84" s="14"/>
      <x:c r="BX84" s="14"/>
      <x:c r="BY84" s="14"/>
      <x:c r="BZ84" s="14"/>
      <x:c r="CA84" s="14"/>
      <x:c r="CB84" s="14"/>
      <x:c r="CC84" s="14"/>
      <x:c r="CD84" s="14"/>
      <x:c r="CE84" s="14"/>
    </x:row>
    <x:row r="85">
      <x:c r="A85" s="14" t="n">
        <x:v>84</x:v>
      </x:c>
      <x:c r="B85" s="14"/>
      <x:c r="C85" s="14" t="str">
        <x:v>CHECKING_EVENT</x:v>
      </x:c>
      <x:c r="D85" s="14" t="str">
        <x:v>Exploratory_Checking_611_Positional_Surrogate.xlsx</x:v>
      </x:c>
      <x:c r="E85" s="14"/>
      <x:c r="F85" s="14"/>
      <x:c r="G85" s="14"/>
      <x:c r="H85" s="14"/>
      <x:c r="I85" s="14"/>
      <x:c r="J85" s="14"/>
      <x:c r="K85" s="14" t="str">
        <x:v>NEEDS_WINDOW_BINDING</x:v>
      </x:c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/>
      <x:c r="BC85" s="14"/>
      <x:c r="BD85" s="14"/>
      <x:c r="BE85" s="14"/>
      <x:c r="BF85" s="14"/>
      <x:c r="BG85" s="14"/>
      <x:c r="BH85" s="14"/>
      <x:c r="BI85" s="14"/>
      <x:c r="BJ85" s="14"/>
      <x:c r="BK85" s="14"/>
      <x:c r="BL85" s="14"/>
      <x:c r="BM85" s="14"/>
      <x:c r="BN85" s="14"/>
      <x:c r="BO85" s="14"/>
      <x:c r="BP85" s="14"/>
      <x:c r="BQ85" s="14"/>
      <x:c r="BR85" s="14"/>
      <x:c r="BS85" s="14"/>
      <x:c r="BT85" s="14"/>
      <x:c r="BU85" s="14"/>
      <x:c r="BV85" s="14"/>
      <x:c r="BW85" s="14"/>
      <x:c r="BX85" s="14"/>
      <x:c r="BY85" s="14"/>
      <x:c r="BZ85" s="14"/>
      <x:c r="CA85" s="14"/>
      <x:c r="CB85" s="14"/>
      <x:c r="CC85" s="14"/>
      <x:c r="CD85" s="14"/>
      <x:c r="CE85" s="14"/>
    </x:row>
    <x:row r="86">
      <x:c r="A86" s="14" t="n">
        <x:v>85</x:v>
      </x:c>
      <x:c r="B86" s="14"/>
      <x:c r="C86" s="14" t="str">
        <x:v>CHECKING_EVENT</x:v>
      </x:c>
      <x:c r="D86" s="14" t="str">
        <x:v>Exploratory_Checking_611_Positional_Surrogate.xlsx</x:v>
      </x:c>
      <x:c r="E86" s="14"/>
      <x:c r="F86" s="14"/>
      <x:c r="G86" s="14"/>
      <x:c r="H86" s="14"/>
      <x:c r="I86" s="14"/>
      <x:c r="J86" s="14"/>
      <x:c r="K86" s="14" t="str">
        <x:v>NEEDS_WINDOW_BINDING</x:v>
      </x:c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/>
      <x:c r="BC86" s="14"/>
      <x:c r="BD86" s="14"/>
      <x:c r="BE86" s="14"/>
      <x:c r="BF86" s="14"/>
      <x:c r="BG86" s="14"/>
      <x:c r="BH86" s="14"/>
      <x:c r="BI86" s="14"/>
      <x:c r="BJ86" s="14"/>
      <x:c r="BK86" s="14"/>
      <x:c r="BL86" s="14"/>
      <x:c r="BM86" s="14"/>
      <x:c r="BN86" s="14"/>
      <x:c r="BO86" s="14"/>
      <x:c r="BP86" s="14"/>
      <x:c r="BQ86" s="14"/>
      <x:c r="BR86" s="14"/>
      <x:c r="BS86" s="14"/>
      <x:c r="BT86" s="14"/>
      <x:c r="BU86" s="14"/>
      <x:c r="BV86" s="14"/>
      <x:c r="BW86" s="14"/>
      <x:c r="BX86" s="14"/>
      <x:c r="BY86" s="14"/>
      <x:c r="BZ86" s="14"/>
      <x:c r="CA86" s="14"/>
      <x:c r="CB86" s="14"/>
      <x:c r="CC86" s="14"/>
      <x:c r="CD86" s="14"/>
      <x:c r="CE86" s="14"/>
    </x:row>
    <x:row r="87">
      <x:c r="A87" s="14" t="n">
        <x:v>86</x:v>
      </x:c>
      <x:c r="B87" s="14"/>
      <x:c r="C87" s="14" t="str">
        <x:v>CHECKING_EVENT</x:v>
      </x:c>
      <x:c r="D87" s="14" t="str">
        <x:v>Exploratory_Checking_611_Positional_Surrogate.xlsx</x:v>
      </x:c>
      <x:c r="E87" s="14"/>
      <x:c r="F87" s="14"/>
      <x:c r="G87" s="14"/>
      <x:c r="H87" s="14"/>
      <x:c r="I87" s="14"/>
      <x:c r="J87" s="14"/>
      <x:c r="K87" s="14" t="str">
        <x:v>NEEDS_WINDOW_BINDING</x:v>
      </x:c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/>
      <x:c r="BC87" s="14"/>
      <x:c r="BD87" s="14"/>
      <x:c r="BE87" s="14"/>
      <x:c r="BF87" s="14"/>
      <x:c r="BG87" s="14"/>
      <x:c r="BH87" s="14"/>
      <x:c r="BI87" s="14"/>
      <x:c r="BJ87" s="14"/>
      <x:c r="BK87" s="14"/>
      <x:c r="BL87" s="14"/>
      <x:c r="BM87" s="14"/>
      <x:c r="BN87" s="14"/>
      <x:c r="BO87" s="14"/>
      <x:c r="BP87" s="14"/>
      <x:c r="BQ87" s="14"/>
      <x:c r="BR87" s="14"/>
      <x:c r="BS87" s="14"/>
      <x:c r="BT87" s="14"/>
      <x:c r="BU87" s="14"/>
      <x:c r="BV87" s="14"/>
      <x:c r="BW87" s="14"/>
      <x:c r="BX87" s="14"/>
      <x:c r="BY87" s="14"/>
      <x:c r="BZ87" s="14"/>
      <x:c r="CA87" s="14"/>
      <x:c r="CB87" s="14"/>
      <x:c r="CC87" s="14"/>
      <x:c r="CD87" s="14"/>
      <x:c r="CE87" s="14"/>
    </x:row>
    <x:row r="88">
      <x:c r="A88" s="14" t="n">
        <x:v>87</x:v>
      </x:c>
      <x:c r="B88" s="14"/>
      <x:c r="C88" s="14" t="str">
        <x:v>CHECKING_EVENT</x:v>
      </x:c>
      <x:c r="D88" s="14" t="str">
        <x:v>Exploratory_Checking_611_Positional_Surrogate.xlsx</x:v>
      </x:c>
      <x:c r="E88" s="14"/>
      <x:c r="F88" s="14"/>
      <x:c r="G88" s="14"/>
      <x:c r="H88" s="14"/>
      <x:c r="I88" s="14"/>
      <x:c r="J88" s="14"/>
      <x:c r="K88" s="14" t="str">
        <x:v>NEEDS_WINDOW_BINDING</x:v>
      </x:c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/>
      <x:c r="BC88" s="14"/>
      <x:c r="BD88" s="14"/>
      <x:c r="BE88" s="14"/>
      <x:c r="BF88" s="14"/>
      <x:c r="BG88" s="14"/>
      <x:c r="BH88" s="14"/>
      <x:c r="BI88" s="14"/>
      <x:c r="BJ88" s="14"/>
      <x:c r="BK88" s="14"/>
      <x:c r="BL88" s="14"/>
      <x:c r="BM88" s="14"/>
      <x:c r="BN88" s="14"/>
      <x:c r="BO88" s="14"/>
      <x:c r="BP88" s="14"/>
      <x:c r="BQ88" s="14"/>
      <x:c r="BR88" s="14"/>
      <x:c r="BS88" s="14"/>
      <x:c r="BT88" s="14"/>
      <x:c r="BU88" s="14"/>
      <x:c r="BV88" s="14"/>
      <x:c r="BW88" s="14"/>
      <x:c r="BX88" s="14"/>
      <x:c r="BY88" s="14"/>
      <x:c r="BZ88" s="14"/>
      <x:c r="CA88" s="14"/>
      <x:c r="CB88" s="14"/>
      <x:c r="CC88" s="14"/>
      <x:c r="CD88" s="14"/>
      <x:c r="CE88" s="14"/>
    </x:row>
    <x:row r="89">
      <x:c r="A89" s="14" t="n">
        <x:v>88</x:v>
      </x:c>
      <x:c r="B89" s="14"/>
      <x:c r="C89" s="14" t="str">
        <x:v>CHECKING_EVENT</x:v>
      </x:c>
      <x:c r="D89" s="14" t="str">
        <x:v>Exploratory_Checking_611_Positional_Surrogate.xlsx</x:v>
      </x:c>
      <x:c r="E89" s="14"/>
      <x:c r="F89" s="14"/>
      <x:c r="G89" s="14"/>
      <x:c r="H89" s="14"/>
      <x:c r="I89" s="14"/>
      <x:c r="J89" s="14"/>
      <x:c r="K89" s="14" t="str">
        <x:v>NEEDS_WINDOW_BINDING</x:v>
      </x:c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/>
      <x:c r="BC89" s="14"/>
      <x:c r="BD89" s="14"/>
      <x:c r="BE89" s="14"/>
      <x:c r="BF89" s="14"/>
      <x:c r="BG89" s="14"/>
      <x:c r="BH89" s="14"/>
      <x:c r="BI89" s="14"/>
      <x:c r="BJ89" s="14"/>
      <x:c r="BK89" s="14"/>
      <x:c r="BL89" s="14"/>
      <x:c r="BM89" s="14"/>
      <x:c r="BN89" s="14"/>
      <x:c r="BO89" s="14"/>
      <x:c r="BP89" s="14"/>
      <x:c r="BQ89" s="14"/>
      <x:c r="BR89" s="14"/>
      <x:c r="BS89" s="14"/>
      <x:c r="BT89" s="14"/>
      <x:c r="BU89" s="14"/>
      <x:c r="BV89" s="14"/>
      <x:c r="BW89" s="14"/>
      <x:c r="BX89" s="14"/>
      <x:c r="BY89" s="14"/>
      <x:c r="BZ89" s="14"/>
      <x:c r="CA89" s="14"/>
      <x:c r="CB89" s="14"/>
      <x:c r="CC89" s="14"/>
      <x:c r="CD89" s="14"/>
      <x:c r="CE89" s="14"/>
    </x:row>
    <x:row r="90">
      <x:c r="A90" s="14" t="n">
        <x:v>89</x:v>
      </x:c>
      <x:c r="B90" s="14"/>
      <x:c r="C90" s="14" t="str">
        <x:v>CHECKING_EVENT</x:v>
      </x:c>
      <x:c r="D90" s="14" t="str">
        <x:v>Exploratory_Checking_611_Positional_Surrogate.xlsx</x:v>
      </x:c>
      <x:c r="E90" s="14"/>
      <x:c r="F90" s="14"/>
      <x:c r="G90" s="14"/>
      <x:c r="H90" s="14"/>
      <x:c r="I90" s="14"/>
      <x:c r="J90" s="14"/>
      <x:c r="K90" s="14" t="str">
        <x:v>NEEDS_WINDOW_BINDING</x:v>
      </x:c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/>
      <x:c r="BC90" s="14"/>
      <x:c r="BD90" s="14"/>
      <x:c r="BE90" s="14"/>
      <x:c r="BF90" s="14"/>
      <x:c r="BG90" s="14"/>
      <x:c r="BH90" s="14"/>
      <x:c r="BI90" s="14"/>
      <x:c r="BJ90" s="14"/>
      <x:c r="BK90" s="14"/>
      <x:c r="BL90" s="14"/>
      <x:c r="BM90" s="14"/>
      <x:c r="BN90" s="14"/>
      <x:c r="BO90" s="14"/>
      <x:c r="BP90" s="14"/>
      <x:c r="BQ90" s="14"/>
      <x:c r="BR90" s="14"/>
      <x:c r="BS90" s="14"/>
      <x:c r="BT90" s="14"/>
      <x:c r="BU90" s="14"/>
      <x:c r="BV90" s="14"/>
      <x:c r="BW90" s="14"/>
      <x:c r="BX90" s="14"/>
      <x:c r="BY90" s="14"/>
      <x:c r="BZ90" s="14"/>
      <x:c r="CA90" s="14"/>
      <x:c r="CB90" s="14"/>
      <x:c r="CC90" s="14"/>
      <x:c r="CD90" s="14"/>
      <x:c r="CE90" s="14"/>
    </x:row>
    <x:row r="91">
      <x:c r="A91" s="14" t="n">
        <x:v>90</x:v>
      </x:c>
      <x:c r="B91" s="14"/>
      <x:c r="C91" s="14" t="str">
        <x:v>CHECKING_EVENT</x:v>
      </x:c>
      <x:c r="D91" s="14" t="str">
        <x:v>Exploratory_Checking_611_Positional_Surrogate.xlsx</x:v>
      </x:c>
      <x:c r="E91" s="14"/>
      <x:c r="F91" s="14"/>
      <x:c r="G91" s="14"/>
      <x:c r="H91" s="14"/>
      <x:c r="I91" s="14"/>
      <x:c r="J91" s="14"/>
      <x:c r="K91" s="14" t="str">
        <x:v>NEEDS_WINDOW_BINDING</x:v>
      </x:c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/>
      <x:c r="BC91" s="14"/>
      <x:c r="BD91" s="14"/>
      <x:c r="BE91" s="14"/>
      <x:c r="BF91" s="14"/>
      <x:c r="BG91" s="14"/>
      <x:c r="BH91" s="14"/>
      <x:c r="BI91" s="14"/>
      <x:c r="BJ91" s="14"/>
      <x:c r="BK91" s="14"/>
      <x:c r="BL91" s="14"/>
      <x:c r="BM91" s="14"/>
      <x:c r="BN91" s="14"/>
      <x:c r="BO91" s="14"/>
      <x:c r="BP91" s="14"/>
      <x:c r="BQ91" s="14"/>
      <x:c r="BR91" s="14"/>
      <x:c r="BS91" s="14"/>
      <x:c r="BT91" s="14"/>
      <x:c r="BU91" s="14"/>
      <x:c r="BV91" s="14"/>
      <x:c r="BW91" s="14"/>
      <x:c r="BX91" s="14"/>
      <x:c r="BY91" s="14"/>
      <x:c r="BZ91" s="14"/>
      <x:c r="CA91" s="14"/>
      <x:c r="CB91" s="14"/>
      <x:c r="CC91" s="14"/>
      <x:c r="CD91" s="14"/>
      <x:c r="CE91" s="14"/>
    </x:row>
    <x:row r="92">
      <x:c r="A92" s="14" t="n">
        <x:v>91</x:v>
      </x:c>
      <x:c r="B92" s="14"/>
      <x:c r="C92" s="14" t="str">
        <x:v>CHECKING_EVENT</x:v>
      </x:c>
      <x:c r="D92" s="14" t="str">
        <x:v>Exploratory_Checking_611_Positional_Surrogate.xlsx</x:v>
      </x:c>
      <x:c r="E92" s="14"/>
      <x:c r="F92" s="14"/>
      <x:c r="G92" s="14"/>
      <x:c r="H92" s="14"/>
      <x:c r="I92" s="14"/>
      <x:c r="J92" s="14"/>
      <x:c r="K92" s="14" t="str">
        <x:v>NEEDS_WINDOW_BINDING</x:v>
      </x:c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/>
      <x:c r="BC92" s="14"/>
      <x:c r="BD92" s="14"/>
      <x:c r="BE92" s="14"/>
      <x:c r="BF92" s="14"/>
      <x:c r="BG92" s="14"/>
      <x:c r="BH92" s="14"/>
      <x:c r="BI92" s="14"/>
      <x:c r="BJ92" s="14"/>
      <x:c r="BK92" s="14"/>
      <x:c r="BL92" s="14"/>
      <x:c r="BM92" s="14"/>
      <x:c r="BN92" s="14"/>
      <x:c r="BO92" s="14"/>
      <x:c r="BP92" s="14"/>
      <x:c r="BQ92" s="14"/>
      <x:c r="BR92" s="14"/>
      <x:c r="BS92" s="14"/>
      <x:c r="BT92" s="14"/>
      <x:c r="BU92" s="14"/>
      <x:c r="BV92" s="14"/>
      <x:c r="BW92" s="14"/>
      <x:c r="BX92" s="14"/>
      <x:c r="BY92" s="14"/>
      <x:c r="BZ92" s="14"/>
      <x:c r="CA92" s="14"/>
      <x:c r="CB92" s="14"/>
      <x:c r="CC92" s="14"/>
      <x:c r="CD92" s="14"/>
      <x:c r="CE92" s="14"/>
    </x:row>
    <x:row r="93">
      <x:c r="A93" s="14" t="n">
        <x:v>92</x:v>
      </x:c>
      <x:c r="B93" s="14"/>
      <x:c r="C93" s="14" t="str">
        <x:v>CHECKING_EVENT</x:v>
      </x:c>
      <x:c r="D93" s="14" t="str">
        <x:v>Exploratory_Checking_611_Positional_Surrogate.xlsx</x:v>
      </x:c>
      <x:c r="E93" s="14"/>
      <x:c r="F93" s="14"/>
      <x:c r="G93" s="14"/>
      <x:c r="H93" s="14"/>
      <x:c r="I93" s="14"/>
      <x:c r="J93" s="14"/>
      <x:c r="K93" s="14" t="str">
        <x:v>NEEDS_WINDOW_BINDING</x:v>
      </x:c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/>
      <x:c r="BC93" s="14"/>
      <x:c r="BD93" s="14"/>
      <x:c r="BE93" s="14"/>
      <x:c r="BF93" s="14"/>
      <x:c r="BG93" s="14"/>
      <x:c r="BH93" s="14"/>
      <x:c r="BI93" s="14"/>
      <x:c r="BJ93" s="14"/>
      <x:c r="BK93" s="14"/>
      <x:c r="BL93" s="14"/>
      <x:c r="BM93" s="14"/>
      <x:c r="BN93" s="14"/>
      <x:c r="BO93" s="14"/>
      <x:c r="BP93" s="14"/>
      <x:c r="BQ93" s="14"/>
      <x:c r="BR93" s="14"/>
      <x:c r="BS93" s="14"/>
      <x:c r="BT93" s="14"/>
      <x:c r="BU93" s="14"/>
      <x:c r="BV93" s="14"/>
      <x:c r="BW93" s="14"/>
      <x:c r="BX93" s="14"/>
      <x:c r="BY93" s="14"/>
      <x:c r="BZ93" s="14"/>
      <x:c r="CA93" s="14"/>
      <x:c r="CB93" s="14"/>
      <x:c r="CC93" s="14"/>
      <x:c r="CD93" s="14"/>
      <x:c r="CE93" s="14"/>
    </x:row>
    <x:row r="94">
      <x:c r="A94" s="14" t="n">
        <x:v>93</x:v>
      </x:c>
      <x:c r="B94" s="14"/>
      <x:c r="C94" s="14" t="str">
        <x:v>CHECKING_EVENT</x:v>
      </x:c>
      <x:c r="D94" s="14" t="str">
        <x:v>Exploratory_Checking_611_Positional_Surrogate.xlsx</x:v>
      </x:c>
      <x:c r="E94" s="14"/>
      <x:c r="F94" s="14"/>
      <x:c r="G94" s="14"/>
      <x:c r="H94" s="14"/>
      <x:c r="I94" s="14"/>
      <x:c r="J94" s="14"/>
      <x:c r="K94" s="14" t="str">
        <x:v>NEEDS_WINDOW_BINDING</x:v>
      </x:c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/>
      <x:c r="BC94" s="14"/>
      <x:c r="BD94" s="14"/>
      <x:c r="BE94" s="14"/>
      <x:c r="BF94" s="14"/>
      <x:c r="BG94" s="14"/>
      <x:c r="BH94" s="14"/>
      <x:c r="BI94" s="14"/>
      <x:c r="BJ94" s="14"/>
      <x:c r="BK94" s="14"/>
      <x:c r="BL94" s="14"/>
      <x:c r="BM94" s="14"/>
      <x:c r="BN94" s="14"/>
      <x:c r="BO94" s="14"/>
      <x:c r="BP94" s="14"/>
      <x:c r="BQ94" s="14"/>
      <x:c r="BR94" s="14"/>
      <x:c r="BS94" s="14"/>
      <x:c r="BT94" s="14"/>
      <x:c r="BU94" s="14"/>
      <x:c r="BV94" s="14"/>
      <x:c r="BW94" s="14"/>
      <x:c r="BX94" s="14"/>
      <x:c r="BY94" s="14"/>
      <x:c r="BZ94" s="14"/>
      <x:c r="CA94" s="14"/>
      <x:c r="CB94" s="14"/>
      <x:c r="CC94" s="14"/>
      <x:c r="CD94" s="14"/>
      <x:c r="CE94" s="14"/>
    </x:row>
    <x:row r="95">
      <x:c r="A95" s="14" t="n">
        <x:v>94</x:v>
      </x:c>
      <x:c r="B95" s="14"/>
      <x:c r="C95" s="14" t="str">
        <x:v>CHECKING_EVENT</x:v>
      </x:c>
      <x:c r="D95" s="14" t="str">
        <x:v>Exploratory_Checking_611_Positional_Surrogate.xlsx</x:v>
      </x:c>
      <x:c r="E95" s="14"/>
      <x:c r="F95" s="14"/>
      <x:c r="G95" s="14"/>
      <x:c r="H95" s="14"/>
      <x:c r="I95" s="14"/>
      <x:c r="J95" s="14"/>
      <x:c r="K95" s="14" t="str">
        <x:v>NEEDS_WINDOW_BINDING</x:v>
      </x:c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/>
      <x:c r="BC95" s="14"/>
      <x:c r="BD95" s="14"/>
      <x:c r="BE95" s="14"/>
      <x:c r="BF95" s="14"/>
      <x:c r="BG95" s="14"/>
      <x:c r="BH95" s="14"/>
      <x:c r="BI95" s="14"/>
      <x:c r="BJ95" s="14"/>
      <x:c r="BK95" s="14"/>
      <x:c r="BL95" s="14"/>
      <x:c r="BM95" s="14"/>
      <x:c r="BN95" s="14"/>
      <x:c r="BO95" s="14"/>
      <x:c r="BP95" s="14"/>
      <x:c r="BQ95" s="14"/>
      <x:c r="BR95" s="14"/>
      <x:c r="BS95" s="14"/>
      <x:c r="BT95" s="14"/>
      <x:c r="BU95" s="14"/>
      <x:c r="BV95" s="14"/>
      <x:c r="BW95" s="14"/>
      <x:c r="BX95" s="14"/>
      <x:c r="BY95" s="14"/>
      <x:c r="BZ95" s="14"/>
      <x:c r="CA95" s="14"/>
      <x:c r="CB95" s="14"/>
      <x:c r="CC95" s="14"/>
      <x:c r="CD95" s="14"/>
      <x:c r="CE95" s="14"/>
    </x:row>
    <x:row r="96">
      <x:c r="A96" s="14" t="n">
        <x:v>95</x:v>
      </x:c>
      <x:c r="B96" s="14"/>
      <x:c r="C96" s="14" t="str">
        <x:v>CHECKING_EVENT</x:v>
      </x:c>
      <x:c r="D96" s="14" t="str">
        <x:v>Exploratory_Checking_611_Positional_Surrogate.xlsx</x:v>
      </x:c>
      <x:c r="E96" s="14"/>
      <x:c r="F96" s="14"/>
      <x:c r="G96" s="14"/>
      <x:c r="H96" s="14"/>
      <x:c r="I96" s="14"/>
      <x:c r="J96" s="14"/>
      <x:c r="K96" s="14" t="str">
        <x:v>NEEDS_WINDOW_BINDING</x:v>
      </x:c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/>
      <x:c r="BC96" s="14"/>
      <x:c r="BD96" s="14"/>
      <x:c r="BE96" s="14"/>
      <x:c r="BF96" s="14"/>
      <x:c r="BG96" s="14"/>
      <x:c r="BH96" s="14"/>
      <x:c r="BI96" s="14"/>
      <x:c r="BJ96" s="14"/>
      <x:c r="BK96" s="14"/>
      <x:c r="BL96" s="14"/>
      <x:c r="BM96" s="14"/>
      <x:c r="BN96" s="14"/>
      <x:c r="BO96" s="14"/>
      <x:c r="BP96" s="14"/>
      <x:c r="BQ96" s="14"/>
      <x:c r="BR96" s="14"/>
      <x:c r="BS96" s="14"/>
      <x:c r="BT96" s="14"/>
      <x:c r="BU96" s="14"/>
      <x:c r="BV96" s="14"/>
      <x:c r="BW96" s="14"/>
      <x:c r="BX96" s="14"/>
      <x:c r="BY96" s="14"/>
      <x:c r="BZ96" s="14"/>
      <x:c r="CA96" s="14"/>
      <x:c r="CB96" s="14"/>
      <x:c r="CC96" s="14"/>
      <x:c r="CD96" s="14"/>
      <x:c r="CE96" s="14"/>
    </x:row>
    <x:row r="97">
      <x:c r="A97" s="14" t="n">
        <x:v>96</x:v>
      </x:c>
      <x:c r="B97" s="14"/>
      <x:c r="C97" s="14" t="str">
        <x:v>CHECKING_EVENT</x:v>
      </x:c>
      <x:c r="D97" s="14" t="str">
        <x:v>Exploratory_Checking_611_Positional_Surrogate.xlsx</x:v>
      </x:c>
      <x:c r="E97" s="14"/>
      <x:c r="F97" s="14"/>
      <x:c r="G97" s="14"/>
      <x:c r="H97" s="14"/>
      <x:c r="I97" s="14"/>
      <x:c r="J97" s="14"/>
      <x:c r="K97" s="14" t="str">
        <x:v>NEEDS_WINDOW_BINDING</x:v>
      </x:c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/>
      <x:c r="BC97" s="14"/>
      <x:c r="BD97" s="14"/>
      <x:c r="BE97" s="14"/>
      <x:c r="BF97" s="14"/>
      <x:c r="BG97" s="14"/>
      <x:c r="BH97" s="14"/>
      <x:c r="BI97" s="14"/>
      <x:c r="BJ97" s="14"/>
      <x:c r="BK97" s="14"/>
      <x:c r="BL97" s="14"/>
      <x:c r="BM97" s="14"/>
      <x:c r="BN97" s="14"/>
      <x:c r="BO97" s="14"/>
      <x:c r="BP97" s="14"/>
      <x:c r="BQ97" s="14"/>
      <x:c r="BR97" s="14"/>
      <x:c r="BS97" s="14"/>
      <x:c r="BT97" s="14"/>
      <x:c r="BU97" s="14"/>
      <x:c r="BV97" s="14"/>
      <x:c r="BW97" s="14"/>
      <x:c r="BX97" s="14"/>
      <x:c r="BY97" s="14"/>
      <x:c r="BZ97" s="14"/>
      <x:c r="CA97" s="14"/>
      <x:c r="CB97" s="14"/>
      <x:c r="CC97" s="14"/>
      <x:c r="CD97" s="14"/>
      <x:c r="CE97" s="14"/>
    </x:row>
    <x:row r="98">
      <x:c r="A98" s="14" t="n">
        <x:v>97</x:v>
      </x:c>
      <x:c r="B98" s="14"/>
      <x:c r="C98" s="14" t="str">
        <x:v>CHECKING_EVENT</x:v>
      </x:c>
      <x:c r="D98" s="14" t="str">
        <x:v>Exploratory_Checking_611_Positional_Surrogate.xlsx</x:v>
      </x:c>
      <x:c r="E98" s="14"/>
      <x:c r="F98" s="14"/>
      <x:c r="G98" s="14"/>
      <x:c r="H98" s="14"/>
      <x:c r="I98" s="14"/>
      <x:c r="J98" s="14"/>
      <x:c r="K98" s="14" t="str">
        <x:v>NEEDS_WINDOW_BINDING</x:v>
      </x:c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/>
      <x:c r="BC98" s="14"/>
      <x:c r="BD98" s="14"/>
      <x:c r="BE98" s="14"/>
      <x:c r="BF98" s="14"/>
      <x:c r="BG98" s="14"/>
      <x:c r="BH98" s="14"/>
      <x:c r="BI98" s="14"/>
      <x:c r="BJ98" s="14"/>
      <x:c r="BK98" s="14"/>
      <x:c r="BL98" s="14"/>
      <x:c r="BM98" s="14"/>
      <x:c r="BN98" s="14"/>
      <x:c r="BO98" s="14"/>
      <x:c r="BP98" s="14"/>
      <x:c r="BQ98" s="14"/>
      <x:c r="BR98" s="14"/>
      <x:c r="BS98" s="14"/>
      <x:c r="BT98" s="14"/>
      <x:c r="BU98" s="14"/>
      <x:c r="BV98" s="14"/>
      <x:c r="BW98" s="14"/>
      <x:c r="BX98" s="14"/>
      <x:c r="BY98" s="14"/>
      <x:c r="BZ98" s="14"/>
      <x:c r="CA98" s="14"/>
      <x:c r="CB98" s="14"/>
      <x:c r="CC98" s="14"/>
      <x:c r="CD98" s="14"/>
      <x:c r="CE98" s="14"/>
    </x:row>
    <x:row r="99">
      <x:c r="A99" s="14" t="n">
        <x:v>98</x:v>
      </x:c>
      <x:c r="B99" s="14"/>
      <x:c r="C99" s="14" t="str">
        <x:v>CHECKING_EVENT</x:v>
      </x:c>
      <x:c r="D99" s="14" t="str">
        <x:v>Exploratory_Checking_611_Positional_Surrogate.xlsx</x:v>
      </x:c>
      <x:c r="E99" s="14"/>
      <x:c r="F99" s="14"/>
      <x:c r="G99" s="14"/>
      <x:c r="H99" s="14"/>
      <x:c r="I99" s="14"/>
      <x:c r="J99" s="14"/>
      <x:c r="K99" s="14" t="str">
        <x:v>NEEDS_WINDOW_BINDING</x:v>
      </x:c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/>
      <x:c r="BC99" s="14"/>
      <x:c r="BD99" s="14"/>
      <x:c r="BE99" s="14"/>
      <x:c r="BF99" s="14"/>
      <x:c r="BG99" s="14"/>
      <x:c r="BH99" s="14"/>
      <x:c r="BI99" s="14"/>
      <x:c r="BJ99" s="14"/>
      <x:c r="BK99" s="14"/>
      <x:c r="BL99" s="14"/>
      <x:c r="BM99" s="14"/>
      <x:c r="BN99" s="14"/>
      <x:c r="BO99" s="14"/>
      <x:c r="BP99" s="14"/>
      <x:c r="BQ99" s="14"/>
      <x:c r="BR99" s="14"/>
      <x:c r="BS99" s="14"/>
      <x:c r="BT99" s="14"/>
      <x:c r="BU99" s="14"/>
      <x:c r="BV99" s="14"/>
      <x:c r="BW99" s="14"/>
      <x:c r="BX99" s="14"/>
      <x:c r="BY99" s="14"/>
      <x:c r="BZ99" s="14"/>
      <x:c r="CA99" s="14"/>
      <x:c r="CB99" s="14"/>
      <x:c r="CC99" s="14"/>
      <x:c r="CD99" s="14"/>
      <x:c r="CE99" s="14"/>
    </x:row>
    <x:row r="100">
      <x:c r="A100" s="14" t="n">
        <x:v>99</x:v>
      </x:c>
      <x:c r="B100" s="14"/>
      <x:c r="C100" s="14" t="str">
        <x:v>CHECKING_EVENT</x:v>
      </x:c>
      <x:c r="D100" s="14" t="str">
        <x:v>Exploratory_Checking_611_Positional_Surrogate.xlsx</x:v>
      </x:c>
      <x:c r="E100" s="14"/>
      <x:c r="F100" s="14"/>
      <x:c r="G100" s="14"/>
      <x:c r="H100" s="14"/>
      <x:c r="I100" s="14"/>
      <x:c r="J100" s="14"/>
      <x:c r="K100" s="14" t="str">
        <x:v>NEEDS_WINDOW_BINDING</x:v>
      </x:c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/>
      <x:c r="BC100" s="14"/>
      <x:c r="BD100" s="14"/>
      <x:c r="BE100" s="14"/>
      <x:c r="BF100" s="14"/>
      <x:c r="BG100" s="14"/>
      <x:c r="BH100" s="14"/>
      <x:c r="BI100" s="14"/>
      <x:c r="BJ100" s="14"/>
      <x:c r="BK100" s="14"/>
      <x:c r="BL100" s="14"/>
      <x:c r="BM100" s="14"/>
      <x:c r="BN100" s="14"/>
      <x:c r="BO100" s="14"/>
      <x:c r="BP100" s="14"/>
      <x:c r="BQ100" s="14"/>
      <x:c r="BR100" s="14"/>
      <x:c r="BS100" s="14"/>
      <x:c r="BT100" s="14"/>
      <x:c r="BU100" s="14"/>
      <x:c r="BV100" s="14"/>
      <x:c r="BW100" s="14"/>
      <x:c r="BX100" s="14"/>
      <x:c r="BY100" s="14"/>
      <x:c r="BZ100" s="14"/>
      <x:c r="CA100" s="14"/>
      <x:c r="CB100" s="14"/>
      <x:c r="CC100" s="14"/>
      <x:c r="CD100" s="14"/>
      <x:c r="CE100" s="14"/>
    </x:row>
    <x:row r="101">
      <x:c r="A101" s="14" t="n">
        <x:v>100</x:v>
      </x:c>
      <x:c r="B101" s="14"/>
      <x:c r="C101" s="14" t="str">
        <x:v>CHECKING_EVENT</x:v>
      </x:c>
      <x:c r="D101" s="14" t="str">
        <x:v>Exploratory_Checking_611_Positional_Surrogate.xlsx</x:v>
      </x:c>
      <x:c r="E101" s="14"/>
      <x:c r="F101" s="14"/>
      <x:c r="G101" s="14"/>
      <x:c r="H101" s="14"/>
      <x:c r="I101" s="14"/>
      <x:c r="J101" s="14"/>
      <x:c r="K101" s="14" t="str">
        <x:v>NEEDS_WINDOW_BINDING</x:v>
      </x:c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  <x:c r="AC101" s="14"/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/>
      <x:c r="BC101" s="14"/>
      <x:c r="BD101" s="14"/>
      <x:c r="BE101" s="14"/>
      <x:c r="BF101" s="14"/>
      <x:c r="BG101" s="14"/>
      <x:c r="BH101" s="14"/>
      <x:c r="BI101" s="14"/>
      <x:c r="BJ101" s="14"/>
      <x:c r="BK101" s="14"/>
      <x:c r="BL101" s="14"/>
      <x:c r="BM101" s="14"/>
      <x:c r="BN101" s="14"/>
      <x:c r="BO101" s="14"/>
      <x:c r="BP101" s="14"/>
      <x:c r="BQ101" s="14"/>
      <x:c r="BR101" s="14"/>
      <x:c r="BS101" s="14"/>
      <x:c r="BT101" s="14"/>
      <x:c r="BU101" s="14"/>
      <x:c r="BV101" s="14"/>
      <x:c r="BW101" s="14"/>
      <x:c r="BX101" s="14"/>
      <x:c r="BY101" s="14"/>
      <x:c r="BZ101" s="14"/>
      <x:c r="CA101" s="14"/>
      <x:c r="CB101" s="14"/>
      <x:c r="CC101" s="14"/>
      <x:c r="CD101" s="14"/>
      <x:c r="CE101" s="14"/>
    </x:row>
    <x:row r="102">
      <x:c r="A102" s="14" t="n">
        <x:v>101</x:v>
      </x:c>
      <x:c r="B102" s="14"/>
      <x:c r="C102" s="14" t="str">
        <x:v>CHECKING_EVENT</x:v>
      </x:c>
      <x:c r="D102" s="14" t="str">
        <x:v>Exploratory_Checking_611_Positional_Surrogate.xlsx</x:v>
      </x:c>
      <x:c r="E102" s="14"/>
      <x:c r="F102" s="14"/>
      <x:c r="G102" s="14"/>
      <x:c r="H102" s="14"/>
      <x:c r="I102" s="14"/>
      <x:c r="J102" s="14"/>
      <x:c r="K102" s="14" t="str">
        <x:v>NEEDS_WINDOW_BINDING</x:v>
      </x:c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/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/>
      <x:c r="BC102" s="14"/>
      <x:c r="BD102" s="14"/>
      <x:c r="BE102" s="14"/>
      <x:c r="BF102" s="14"/>
      <x:c r="BG102" s="14"/>
      <x:c r="BH102" s="14"/>
      <x:c r="BI102" s="14"/>
      <x:c r="BJ102" s="14"/>
      <x:c r="BK102" s="14"/>
      <x:c r="BL102" s="14"/>
      <x:c r="BM102" s="14"/>
      <x:c r="BN102" s="14"/>
      <x:c r="BO102" s="14"/>
      <x:c r="BP102" s="14"/>
      <x:c r="BQ102" s="14"/>
      <x:c r="BR102" s="14"/>
      <x:c r="BS102" s="14"/>
      <x:c r="BT102" s="14"/>
      <x:c r="BU102" s="14"/>
      <x:c r="BV102" s="14"/>
      <x:c r="BW102" s="14"/>
      <x:c r="BX102" s="14"/>
      <x:c r="BY102" s="14"/>
      <x:c r="BZ102" s="14"/>
      <x:c r="CA102" s="14"/>
      <x:c r="CB102" s="14"/>
      <x:c r="CC102" s="14"/>
      <x:c r="CD102" s="14"/>
      <x:c r="CE102" s="14"/>
    </x:row>
    <x:row r="103">
      <x:c r="A103" s="14" t="n">
        <x:v>102</x:v>
      </x:c>
      <x:c r="B103" s="14"/>
      <x:c r="C103" s="14" t="str">
        <x:v>CHECKING_EVENT</x:v>
      </x:c>
      <x:c r="D103" s="14" t="str">
        <x:v>Exploratory_Checking_611_Positional_Surrogate.xlsx</x:v>
      </x:c>
      <x:c r="E103" s="14"/>
      <x:c r="F103" s="14"/>
      <x:c r="G103" s="14"/>
      <x:c r="H103" s="14"/>
      <x:c r="I103" s="14"/>
      <x:c r="J103" s="14"/>
      <x:c r="K103" s="14" t="str">
        <x:v>NEEDS_WINDOW_BINDING</x:v>
      </x:c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/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/>
      <x:c r="BC103" s="14"/>
      <x:c r="BD103" s="14"/>
      <x:c r="BE103" s="14"/>
      <x:c r="BF103" s="14"/>
      <x:c r="BG103" s="14"/>
      <x:c r="BH103" s="14"/>
      <x:c r="BI103" s="14"/>
      <x:c r="BJ103" s="14"/>
      <x:c r="BK103" s="14"/>
      <x:c r="BL103" s="14"/>
      <x:c r="BM103" s="14"/>
      <x:c r="BN103" s="14"/>
      <x:c r="BO103" s="14"/>
      <x:c r="BP103" s="14"/>
      <x:c r="BQ103" s="14"/>
      <x:c r="BR103" s="14"/>
      <x:c r="BS103" s="14"/>
      <x:c r="BT103" s="14"/>
      <x:c r="BU103" s="14"/>
      <x:c r="BV103" s="14"/>
      <x:c r="BW103" s="14"/>
      <x:c r="BX103" s="14"/>
      <x:c r="BY103" s="14"/>
      <x:c r="BZ103" s="14"/>
      <x:c r="CA103" s="14"/>
      <x:c r="CB103" s="14"/>
      <x:c r="CC103" s="14"/>
      <x:c r="CD103" s="14"/>
      <x:c r="CE103" s="14"/>
    </x:row>
    <x:row r="104">
      <x:c r="A104" s="14" t="n">
        <x:v>103</x:v>
      </x:c>
      <x:c r="B104" s="14"/>
      <x:c r="C104" s="14" t="str">
        <x:v>CHECKING_EVENT</x:v>
      </x:c>
      <x:c r="D104" s="14" t="str">
        <x:v>Exploratory_Checking_611_Positional_Surrogate.xlsx</x:v>
      </x:c>
      <x:c r="E104" s="14"/>
      <x:c r="F104" s="14"/>
      <x:c r="G104" s="14"/>
      <x:c r="H104" s="14"/>
      <x:c r="I104" s="14"/>
      <x:c r="J104" s="14"/>
      <x:c r="K104" s="14" t="str">
        <x:v>NEEDS_WINDOW_BINDING</x:v>
      </x:c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/>
      <x:c r="BC104" s="14"/>
      <x:c r="BD104" s="14"/>
      <x:c r="BE104" s="14"/>
      <x:c r="BF104" s="14"/>
      <x:c r="BG104" s="14"/>
      <x:c r="BH104" s="14"/>
      <x:c r="BI104" s="14"/>
      <x:c r="BJ104" s="14"/>
      <x:c r="BK104" s="14"/>
      <x:c r="BL104" s="14"/>
      <x:c r="BM104" s="14"/>
      <x:c r="BN104" s="14"/>
      <x:c r="BO104" s="14"/>
      <x:c r="BP104" s="14"/>
      <x:c r="BQ104" s="14"/>
      <x:c r="BR104" s="14"/>
      <x:c r="BS104" s="14"/>
      <x:c r="BT104" s="14"/>
      <x:c r="BU104" s="14"/>
      <x:c r="BV104" s="14"/>
      <x:c r="BW104" s="14"/>
      <x:c r="BX104" s="14"/>
      <x:c r="BY104" s="14"/>
      <x:c r="BZ104" s="14"/>
      <x:c r="CA104" s="14"/>
      <x:c r="CB104" s="14"/>
      <x:c r="CC104" s="14"/>
      <x:c r="CD104" s="14"/>
      <x:c r="CE104" s="14"/>
    </x:row>
    <x:row r="105">
      <x:c r="A105" s="14" t="n">
        <x:v>104</x:v>
      </x:c>
      <x:c r="B105" s="14"/>
      <x:c r="C105" s="14" t="str">
        <x:v>CHECKING_EVENT</x:v>
      </x:c>
      <x:c r="D105" s="14" t="str">
        <x:v>Exploratory_Checking_611_Positional_Surrogate.xlsx</x:v>
      </x:c>
      <x:c r="E105" s="14"/>
      <x:c r="F105" s="14"/>
      <x:c r="G105" s="14"/>
      <x:c r="H105" s="14"/>
      <x:c r="I105" s="14"/>
      <x:c r="J105" s="14"/>
      <x:c r="K105" s="14" t="str">
        <x:v>NEEDS_WINDOW_BINDING</x:v>
      </x:c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/>
      <x:c r="BC105" s="14"/>
      <x:c r="BD105" s="14"/>
      <x:c r="BE105" s="14"/>
      <x:c r="BF105" s="14"/>
      <x:c r="BG105" s="14"/>
      <x:c r="BH105" s="14"/>
      <x:c r="BI105" s="14"/>
      <x:c r="BJ105" s="14"/>
      <x:c r="BK105" s="14"/>
      <x:c r="BL105" s="14"/>
      <x:c r="BM105" s="14"/>
      <x:c r="BN105" s="14"/>
      <x:c r="BO105" s="14"/>
      <x:c r="BP105" s="14"/>
      <x:c r="BQ105" s="14"/>
      <x:c r="BR105" s="14"/>
      <x:c r="BS105" s="14"/>
      <x:c r="BT105" s="14"/>
      <x:c r="BU105" s="14"/>
      <x:c r="BV105" s="14"/>
      <x:c r="BW105" s="14"/>
      <x:c r="BX105" s="14"/>
      <x:c r="BY105" s="14"/>
      <x:c r="BZ105" s="14"/>
      <x:c r="CA105" s="14"/>
      <x:c r="CB105" s="14"/>
      <x:c r="CC105" s="14"/>
      <x:c r="CD105" s="14"/>
      <x:c r="CE105" s="14"/>
    </x:row>
    <x:row r="106">
      <x:c r="A106" s="14" t="n">
        <x:v>105</x:v>
      </x:c>
      <x:c r="B106" s="14"/>
      <x:c r="C106" s="14" t="str">
        <x:v>CHECKING_EVENT</x:v>
      </x:c>
      <x:c r="D106" s="14" t="str">
        <x:v>Exploratory_Checking_611_Positional_Surrogate.xlsx</x:v>
      </x:c>
      <x:c r="E106" s="14"/>
      <x:c r="F106" s="14"/>
      <x:c r="G106" s="14"/>
      <x:c r="H106" s="14"/>
      <x:c r="I106" s="14"/>
      <x:c r="J106" s="14"/>
      <x:c r="K106" s="14" t="str">
        <x:v>NEEDS_WINDOW_BINDING</x:v>
      </x:c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/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/>
      <x:c r="BC106" s="14"/>
      <x:c r="BD106" s="14"/>
      <x:c r="BE106" s="14"/>
      <x:c r="BF106" s="14"/>
      <x:c r="BG106" s="14"/>
      <x:c r="BH106" s="14"/>
      <x:c r="BI106" s="14"/>
      <x:c r="BJ106" s="14"/>
      <x:c r="BK106" s="14"/>
      <x:c r="BL106" s="14"/>
      <x:c r="BM106" s="14"/>
      <x:c r="BN106" s="14"/>
      <x:c r="BO106" s="14"/>
      <x:c r="BP106" s="14"/>
      <x:c r="BQ106" s="14"/>
      <x:c r="BR106" s="14"/>
      <x:c r="BS106" s="14"/>
      <x:c r="BT106" s="14"/>
      <x:c r="BU106" s="14"/>
      <x:c r="BV106" s="14"/>
      <x:c r="BW106" s="14"/>
      <x:c r="BX106" s="14"/>
      <x:c r="BY106" s="14"/>
      <x:c r="BZ106" s="14"/>
      <x:c r="CA106" s="14"/>
      <x:c r="CB106" s="14"/>
      <x:c r="CC106" s="14"/>
      <x:c r="CD106" s="14"/>
      <x:c r="CE106" s="14"/>
    </x:row>
    <x:row r="107">
      <x:c r="A107" s="14" t="n">
        <x:v>106</x:v>
      </x:c>
      <x:c r="B107" s="14"/>
      <x:c r="C107" s="14" t="str">
        <x:v>CHECKING_EVENT</x:v>
      </x:c>
      <x:c r="D107" s="14" t="str">
        <x:v>Exploratory_Checking_611_Positional_Surrogate.xlsx</x:v>
      </x:c>
      <x:c r="E107" s="14"/>
      <x:c r="F107" s="14"/>
      <x:c r="G107" s="14"/>
      <x:c r="H107" s="14"/>
      <x:c r="I107" s="14"/>
      <x:c r="J107" s="14"/>
      <x:c r="K107" s="14" t="str">
        <x:v>NEEDS_WINDOW_BINDING</x:v>
      </x:c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/>
      <x:c r="BC107" s="14"/>
      <x:c r="BD107" s="14"/>
      <x:c r="BE107" s="14"/>
      <x:c r="BF107" s="14"/>
      <x:c r="BG107" s="14"/>
      <x:c r="BH107" s="14"/>
      <x:c r="BI107" s="14"/>
      <x:c r="BJ107" s="14"/>
      <x:c r="BK107" s="14"/>
      <x:c r="BL107" s="14"/>
      <x:c r="BM107" s="14"/>
      <x:c r="BN107" s="14"/>
      <x:c r="BO107" s="14"/>
      <x:c r="BP107" s="14"/>
      <x:c r="BQ107" s="14"/>
      <x:c r="BR107" s="14"/>
      <x:c r="BS107" s="14"/>
      <x:c r="BT107" s="14"/>
      <x:c r="BU107" s="14"/>
      <x:c r="BV107" s="14"/>
      <x:c r="BW107" s="14"/>
      <x:c r="BX107" s="14"/>
      <x:c r="BY107" s="14"/>
      <x:c r="BZ107" s="14"/>
      <x:c r="CA107" s="14"/>
      <x:c r="CB107" s="14"/>
      <x:c r="CC107" s="14"/>
      <x:c r="CD107" s="14"/>
      <x:c r="CE107" s="14"/>
    </x:row>
    <x:row r="108">
      <x:c r="A108" s="14" t="n">
        <x:v>107</x:v>
      </x:c>
      <x:c r="B108" s="14"/>
      <x:c r="C108" s="14" t="str">
        <x:v>CHECKING_EVENT</x:v>
      </x:c>
      <x:c r="D108" s="14" t="str">
        <x:v>Exploratory_Checking_611_Positional_Surrogate.xlsx</x:v>
      </x:c>
      <x:c r="E108" s="14"/>
      <x:c r="F108" s="14"/>
      <x:c r="G108" s="14"/>
      <x:c r="H108" s="14"/>
      <x:c r="I108" s="14"/>
      <x:c r="J108" s="14"/>
      <x:c r="K108" s="14" t="str">
        <x:v>NEEDS_WINDOW_BINDING</x:v>
      </x:c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/>
      <x:c r="BC108" s="14"/>
      <x:c r="BD108" s="14"/>
      <x:c r="BE108" s="14"/>
      <x:c r="BF108" s="14"/>
      <x:c r="BG108" s="14"/>
      <x:c r="BH108" s="14"/>
      <x:c r="BI108" s="14"/>
      <x:c r="BJ108" s="14"/>
      <x:c r="BK108" s="14"/>
      <x:c r="BL108" s="14"/>
      <x:c r="BM108" s="14"/>
      <x:c r="BN108" s="14"/>
      <x:c r="BO108" s="14"/>
      <x:c r="BP108" s="14"/>
      <x:c r="BQ108" s="14"/>
      <x:c r="BR108" s="14"/>
      <x:c r="BS108" s="14"/>
      <x:c r="BT108" s="14"/>
      <x:c r="BU108" s="14"/>
      <x:c r="BV108" s="14"/>
      <x:c r="BW108" s="14"/>
      <x:c r="BX108" s="14"/>
      <x:c r="BY108" s="14"/>
      <x:c r="BZ108" s="14"/>
      <x:c r="CA108" s="14"/>
      <x:c r="CB108" s="14"/>
      <x:c r="CC108" s="14"/>
      <x:c r="CD108" s="14"/>
      <x:c r="CE108" s="14"/>
    </x:row>
    <x:row r="109">
      <x:c r="A109" s="14" t="n">
        <x:v>108</x:v>
      </x:c>
      <x:c r="B109" s="14"/>
      <x:c r="C109" s="14" t="str">
        <x:v>CHECKING_EVENT</x:v>
      </x:c>
      <x:c r="D109" s="14" t="str">
        <x:v>Exploratory_Checking_611_Positional_Surrogate.xlsx</x:v>
      </x:c>
      <x:c r="E109" s="14"/>
      <x:c r="F109" s="14"/>
      <x:c r="G109" s="14"/>
      <x:c r="H109" s="14"/>
      <x:c r="I109" s="14"/>
      <x:c r="J109" s="14"/>
      <x:c r="K109" s="14" t="str">
        <x:v>NEEDS_WINDOW_BINDING</x:v>
      </x:c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/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/>
      <x:c r="BC109" s="14"/>
      <x:c r="BD109" s="14"/>
      <x:c r="BE109" s="14"/>
      <x:c r="BF109" s="14"/>
      <x:c r="BG109" s="14"/>
      <x:c r="BH109" s="14"/>
      <x:c r="BI109" s="14"/>
      <x:c r="BJ109" s="14"/>
      <x:c r="BK109" s="14"/>
      <x:c r="BL109" s="14"/>
      <x:c r="BM109" s="14"/>
      <x:c r="BN109" s="14"/>
      <x:c r="BO109" s="14"/>
      <x:c r="BP109" s="14"/>
      <x:c r="BQ109" s="14"/>
      <x:c r="BR109" s="14"/>
      <x:c r="BS109" s="14"/>
      <x:c r="BT109" s="14"/>
      <x:c r="BU109" s="14"/>
      <x:c r="BV109" s="14"/>
      <x:c r="BW109" s="14"/>
      <x:c r="BX109" s="14"/>
      <x:c r="BY109" s="14"/>
      <x:c r="BZ109" s="14"/>
      <x:c r="CA109" s="14"/>
      <x:c r="CB109" s="14"/>
      <x:c r="CC109" s="14"/>
      <x:c r="CD109" s="14"/>
      <x:c r="CE109" s="14"/>
    </x:row>
    <x:row r="110">
      <x:c r="A110" s="14" t="n">
        <x:v>109</x:v>
      </x:c>
      <x:c r="B110" s="14"/>
      <x:c r="C110" s="14" t="str">
        <x:v>CHECKING_EVENT</x:v>
      </x:c>
      <x:c r="D110" s="14" t="str">
        <x:v>Exploratory_Checking_611_Positional_Surrogate.xlsx</x:v>
      </x:c>
      <x:c r="E110" s="14"/>
      <x:c r="F110" s="14"/>
      <x:c r="G110" s="14"/>
      <x:c r="H110" s="14"/>
      <x:c r="I110" s="14"/>
      <x:c r="J110" s="14"/>
      <x:c r="K110" s="14" t="str">
        <x:v>NEEDS_WINDOW_BINDING</x:v>
      </x:c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/>
      <x:c r="BC110" s="14"/>
      <x:c r="BD110" s="14"/>
      <x:c r="BE110" s="14"/>
      <x:c r="BF110" s="14"/>
      <x:c r="BG110" s="14"/>
      <x:c r="BH110" s="14"/>
      <x:c r="BI110" s="14"/>
      <x:c r="BJ110" s="14"/>
      <x:c r="BK110" s="14"/>
      <x:c r="BL110" s="14"/>
      <x:c r="BM110" s="14"/>
      <x:c r="BN110" s="14"/>
      <x:c r="BO110" s="14"/>
      <x:c r="BP110" s="14"/>
      <x:c r="BQ110" s="14"/>
      <x:c r="BR110" s="14"/>
      <x:c r="BS110" s="14"/>
      <x:c r="BT110" s="14"/>
      <x:c r="BU110" s="14"/>
      <x:c r="BV110" s="14"/>
      <x:c r="BW110" s="14"/>
      <x:c r="BX110" s="14"/>
      <x:c r="BY110" s="14"/>
      <x:c r="BZ110" s="14"/>
      <x:c r="CA110" s="14"/>
      <x:c r="CB110" s="14"/>
      <x:c r="CC110" s="14"/>
      <x:c r="CD110" s="14"/>
      <x:c r="CE110" s="14"/>
    </x:row>
    <x:row r="111">
      <x:c r="A111" s="14" t="n">
        <x:v>110</x:v>
      </x:c>
      <x:c r="B111" s="14"/>
      <x:c r="C111" s="14" t="str">
        <x:v>CHECKING_EVENT</x:v>
      </x:c>
      <x:c r="D111" s="14" t="str">
        <x:v>Exploratory_Checking_611_Positional_Surrogate.xlsx</x:v>
      </x:c>
      <x:c r="E111" s="14"/>
      <x:c r="F111" s="14"/>
      <x:c r="G111" s="14"/>
      <x:c r="H111" s="14"/>
      <x:c r="I111" s="14"/>
      <x:c r="J111" s="14"/>
      <x:c r="K111" s="14" t="str">
        <x:v>NEEDS_WINDOW_BINDING</x:v>
      </x:c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/>
      <x:c r="AC111" s="14"/>
      <x:c r="AD111" s="14"/>
      <x:c r="AE111" s="14"/>
      <x:c r="AF111" s="14"/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/>
      <x:c r="BC111" s="14"/>
      <x:c r="BD111" s="14"/>
      <x:c r="BE111" s="14"/>
      <x:c r="BF111" s="14"/>
      <x:c r="BG111" s="14"/>
      <x:c r="BH111" s="14"/>
      <x:c r="BI111" s="14"/>
      <x:c r="BJ111" s="14"/>
      <x:c r="BK111" s="14"/>
      <x:c r="BL111" s="14"/>
      <x:c r="BM111" s="14"/>
      <x:c r="BN111" s="14"/>
      <x:c r="BO111" s="14"/>
      <x:c r="BP111" s="14"/>
      <x:c r="BQ111" s="14"/>
      <x:c r="BR111" s="14"/>
      <x:c r="BS111" s="14"/>
      <x:c r="BT111" s="14"/>
      <x:c r="BU111" s="14"/>
      <x:c r="BV111" s="14"/>
      <x:c r="BW111" s="14"/>
      <x:c r="BX111" s="14"/>
      <x:c r="BY111" s="14"/>
      <x:c r="BZ111" s="14"/>
      <x:c r="CA111" s="14"/>
      <x:c r="CB111" s="14"/>
      <x:c r="CC111" s="14"/>
      <x:c r="CD111" s="14"/>
      <x:c r="CE111" s="14"/>
    </x:row>
    <x:row r="112">
      <x:c r="A112" s="14" t="n">
        <x:v>111</x:v>
      </x:c>
      <x:c r="B112" s="14"/>
      <x:c r="C112" s="14" t="str">
        <x:v>CHECKING_EVENT</x:v>
      </x:c>
      <x:c r="D112" s="14" t="str">
        <x:v>Exploratory_Checking_611_Positional_Surrogate.xlsx</x:v>
      </x:c>
      <x:c r="E112" s="14"/>
      <x:c r="F112" s="14"/>
      <x:c r="G112" s="14"/>
      <x:c r="H112" s="14"/>
      <x:c r="I112" s="14"/>
      <x:c r="J112" s="14"/>
      <x:c r="K112" s="14" t="str">
        <x:v>NEEDS_WINDOW_BINDING</x:v>
      </x:c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/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/>
      <x:c r="BC112" s="14"/>
      <x:c r="BD112" s="14"/>
      <x:c r="BE112" s="14"/>
      <x:c r="BF112" s="14"/>
      <x:c r="BG112" s="14"/>
      <x:c r="BH112" s="14"/>
      <x:c r="BI112" s="14"/>
      <x:c r="BJ112" s="14"/>
      <x:c r="BK112" s="14"/>
      <x:c r="BL112" s="14"/>
      <x:c r="BM112" s="14"/>
      <x:c r="BN112" s="14"/>
      <x:c r="BO112" s="14"/>
      <x:c r="BP112" s="14"/>
      <x:c r="BQ112" s="14"/>
      <x:c r="BR112" s="14"/>
      <x:c r="BS112" s="14"/>
      <x:c r="BT112" s="14"/>
      <x:c r="BU112" s="14"/>
      <x:c r="BV112" s="14"/>
      <x:c r="BW112" s="14"/>
      <x:c r="BX112" s="14"/>
      <x:c r="BY112" s="14"/>
      <x:c r="BZ112" s="14"/>
      <x:c r="CA112" s="14"/>
      <x:c r="CB112" s="14"/>
      <x:c r="CC112" s="14"/>
      <x:c r="CD112" s="14"/>
      <x:c r="CE112" s="14"/>
    </x:row>
    <x:row r="113">
      <x:c r="A113" s="14" t="n">
        <x:v>112</x:v>
      </x:c>
      <x:c r="B113" s="14"/>
      <x:c r="C113" s="14" t="str">
        <x:v>CHECKING_EVENT</x:v>
      </x:c>
      <x:c r="D113" s="14" t="str">
        <x:v>Exploratory_Checking_611_Positional_Surrogate.xlsx</x:v>
      </x:c>
      <x:c r="E113" s="14"/>
      <x:c r="F113" s="14"/>
      <x:c r="G113" s="14"/>
      <x:c r="H113" s="14"/>
      <x:c r="I113" s="14"/>
      <x:c r="J113" s="14"/>
      <x:c r="K113" s="14" t="str">
        <x:v>NEEDS_WINDOW_BINDING</x:v>
      </x:c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/>
      <x:c r="AC113" s="14"/>
      <x:c r="AD113" s="14"/>
      <x:c r="AE113" s="14"/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/>
      <x:c r="BC113" s="14"/>
      <x:c r="BD113" s="14"/>
      <x:c r="BE113" s="14"/>
      <x:c r="BF113" s="14"/>
      <x:c r="BG113" s="14"/>
      <x:c r="BH113" s="14"/>
      <x:c r="BI113" s="14"/>
      <x:c r="BJ113" s="14"/>
      <x:c r="BK113" s="14"/>
      <x:c r="BL113" s="14"/>
      <x:c r="BM113" s="14"/>
      <x:c r="BN113" s="14"/>
      <x:c r="BO113" s="14"/>
      <x:c r="BP113" s="14"/>
      <x:c r="BQ113" s="14"/>
      <x:c r="BR113" s="14"/>
      <x:c r="BS113" s="14"/>
      <x:c r="BT113" s="14"/>
      <x:c r="BU113" s="14"/>
      <x:c r="BV113" s="14"/>
      <x:c r="BW113" s="14"/>
      <x:c r="BX113" s="14"/>
      <x:c r="BY113" s="14"/>
      <x:c r="BZ113" s="14"/>
      <x:c r="CA113" s="14"/>
      <x:c r="CB113" s="14"/>
      <x:c r="CC113" s="14"/>
      <x:c r="CD113" s="14"/>
      <x:c r="CE113" s="14"/>
    </x:row>
    <x:row r="114">
      <x:c r="A114" s="14" t="n">
        <x:v>113</x:v>
      </x:c>
      <x:c r="B114" s="14"/>
      <x:c r="C114" s="14" t="str">
        <x:v>CHECKING_EVENT</x:v>
      </x:c>
      <x:c r="D114" s="14" t="str">
        <x:v>Exploratory_Checking_611_Positional_Surrogate.xlsx</x:v>
      </x:c>
      <x:c r="E114" s="14"/>
      <x:c r="F114" s="14"/>
      <x:c r="G114" s="14"/>
      <x:c r="H114" s="14"/>
      <x:c r="I114" s="14"/>
      <x:c r="J114" s="14"/>
      <x:c r="K114" s="14" t="str">
        <x:v>NEEDS_WINDOW_BINDING</x:v>
      </x:c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/>
      <x:c r="BC114" s="14"/>
      <x:c r="BD114" s="14"/>
      <x:c r="BE114" s="14"/>
      <x:c r="BF114" s="14"/>
      <x:c r="BG114" s="14"/>
      <x:c r="BH114" s="14"/>
      <x:c r="BI114" s="14"/>
      <x:c r="BJ114" s="14"/>
      <x:c r="BK114" s="14"/>
      <x:c r="BL114" s="14"/>
      <x:c r="BM114" s="14"/>
      <x:c r="BN114" s="14"/>
      <x:c r="BO114" s="14"/>
      <x:c r="BP114" s="14"/>
      <x:c r="BQ114" s="14"/>
      <x:c r="BR114" s="14"/>
      <x:c r="BS114" s="14"/>
      <x:c r="BT114" s="14"/>
      <x:c r="BU114" s="14"/>
      <x:c r="BV114" s="14"/>
      <x:c r="BW114" s="14"/>
      <x:c r="BX114" s="14"/>
      <x:c r="BY114" s="14"/>
      <x:c r="BZ114" s="14"/>
      <x:c r="CA114" s="14"/>
      <x:c r="CB114" s="14"/>
      <x:c r="CC114" s="14"/>
      <x:c r="CD114" s="14"/>
      <x:c r="CE114" s="14"/>
    </x:row>
    <x:row r="115">
      <x:c r="A115" s="14" t="n">
        <x:v>114</x:v>
      </x:c>
      <x:c r="B115" s="14"/>
      <x:c r="C115" s="14" t="str">
        <x:v>CHECKING_EVENT</x:v>
      </x:c>
      <x:c r="D115" s="14" t="str">
        <x:v>Exploratory_Checking_611_Positional_Surrogate.xlsx</x:v>
      </x:c>
      <x:c r="E115" s="14"/>
      <x:c r="F115" s="14"/>
      <x:c r="G115" s="14"/>
      <x:c r="H115" s="14"/>
      <x:c r="I115" s="14"/>
      <x:c r="J115" s="14"/>
      <x:c r="K115" s="14" t="str">
        <x:v>NEEDS_WINDOW_BINDING</x:v>
      </x:c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/>
      <x:c r="BC115" s="14"/>
      <x:c r="BD115" s="14"/>
      <x:c r="BE115" s="14"/>
      <x:c r="BF115" s="14"/>
      <x:c r="BG115" s="14"/>
      <x:c r="BH115" s="14"/>
      <x:c r="BI115" s="14"/>
      <x:c r="BJ115" s="14"/>
      <x:c r="BK115" s="14"/>
      <x:c r="BL115" s="14"/>
      <x:c r="BM115" s="14"/>
      <x:c r="BN115" s="14"/>
      <x:c r="BO115" s="14"/>
      <x:c r="BP115" s="14"/>
      <x:c r="BQ115" s="14"/>
      <x:c r="BR115" s="14"/>
      <x:c r="BS115" s="14"/>
      <x:c r="BT115" s="14"/>
      <x:c r="BU115" s="14"/>
      <x:c r="BV115" s="14"/>
      <x:c r="BW115" s="14"/>
      <x:c r="BX115" s="14"/>
      <x:c r="BY115" s="14"/>
      <x:c r="BZ115" s="14"/>
      <x:c r="CA115" s="14"/>
      <x:c r="CB115" s="14"/>
      <x:c r="CC115" s="14"/>
      <x:c r="CD115" s="14"/>
      <x:c r="CE115" s="14"/>
    </x:row>
    <x:row r="116">
      <x:c r="A116" s="14" t="n">
        <x:v>115</x:v>
      </x:c>
      <x:c r="B116" s="14"/>
      <x:c r="C116" s="14" t="str">
        <x:v>CHECKING_EVENT</x:v>
      </x:c>
      <x:c r="D116" s="14" t="str">
        <x:v>Exploratory_Checking_611_Positional_Surrogate.xlsx</x:v>
      </x:c>
      <x:c r="E116" s="14"/>
      <x:c r="F116" s="14"/>
      <x:c r="G116" s="14"/>
      <x:c r="H116" s="14"/>
      <x:c r="I116" s="14"/>
      <x:c r="J116" s="14"/>
      <x:c r="K116" s="14" t="str">
        <x:v>NEEDS_WINDOW_BINDING</x:v>
      </x:c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/>
      <x:c r="AC116" s="14"/>
      <x:c r="AD116" s="14"/>
      <x:c r="AE116" s="14"/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/>
      <x:c r="BC116" s="14"/>
      <x:c r="BD116" s="14"/>
      <x:c r="BE116" s="14"/>
      <x:c r="BF116" s="14"/>
      <x:c r="BG116" s="14"/>
      <x:c r="BH116" s="14"/>
      <x:c r="BI116" s="14"/>
      <x:c r="BJ116" s="14"/>
      <x:c r="BK116" s="14"/>
      <x:c r="BL116" s="14"/>
      <x:c r="BM116" s="14"/>
      <x:c r="BN116" s="14"/>
      <x:c r="BO116" s="14"/>
      <x:c r="BP116" s="14"/>
      <x:c r="BQ116" s="14"/>
      <x:c r="BR116" s="14"/>
      <x:c r="BS116" s="14"/>
      <x:c r="BT116" s="14"/>
      <x:c r="BU116" s="14"/>
      <x:c r="BV116" s="14"/>
      <x:c r="BW116" s="14"/>
      <x:c r="BX116" s="14"/>
      <x:c r="BY116" s="14"/>
      <x:c r="BZ116" s="14"/>
      <x:c r="CA116" s="14"/>
      <x:c r="CB116" s="14"/>
      <x:c r="CC116" s="14"/>
      <x:c r="CD116" s="14"/>
      <x:c r="CE116" s="14"/>
    </x:row>
    <x:row r="117">
      <x:c r="A117" s="14" t="n">
        <x:v>116</x:v>
      </x:c>
      <x:c r="B117" s="14"/>
      <x:c r="C117" s="14" t="str">
        <x:v>CHECKING_EVENT</x:v>
      </x:c>
      <x:c r="D117" s="14" t="str">
        <x:v>Exploratory_Checking_611_Positional_Surrogate.xlsx</x:v>
      </x:c>
      <x:c r="E117" s="14"/>
      <x:c r="F117" s="14"/>
      <x:c r="G117" s="14"/>
      <x:c r="H117" s="14"/>
      <x:c r="I117" s="14"/>
      <x:c r="J117" s="14"/>
      <x:c r="K117" s="14" t="str">
        <x:v>NEEDS_WINDOW_BINDING</x:v>
      </x:c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/>
      <x:c r="BC117" s="14"/>
      <x:c r="BD117" s="14"/>
      <x:c r="BE117" s="14"/>
      <x:c r="BF117" s="14"/>
      <x:c r="BG117" s="14"/>
      <x:c r="BH117" s="14"/>
      <x:c r="BI117" s="14"/>
      <x:c r="BJ117" s="14"/>
      <x:c r="BK117" s="14"/>
      <x:c r="BL117" s="14"/>
      <x:c r="BM117" s="14"/>
      <x:c r="BN117" s="14"/>
      <x:c r="BO117" s="14"/>
      <x:c r="BP117" s="14"/>
      <x:c r="BQ117" s="14"/>
      <x:c r="BR117" s="14"/>
      <x:c r="BS117" s="14"/>
      <x:c r="BT117" s="14"/>
      <x:c r="BU117" s="14"/>
      <x:c r="BV117" s="14"/>
      <x:c r="BW117" s="14"/>
      <x:c r="BX117" s="14"/>
      <x:c r="BY117" s="14"/>
      <x:c r="BZ117" s="14"/>
      <x:c r="CA117" s="14"/>
      <x:c r="CB117" s="14"/>
      <x:c r="CC117" s="14"/>
      <x:c r="CD117" s="14"/>
      <x:c r="CE117" s="14"/>
    </x:row>
    <x:row r="118">
      <x:c r="A118" s="14" t="n">
        <x:v>117</x:v>
      </x:c>
      <x:c r="B118" s="14"/>
      <x:c r="C118" s="14" t="str">
        <x:v>CHECKING_EVENT</x:v>
      </x:c>
      <x:c r="D118" s="14" t="str">
        <x:v>Exploratory_Checking_611_Positional_Surrogate.xlsx</x:v>
      </x:c>
      <x:c r="E118" s="14"/>
      <x:c r="F118" s="14"/>
      <x:c r="G118" s="14"/>
      <x:c r="H118" s="14"/>
      <x:c r="I118" s="14"/>
      <x:c r="J118" s="14"/>
      <x:c r="K118" s="14" t="str">
        <x:v>NEEDS_WINDOW_BINDING</x:v>
      </x:c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/>
      <x:c r="BC118" s="14"/>
      <x:c r="BD118" s="14"/>
      <x:c r="BE118" s="14"/>
      <x:c r="BF118" s="14"/>
      <x:c r="BG118" s="14"/>
      <x:c r="BH118" s="14"/>
      <x:c r="BI118" s="14"/>
      <x:c r="BJ118" s="14"/>
      <x:c r="BK118" s="14"/>
      <x:c r="BL118" s="14"/>
      <x:c r="BM118" s="14"/>
      <x:c r="BN118" s="14"/>
      <x:c r="BO118" s="14"/>
      <x:c r="BP118" s="14"/>
      <x:c r="BQ118" s="14"/>
      <x:c r="BR118" s="14"/>
      <x:c r="BS118" s="14"/>
      <x:c r="BT118" s="14"/>
      <x:c r="BU118" s="14"/>
      <x:c r="BV118" s="14"/>
      <x:c r="BW118" s="14"/>
      <x:c r="BX118" s="14"/>
      <x:c r="BY118" s="14"/>
      <x:c r="BZ118" s="14"/>
      <x:c r="CA118" s="14"/>
      <x:c r="CB118" s="14"/>
      <x:c r="CC118" s="14"/>
      <x:c r="CD118" s="14"/>
      <x:c r="CE118" s="14"/>
    </x:row>
    <x:row r="119">
      <x:c r="A119" s="14" t="n">
        <x:v>118</x:v>
      </x:c>
      <x:c r="B119" s="14"/>
      <x:c r="C119" s="14" t="str">
        <x:v>CHECKING_EVENT</x:v>
      </x:c>
      <x:c r="D119" s="14" t="str">
        <x:v>Exploratory_Checking_611_Positional_Surrogate.xlsx</x:v>
      </x:c>
      <x:c r="E119" s="14"/>
      <x:c r="F119" s="14"/>
      <x:c r="G119" s="14"/>
      <x:c r="H119" s="14"/>
      <x:c r="I119" s="14"/>
      <x:c r="J119" s="14"/>
      <x:c r="K119" s="14" t="str">
        <x:v>NEEDS_WINDOW_BINDING</x:v>
      </x:c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/>
      <x:c r="BC119" s="14"/>
      <x:c r="BD119" s="14"/>
      <x:c r="BE119" s="14"/>
      <x:c r="BF119" s="14"/>
      <x:c r="BG119" s="14"/>
      <x:c r="BH119" s="14"/>
      <x:c r="BI119" s="14"/>
      <x:c r="BJ119" s="14"/>
      <x:c r="BK119" s="14"/>
      <x:c r="BL119" s="14"/>
      <x:c r="BM119" s="14"/>
      <x:c r="BN119" s="14"/>
      <x:c r="BO119" s="14"/>
      <x:c r="BP119" s="14"/>
      <x:c r="BQ119" s="14"/>
      <x:c r="BR119" s="14"/>
      <x:c r="BS119" s="14"/>
      <x:c r="BT119" s="14"/>
      <x:c r="BU119" s="14"/>
      <x:c r="BV119" s="14"/>
      <x:c r="BW119" s="14"/>
      <x:c r="BX119" s="14"/>
      <x:c r="BY119" s="14"/>
      <x:c r="BZ119" s="14"/>
      <x:c r="CA119" s="14"/>
      <x:c r="CB119" s="14"/>
      <x:c r="CC119" s="14"/>
      <x:c r="CD119" s="14"/>
      <x:c r="CE119" s="14"/>
    </x:row>
    <x:row r="120">
      <x:c r="A120" s="14" t="n">
        <x:v>119</x:v>
      </x:c>
      <x:c r="B120" s="14"/>
      <x:c r="C120" s="14" t="str">
        <x:v>CHECKING_EVENT</x:v>
      </x:c>
      <x:c r="D120" s="14" t="str">
        <x:v>Exploratory_Checking_611_Positional_Surrogate.xlsx</x:v>
      </x:c>
      <x:c r="E120" s="14"/>
      <x:c r="F120" s="14"/>
      <x:c r="G120" s="14"/>
      <x:c r="H120" s="14"/>
      <x:c r="I120" s="14"/>
      <x:c r="J120" s="14"/>
      <x:c r="K120" s="14" t="str">
        <x:v>NEEDS_WINDOW_BINDING</x:v>
      </x:c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/>
      <x:c r="BC120" s="14"/>
      <x:c r="BD120" s="14"/>
      <x:c r="BE120" s="14"/>
      <x:c r="BF120" s="14"/>
      <x:c r="BG120" s="14"/>
      <x:c r="BH120" s="14"/>
      <x:c r="BI120" s="14"/>
      <x:c r="BJ120" s="14"/>
      <x:c r="BK120" s="14"/>
      <x:c r="BL120" s="14"/>
      <x:c r="BM120" s="14"/>
      <x:c r="BN120" s="14"/>
      <x:c r="BO120" s="14"/>
      <x:c r="BP120" s="14"/>
      <x:c r="BQ120" s="14"/>
      <x:c r="BR120" s="14"/>
      <x:c r="BS120" s="14"/>
      <x:c r="BT120" s="14"/>
      <x:c r="BU120" s="14"/>
      <x:c r="BV120" s="14"/>
      <x:c r="BW120" s="14"/>
      <x:c r="BX120" s="14"/>
      <x:c r="BY120" s="14"/>
      <x:c r="BZ120" s="14"/>
      <x:c r="CA120" s="14"/>
      <x:c r="CB120" s="14"/>
      <x:c r="CC120" s="14"/>
      <x:c r="CD120" s="14"/>
      <x:c r="CE120" s="14"/>
    </x:row>
    <x:row r="121">
      <x:c r="A121" s="14" t="n">
        <x:v>120</x:v>
      </x:c>
      <x:c r="B121" s="14"/>
      <x:c r="C121" s="14" t="str">
        <x:v>CHECKING_EVENT</x:v>
      </x:c>
      <x:c r="D121" s="14" t="str">
        <x:v>Exploratory_Checking_611_Positional_Surrogate.xlsx</x:v>
      </x:c>
      <x:c r="E121" s="14"/>
      <x:c r="F121" s="14"/>
      <x:c r="G121" s="14"/>
      <x:c r="H121" s="14"/>
      <x:c r="I121" s="14"/>
      <x:c r="J121" s="14"/>
      <x:c r="K121" s="14" t="str">
        <x:v>NEEDS_WINDOW_BINDING</x:v>
      </x:c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/>
      <x:c r="BC121" s="14"/>
      <x:c r="BD121" s="14"/>
      <x:c r="BE121" s="14"/>
      <x:c r="BF121" s="14"/>
      <x:c r="BG121" s="14"/>
      <x:c r="BH121" s="14"/>
      <x:c r="BI121" s="14"/>
      <x:c r="BJ121" s="14"/>
      <x:c r="BK121" s="14"/>
      <x:c r="BL121" s="14"/>
      <x:c r="BM121" s="14"/>
      <x:c r="BN121" s="14"/>
      <x:c r="BO121" s="14"/>
      <x:c r="BP121" s="14"/>
      <x:c r="BQ121" s="14"/>
      <x:c r="BR121" s="14"/>
      <x:c r="BS121" s="14"/>
      <x:c r="BT121" s="14"/>
      <x:c r="BU121" s="14"/>
      <x:c r="BV121" s="14"/>
      <x:c r="BW121" s="14"/>
      <x:c r="BX121" s="14"/>
      <x:c r="BY121" s="14"/>
      <x:c r="BZ121" s="14"/>
      <x:c r="CA121" s="14"/>
      <x:c r="CB121" s="14"/>
      <x:c r="CC121" s="14"/>
      <x:c r="CD121" s="14"/>
      <x:c r="CE121" s="14"/>
    </x:row>
    <x:row r="122">
      <x:c r="A122" s="14" t="n">
        <x:v>121</x:v>
      </x:c>
      <x:c r="B122" s="14"/>
      <x:c r="C122" s="14" t="str">
        <x:v>CHECKING_EVENT</x:v>
      </x:c>
      <x:c r="D122" s="14" t="str">
        <x:v>Exploratory_Checking_611_Positional_Surrogate.xlsx</x:v>
      </x:c>
      <x:c r="E122" s="14"/>
      <x:c r="F122" s="14"/>
      <x:c r="G122" s="14"/>
      <x:c r="H122" s="14"/>
      <x:c r="I122" s="14"/>
      <x:c r="J122" s="14"/>
      <x:c r="K122" s="14" t="str">
        <x:v>NEEDS_WINDOW_BINDING</x:v>
      </x:c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/>
      <x:c r="BC122" s="14"/>
      <x:c r="BD122" s="14"/>
      <x:c r="BE122" s="14"/>
      <x:c r="BF122" s="14"/>
      <x:c r="BG122" s="14"/>
      <x:c r="BH122" s="14"/>
      <x:c r="BI122" s="14"/>
      <x:c r="BJ122" s="14"/>
      <x:c r="BK122" s="14"/>
      <x:c r="BL122" s="14"/>
      <x:c r="BM122" s="14"/>
      <x:c r="BN122" s="14"/>
      <x:c r="BO122" s="14"/>
      <x:c r="BP122" s="14"/>
      <x:c r="BQ122" s="14"/>
      <x:c r="BR122" s="14"/>
      <x:c r="BS122" s="14"/>
      <x:c r="BT122" s="14"/>
      <x:c r="BU122" s="14"/>
      <x:c r="BV122" s="14"/>
      <x:c r="BW122" s="14"/>
      <x:c r="BX122" s="14"/>
      <x:c r="BY122" s="14"/>
      <x:c r="BZ122" s="14"/>
      <x:c r="CA122" s="14"/>
      <x:c r="CB122" s="14"/>
      <x:c r="CC122" s="14"/>
      <x:c r="CD122" s="14"/>
      <x:c r="CE122" s="14"/>
    </x:row>
    <x:row r="123">
      <x:c r="A123" s="14" t="n">
        <x:v>122</x:v>
      </x:c>
      <x:c r="B123" s="14"/>
      <x:c r="C123" s="14" t="str">
        <x:v>CHECKING_EVENT</x:v>
      </x:c>
      <x:c r="D123" s="14" t="str">
        <x:v>Exploratory_Checking_611_Positional_Surrogate.xlsx</x:v>
      </x:c>
      <x:c r="E123" s="14"/>
      <x:c r="F123" s="14"/>
      <x:c r="G123" s="14"/>
      <x:c r="H123" s="14"/>
      <x:c r="I123" s="14"/>
      <x:c r="J123" s="14"/>
      <x:c r="K123" s="14" t="str">
        <x:v>NEEDS_WINDOW_BINDING</x:v>
      </x:c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/>
      <x:c r="BC123" s="14"/>
      <x:c r="BD123" s="14"/>
      <x:c r="BE123" s="14"/>
      <x:c r="BF123" s="14"/>
      <x:c r="BG123" s="14"/>
      <x:c r="BH123" s="14"/>
      <x:c r="BI123" s="14"/>
      <x:c r="BJ123" s="14"/>
      <x:c r="BK123" s="14"/>
      <x:c r="BL123" s="14"/>
      <x:c r="BM123" s="14"/>
      <x:c r="BN123" s="14"/>
      <x:c r="BO123" s="14"/>
      <x:c r="BP123" s="14"/>
      <x:c r="BQ123" s="14"/>
      <x:c r="BR123" s="14"/>
      <x:c r="BS123" s="14"/>
      <x:c r="BT123" s="14"/>
      <x:c r="BU123" s="14"/>
      <x:c r="BV123" s="14"/>
      <x:c r="BW123" s="14"/>
      <x:c r="BX123" s="14"/>
      <x:c r="BY123" s="14"/>
      <x:c r="BZ123" s="14"/>
      <x:c r="CA123" s="14"/>
      <x:c r="CB123" s="14"/>
      <x:c r="CC123" s="14"/>
      <x:c r="CD123" s="14"/>
      <x:c r="CE123" s="14"/>
    </x:row>
    <x:row r="124">
      <x:c r="A124" s="14" t="n">
        <x:v>123</x:v>
      </x:c>
      <x:c r="B124" s="14"/>
      <x:c r="C124" s="14" t="str">
        <x:v>CHECKING_EVENT</x:v>
      </x:c>
      <x:c r="D124" s="14" t="str">
        <x:v>Exploratory_Checking_611_Positional_Surrogate.xlsx</x:v>
      </x:c>
      <x:c r="E124" s="14"/>
      <x:c r="F124" s="14"/>
      <x:c r="G124" s="14"/>
      <x:c r="H124" s="14"/>
      <x:c r="I124" s="14"/>
      <x:c r="J124" s="14"/>
      <x:c r="K124" s="14" t="str">
        <x:v>NEEDS_WINDOW_BINDING</x:v>
      </x:c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/>
      <x:c r="AC124" s="14"/>
      <x:c r="AD124" s="14"/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/>
      <x:c r="BC124" s="14"/>
      <x:c r="BD124" s="14"/>
      <x:c r="BE124" s="14"/>
      <x:c r="BF124" s="14"/>
      <x:c r="BG124" s="14"/>
      <x:c r="BH124" s="14"/>
      <x:c r="BI124" s="14"/>
      <x:c r="BJ124" s="14"/>
      <x:c r="BK124" s="14"/>
      <x:c r="BL124" s="14"/>
      <x:c r="BM124" s="14"/>
      <x:c r="BN124" s="14"/>
      <x:c r="BO124" s="14"/>
      <x:c r="BP124" s="14"/>
      <x:c r="BQ124" s="14"/>
      <x:c r="BR124" s="14"/>
      <x:c r="BS124" s="14"/>
      <x:c r="BT124" s="14"/>
      <x:c r="BU124" s="14"/>
      <x:c r="BV124" s="14"/>
      <x:c r="BW124" s="14"/>
      <x:c r="BX124" s="14"/>
      <x:c r="BY124" s="14"/>
      <x:c r="BZ124" s="14"/>
      <x:c r="CA124" s="14"/>
      <x:c r="CB124" s="14"/>
      <x:c r="CC124" s="14"/>
      <x:c r="CD124" s="14"/>
      <x:c r="CE124" s="14"/>
    </x:row>
    <x:row r="125">
      <x:c r="A125" s="14" t="n">
        <x:v>124</x:v>
      </x:c>
      <x:c r="B125" s="14"/>
      <x:c r="C125" s="14" t="str">
        <x:v>CHECKING_EVENT</x:v>
      </x:c>
      <x:c r="D125" s="14" t="str">
        <x:v>Exploratory_Checking_611_Positional_Surrogate.xlsx</x:v>
      </x:c>
      <x:c r="E125" s="14"/>
      <x:c r="F125" s="14"/>
      <x:c r="G125" s="14"/>
      <x:c r="H125" s="14"/>
      <x:c r="I125" s="14"/>
      <x:c r="J125" s="14"/>
      <x:c r="K125" s="14" t="str">
        <x:v>NEEDS_WINDOW_BINDING</x:v>
      </x:c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  <x:c r="AC125" s="14"/>
      <x:c r="AD125" s="14"/>
      <x:c r="AE125" s="14"/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/>
      <x:c r="BC125" s="14"/>
      <x:c r="BD125" s="14"/>
      <x:c r="BE125" s="14"/>
      <x:c r="BF125" s="14"/>
      <x:c r="BG125" s="14"/>
      <x:c r="BH125" s="14"/>
      <x:c r="BI125" s="14"/>
      <x:c r="BJ125" s="14"/>
      <x:c r="BK125" s="14"/>
      <x:c r="BL125" s="14"/>
      <x:c r="BM125" s="14"/>
      <x:c r="BN125" s="14"/>
      <x:c r="BO125" s="14"/>
      <x:c r="BP125" s="14"/>
      <x:c r="BQ125" s="14"/>
      <x:c r="BR125" s="14"/>
      <x:c r="BS125" s="14"/>
      <x:c r="BT125" s="14"/>
      <x:c r="BU125" s="14"/>
      <x:c r="BV125" s="14"/>
      <x:c r="BW125" s="14"/>
      <x:c r="BX125" s="14"/>
      <x:c r="BY125" s="14"/>
      <x:c r="BZ125" s="14"/>
      <x:c r="CA125" s="14"/>
      <x:c r="CB125" s="14"/>
      <x:c r="CC125" s="14"/>
      <x:c r="CD125" s="14"/>
      <x:c r="CE125" s="14"/>
    </x:row>
    <x:row r="126">
      <x:c r="A126" s="14" t="n">
        <x:v>125</x:v>
      </x:c>
      <x:c r="B126" s="14"/>
      <x:c r="C126" s="14" t="str">
        <x:v>CHECKING_EVENT</x:v>
      </x:c>
      <x:c r="D126" s="14" t="str">
        <x:v>Exploratory_Checking_611_Positional_Surrogate.xlsx</x:v>
      </x:c>
      <x:c r="E126" s="14"/>
      <x:c r="F126" s="14"/>
      <x:c r="G126" s="14"/>
      <x:c r="H126" s="14"/>
      <x:c r="I126" s="14"/>
      <x:c r="J126" s="14"/>
      <x:c r="K126" s="14" t="str">
        <x:v>NEEDS_WINDOW_BINDING</x:v>
      </x:c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/>
      <x:c r="BC126" s="14"/>
      <x:c r="BD126" s="14"/>
      <x:c r="BE126" s="14"/>
      <x:c r="BF126" s="14"/>
      <x:c r="BG126" s="14"/>
      <x:c r="BH126" s="14"/>
      <x:c r="BI126" s="14"/>
      <x:c r="BJ126" s="14"/>
      <x:c r="BK126" s="14"/>
      <x:c r="BL126" s="14"/>
      <x:c r="BM126" s="14"/>
      <x:c r="BN126" s="14"/>
      <x:c r="BO126" s="14"/>
      <x:c r="BP126" s="14"/>
      <x:c r="BQ126" s="14"/>
      <x:c r="BR126" s="14"/>
      <x:c r="BS126" s="14"/>
      <x:c r="BT126" s="14"/>
      <x:c r="BU126" s="14"/>
      <x:c r="BV126" s="14"/>
      <x:c r="BW126" s="14"/>
      <x:c r="BX126" s="14"/>
      <x:c r="BY126" s="14"/>
      <x:c r="BZ126" s="14"/>
      <x:c r="CA126" s="14"/>
      <x:c r="CB126" s="14"/>
      <x:c r="CC126" s="14"/>
      <x:c r="CD126" s="14"/>
      <x:c r="CE126" s="14"/>
    </x:row>
    <x:row r="127">
      <x:c r="A127" s="14" t="n">
        <x:v>126</x:v>
      </x:c>
      <x:c r="B127" s="14"/>
      <x:c r="C127" s="14" t="str">
        <x:v>CHECKING_EVENT</x:v>
      </x:c>
      <x:c r="D127" s="14" t="str">
        <x:v>Exploratory_Checking_611_Positional_Surrogate.xlsx</x:v>
      </x:c>
      <x:c r="E127" s="14"/>
      <x:c r="F127" s="14"/>
      <x:c r="G127" s="14"/>
      <x:c r="H127" s="14"/>
      <x:c r="I127" s="14"/>
      <x:c r="J127" s="14"/>
      <x:c r="K127" s="14" t="str">
        <x:v>NEEDS_WINDOW_BINDING</x:v>
      </x:c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/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/>
      <x:c r="BC127" s="14"/>
      <x:c r="BD127" s="14"/>
      <x:c r="BE127" s="14"/>
      <x:c r="BF127" s="14"/>
      <x:c r="BG127" s="14"/>
      <x:c r="BH127" s="14"/>
      <x:c r="BI127" s="14"/>
      <x:c r="BJ127" s="14"/>
      <x:c r="BK127" s="14"/>
      <x:c r="BL127" s="14"/>
      <x:c r="BM127" s="14"/>
      <x:c r="BN127" s="14"/>
      <x:c r="BO127" s="14"/>
      <x:c r="BP127" s="14"/>
      <x:c r="BQ127" s="14"/>
      <x:c r="BR127" s="14"/>
      <x:c r="BS127" s="14"/>
      <x:c r="BT127" s="14"/>
      <x:c r="BU127" s="14"/>
      <x:c r="BV127" s="14"/>
      <x:c r="BW127" s="14"/>
      <x:c r="BX127" s="14"/>
      <x:c r="BY127" s="14"/>
      <x:c r="BZ127" s="14"/>
      <x:c r="CA127" s="14"/>
      <x:c r="CB127" s="14"/>
      <x:c r="CC127" s="14"/>
      <x:c r="CD127" s="14"/>
      <x:c r="CE127" s="14"/>
    </x:row>
    <x:row r="128">
      <x:c r="A128" s="14" t="n">
        <x:v>127</x:v>
      </x:c>
      <x:c r="B128" s="14"/>
      <x:c r="C128" s="14" t="str">
        <x:v>CHECKING_EVENT</x:v>
      </x:c>
      <x:c r="D128" s="14" t="str">
        <x:v>Exploratory_Checking_611_Positional_Surrogate.xlsx</x:v>
      </x:c>
      <x:c r="E128" s="14"/>
      <x:c r="F128" s="14"/>
      <x:c r="G128" s="14"/>
      <x:c r="H128" s="14"/>
      <x:c r="I128" s="14"/>
      <x:c r="J128" s="14"/>
      <x:c r="K128" s="14" t="str">
        <x:v>NEEDS_WINDOW_BINDING</x:v>
      </x:c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/>
      <x:c r="BC128" s="14"/>
      <x:c r="BD128" s="14"/>
      <x:c r="BE128" s="14"/>
      <x:c r="BF128" s="14"/>
      <x:c r="BG128" s="14"/>
      <x:c r="BH128" s="14"/>
      <x:c r="BI128" s="14"/>
      <x:c r="BJ128" s="14"/>
      <x:c r="BK128" s="14"/>
      <x:c r="BL128" s="14"/>
      <x:c r="BM128" s="14"/>
      <x:c r="BN128" s="14"/>
      <x:c r="BO128" s="14"/>
      <x:c r="BP128" s="14"/>
      <x:c r="BQ128" s="14"/>
      <x:c r="BR128" s="14"/>
      <x:c r="BS128" s="14"/>
      <x:c r="BT128" s="14"/>
      <x:c r="BU128" s="14"/>
      <x:c r="BV128" s="14"/>
      <x:c r="BW128" s="14"/>
      <x:c r="BX128" s="14"/>
      <x:c r="BY128" s="14"/>
      <x:c r="BZ128" s="14"/>
      <x:c r="CA128" s="14"/>
      <x:c r="CB128" s="14"/>
      <x:c r="CC128" s="14"/>
      <x:c r="CD128" s="14"/>
      <x:c r="CE128" s="14"/>
    </x:row>
    <x:row r="129">
      <x:c r="A129" s="14" t="n">
        <x:v>128</x:v>
      </x:c>
      <x:c r="B129" s="14"/>
      <x:c r="C129" s="14" t="str">
        <x:v>CHECKING_EVENT</x:v>
      </x:c>
      <x:c r="D129" s="14" t="str">
        <x:v>Exploratory_Checking_611_Positional_Surrogate.xlsx</x:v>
      </x:c>
      <x:c r="E129" s="14"/>
      <x:c r="F129" s="14"/>
      <x:c r="G129" s="14"/>
      <x:c r="H129" s="14"/>
      <x:c r="I129" s="14"/>
      <x:c r="J129" s="14"/>
      <x:c r="K129" s="14" t="str">
        <x:v>NEEDS_WINDOW_BINDING</x:v>
      </x:c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/>
      <x:c r="BC129" s="14"/>
      <x:c r="BD129" s="14"/>
      <x:c r="BE129" s="14"/>
      <x:c r="BF129" s="14"/>
      <x:c r="BG129" s="14"/>
      <x:c r="BH129" s="14"/>
      <x:c r="BI129" s="14"/>
      <x:c r="BJ129" s="14"/>
      <x:c r="BK129" s="14"/>
      <x:c r="BL129" s="14"/>
      <x:c r="BM129" s="14"/>
      <x:c r="BN129" s="14"/>
      <x:c r="BO129" s="14"/>
      <x:c r="BP129" s="14"/>
      <x:c r="BQ129" s="14"/>
      <x:c r="BR129" s="14"/>
      <x:c r="BS129" s="14"/>
      <x:c r="BT129" s="14"/>
      <x:c r="BU129" s="14"/>
      <x:c r="BV129" s="14"/>
      <x:c r="BW129" s="14"/>
      <x:c r="BX129" s="14"/>
      <x:c r="BY129" s="14"/>
      <x:c r="BZ129" s="14"/>
      <x:c r="CA129" s="14"/>
      <x:c r="CB129" s="14"/>
      <x:c r="CC129" s="14"/>
      <x:c r="CD129" s="14"/>
      <x:c r="CE129" s="14"/>
    </x:row>
    <x:row r="130">
      <x:c r="A130" s="14" t="n">
        <x:v>129</x:v>
      </x:c>
      <x:c r="B130" s="14"/>
      <x:c r="C130" s="14" t="str">
        <x:v>CHECKING_EVENT</x:v>
      </x:c>
      <x:c r="D130" s="14" t="str">
        <x:v>Exploratory_Checking_611_Positional_Surrogate.xlsx</x:v>
      </x:c>
      <x:c r="E130" s="14"/>
      <x:c r="F130" s="14"/>
      <x:c r="G130" s="14"/>
      <x:c r="H130" s="14"/>
      <x:c r="I130" s="14"/>
      <x:c r="J130" s="14"/>
      <x:c r="K130" s="14" t="str">
        <x:v>NEEDS_WINDOW_BINDING</x:v>
      </x:c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/>
      <x:c r="BC130" s="14"/>
      <x:c r="BD130" s="14"/>
      <x:c r="BE130" s="14"/>
      <x:c r="BF130" s="14"/>
      <x:c r="BG130" s="14"/>
      <x:c r="BH130" s="14"/>
      <x:c r="BI130" s="14"/>
      <x:c r="BJ130" s="14"/>
      <x:c r="BK130" s="14"/>
      <x:c r="BL130" s="14"/>
      <x:c r="BM130" s="14"/>
      <x:c r="BN130" s="14"/>
      <x:c r="BO130" s="14"/>
      <x:c r="BP130" s="14"/>
      <x:c r="BQ130" s="14"/>
      <x:c r="BR130" s="14"/>
      <x:c r="BS130" s="14"/>
      <x:c r="BT130" s="14"/>
      <x:c r="BU130" s="14"/>
      <x:c r="BV130" s="14"/>
      <x:c r="BW130" s="14"/>
      <x:c r="BX130" s="14"/>
      <x:c r="BY130" s="14"/>
      <x:c r="BZ130" s="14"/>
      <x:c r="CA130" s="14"/>
      <x:c r="CB130" s="14"/>
      <x:c r="CC130" s="14"/>
      <x:c r="CD130" s="14"/>
      <x:c r="CE130" s="14"/>
    </x:row>
    <x:row r="131">
      <x:c r="A131" s="14" t="n">
        <x:v>130</x:v>
      </x:c>
      <x:c r="B131" s="14"/>
      <x:c r="C131" s="14" t="str">
        <x:v>CHECKING_EVENT</x:v>
      </x:c>
      <x:c r="D131" s="14" t="str">
        <x:v>Exploratory_Checking_611_Positional_Surrogate.xlsx</x:v>
      </x:c>
      <x:c r="E131" s="14"/>
      <x:c r="F131" s="14"/>
      <x:c r="G131" s="14"/>
      <x:c r="H131" s="14"/>
      <x:c r="I131" s="14"/>
      <x:c r="J131" s="14"/>
      <x:c r="K131" s="14" t="str">
        <x:v>NEEDS_WINDOW_BINDING</x:v>
      </x:c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/>
      <x:c r="AC131" s="14"/>
      <x:c r="AD131" s="14"/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/>
      <x:c r="BC131" s="14"/>
      <x:c r="BD131" s="14"/>
      <x:c r="BE131" s="14"/>
      <x:c r="BF131" s="14"/>
      <x:c r="BG131" s="14"/>
      <x:c r="BH131" s="14"/>
      <x:c r="BI131" s="14"/>
      <x:c r="BJ131" s="14"/>
      <x:c r="BK131" s="14"/>
      <x:c r="BL131" s="14"/>
      <x:c r="BM131" s="14"/>
      <x:c r="BN131" s="14"/>
      <x:c r="BO131" s="14"/>
      <x:c r="BP131" s="14"/>
      <x:c r="BQ131" s="14"/>
      <x:c r="BR131" s="14"/>
      <x:c r="BS131" s="14"/>
      <x:c r="BT131" s="14"/>
      <x:c r="BU131" s="14"/>
      <x:c r="BV131" s="14"/>
      <x:c r="BW131" s="14"/>
      <x:c r="BX131" s="14"/>
      <x:c r="BY131" s="14"/>
      <x:c r="BZ131" s="14"/>
      <x:c r="CA131" s="14"/>
      <x:c r="CB131" s="14"/>
      <x:c r="CC131" s="14"/>
      <x:c r="CD131" s="14"/>
      <x:c r="CE131" s="14"/>
    </x:row>
    <x:row r="132">
      <x:c r="A132" s="14" t="n">
        <x:v>131</x:v>
      </x:c>
      <x:c r="B132" s="14"/>
      <x:c r="C132" s="14" t="str">
        <x:v>CHECKING_EVENT</x:v>
      </x:c>
      <x:c r="D132" s="14" t="str">
        <x:v>Exploratory_Checking_611_Positional_Surrogate.xlsx</x:v>
      </x:c>
      <x:c r="E132" s="14"/>
      <x:c r="F132" s="14"/>
      <x:c r="G132" s="14"/>
      <x:c r="H132" s="14"/>
      <x:c r="I132" s="14"/>
      <x:c r="J132" s="14"/>
      <x:c r="K132" s="14" t="str">
        <x:v>NEEDS_WINDOW_BINDING</x:v>
      </x:c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/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/>
      <x:c r="BC132" s="14"/>
      <x:c r="BD132" s="14"/>
      <x:c r="BE132" s="14"/>
      <x:c r="BF132" s="14"/>
      <x:c r="BG132" s="14"/>
      <x:c r="BH132" s="14"/>
      <x:c r="BI132" s="14"/>
      <x:c r="BJ132" s="14"/>
      <x:c r="BK132" s="14"/>
      <x:c r="BL132" s="14"/>
      <x:c r="BM132" s="14"/>
      <x:c r="BN132" s="14"/>
      <x:c r="BO132" s="14"/>
      <x:c r="BP132" s="14"/>
      <x:c r="BQ132" s="14"/>
      <x:c r="BR132" s="14"/>
      <x:c r="BS132" s="14"/>
      <x:c r="BT132" s="14"/>
      <x:c r="BU132" s="14"/>
      <x:c r="BV132" s="14"/>
      <x:c r="BW132" s="14"/>
      <x:c r="BX132" s="14"/>
      <x:c r="BY132" s="14"/>
      <x:c r="BZ132" s="14"/>
      <x:c r="CA132" s="14"/>
      <x:c r="CB132" s="14"/>
      <x:c r="CC132" s="14"/>
      <x:c r="CD132" s="14"/>
      <x:c r="CE132" s="14"/>
    </x:row>
    <x:row r="133">
      <x:c r="A133" s="14" t="n">
        <x:v>132</x:v>
      </x:c>
      <x:c r="B133" s="14"/>
      <x:c r="C133" s="14" t="str">
        <x:v>CHECKING_EVENT</x:v>
      </x:c>
      <x:c r="D133" s="14" t="str">
        <x:v>Exploratory_Checking_611_Positional_Surrogate.xlsx</x:v>
      </x:c>
      <x:c r="E133" s="14"/>
      <x:c r="F133" s="14"/>
      <x:c r="G133" s="14"/>
      <x:c r="H133" s="14"/>
      <x:c r="I133" s="14"/>
      <x:c r="J133" s="14"/>
      <x:c r="K133" s="14" t="str">
        <x:v>NEEDS_WINDOW_BINDING</x:v>
      </x:c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/>
      <x:c r="BC133" s="14"/>
      <x:c r="BD133" s="14"/>
      <x:c r="BE133" s="14"/>
      <x:c r="BF133" s="14"/>
      <x:c r="BG133" s="14"/>
      <x:c r="BH133" s="14"/>
      <x:c r="BI133" s="14"/>
      <x:c r="BJ133" s="14"/>
      <x:c r="BK133" s="14"/>
      <x:c r="BL133" s="14"/>
      <x:c r="BM133" s="14"/>
      <x:c r="BN133" s="14"/>
      <x:c r="BO133" s="14"/>
      <x:c r="BP133" s="14"/>
      <x:c r="BQ133" s="14"/>
      <x:c r="BR133" s="14"/>
      <x:c r="BS133" s="14"/>
      <x:c r="BT133" s="14"/>
      <x:c r="BU133" s="14"/>
      <x:c r="BV133" s="14"/>
      <x:c r="BW133" s="14"/>
      <x:c r="BX133" s="14"/>
      <x:c r="BY133" s="14"/>
      <x:c r="BZ133" s="14"/>
      <x:c r="CA133" s="14"/>
      <x:c r="CB133" s="14"/>
      <x:c r="CC133" s="14"/>
      <x:c r="CD133" s="14"/>
      <x:c r="CE133" s="14"/>
    </x:row>
    <x:row r="134">
      <x:c r="A134" s="14" t="n">
        <x:v>133</x:v>
      </x:c>
      <x:c r="B134" s="14"/>
      <x:c r="C134" s="14" t="str">
        <x:v>CHECKING_EVENT</x:v>
      </x:c>
      <x:c r="D134" s="14" t="str">
        <x:v>Exploratory_Checking_611_Positional_Surrogate.xlsx</x:v>
      </x:c>
      <x:c r="E134" s="14"/>
      <x:c r="F134" s="14"/>
      <x:c r="G134" s="14"/>
      <x:c r="H134" s="14"/>
      <x:c r="I134" s="14"/>
      <x:c r="J134" s="14"/>
      <x:c r="K134" s="14" t="str">
        <x:v>NEEDS_WINDOW_BINDING</x:v>
      </x:c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/>
      <x:c r="BC134" s="14"/>
      <x:c r="BD134" s="14"/>
      <x:c r="BE134" s="14"/>
      <x:c r="BF134" s="14"/>
      <x:c r="BG134" s="14"/>
      <x:c r="BH134" s="14"/>
      <x:c r="BI134" s="14"/>
      <x:c r="BJ134" s="14"/>
      <x:c r="BK134" s="14"/>
      <x:c r="BL134" s="14"/>
      <x:c r="BM134" s="14"/>
      <x:c r="BN134" s="14"/>
      <x:c r="BO134" s="14"/>
      <x:c r="BP134" s="14"/>
      <x:c r="BQ134" s="14"/>
      <x:c r="BR134" s="14"/>
      <x:c r="BS134" s="14"/>
      <x:c r="BT134" s="14"/>
      <x:c r="BU134" s="14"/>
      <x:c r="BV134" s="14"/>
      <x:c r="BW134" s="14"/>
      <x:c r="BX134" s="14"/>
      <x:c r="BY134" s="14"/>
      <x:c r="BZ134" s="14"/>
      <x:c r="CA134" s="14"/>
      <x:c r="CB134" s="14"/>
      <x:c r="CC134" s="14"/>
      <x:c r="CD134" s="14"/>
      <x:c r="CE134" s="14"/>
    </x:row>
    <x:row r="135">
      <x:c r="A135" s="14" t="n">
        <x:v>134</x:v>
      </x:c>
      <x:c r="B135" s="14"/>
      <x:c r="C135" s="14" t="str">
        <x:v>CHECKING_EVENT</x:v>
      </x:c>
      <x:c r="D135" s="14" t="str">
        <x:v>Exploratory_Checking_611_Positional_Surrogate.xlsx</x:v>
      </x:c>
      <x:c r="E135" s="14"/>
      <x:c r="F135" s="14"/>
      <x:c r="G135" s="14"/>
      <x:c r="H135" s="14"/>
      <x:c r="I135" s="14"/>
      <x:c r="J135" s="14"/>
      <x:c r="K135" s="14" t="str">
        <x:v>NEEDS_WINDOW_BINDING</x:v>
      </x:c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/>
      <x:c r="BC135" s="14"/>
      <x:c r="BD135" s="14"/>
      <x:c r="BE135" s="14"/>
      <x:c r="BF135" s="14"/>
      <x:c r="BG135" s="14"/>
      <x:c r="BH135" s="14"/>
      <x:c r="BI135" s="14"/>
      <x:c r="BJ135" s="14"/>
      <x:c r="BK135" s="14"/>
      <x:c r="BL135" s="14"/>
      <x:c r="BM135" s="14"/>
      <x:c r="BN135" s="14"/>
      <x:c r="BO135" s="14"/>
      <x:c r="BP135" s="14"/>
      <x:c r="BQ135" s="14"/>
      <x:c r="BR135" s="14"/>
      <x:c r="BS135" s="14"/>
      <x:c r="BT135" s="14"/>
      <x:c r="BU135" s="14"/>
      <x:c r="BV135" s="14"/>
      <x:c r="BW135" s="14"/>
      <x:c r="BX135" s="14"/>
      <x:c r="BY135" s="14"/>
      <x:c r="BZ135" s="14"/>
      <x:c r="CA135" s="14"/>
      <x:c r="CB135" s="14"/>
      <x:c r="CC135" s="14"/>
      <x:c r="CD135" s="14"/>
      <x:c r="CE135" s="14"/>
    </x:row>
    <x:row r="136">
      <x:c r="A136" s="14" t="n">
        <x:v>135</x:v>
      </x:c>
      <x:c r="B136" s="14"/>
      <x:c r="C136" s="14" t="str">
        <x:v>CHECKING_EVENT</x:v>
      </x:c>
      <x:c r="D136" s="14" t="str">
        <x:v>Exploratory_Checking_611_Positional_Surrogate.xlsx</x:v>
      </x:c>
      <x:c r="E136" s="14"/>
      <x:c r="F136" s="14"/>
      <x:c r="G136" s="14"/>
      <x:c r="H136" s="14"/>
      <x:c r="I136" s="14"/>
      <x:c r="J136" s="14"/>
      <x:c r="K136" s="14" t="str">
        <x:v>NEEDS_WINDOW_BINDING</x:v>
      </x:c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/>
      <x:c r="BC136" s="14"/>
      <x:c r="BD136" s="14"/>
      <x:c r="BE136" s="14"/>
      <x:c r="BF136" s="14"/>
      <x:c r="BG136" s="14"/>
      <x:c r="BH136" s="14"/>
      <x:c r="BI136" s="14"/>
      <x:c r="BJ136" s="14"/>
      <x:c r="BK136" s="14"/>
      <x:c r="BL136" s="14"/>
      <x:c r="BM136" s="14"/>
      <x:c r="BN136" s="14"/>
      <x:c r="BO136" s="14"/>
      <x:c r="BP136" s="14"/>
      <x:c r="BQ136" s="14"/>
      <x:c r="BR136" s="14"/>
      <x:c r="BS136" s="14"/>
      <x:c r="BT136" s="14"/>
      <x:c r="BU136" s="14"/>
      <x:c r="BV136" s="14"/>
      <x:c r="BW136" s="14"/>
      <x:c r="BX136" s="14"/>
      <x:c r="BY136" s="14"/>
      <x:c r="BZ136" s="14"/>
      <x:c r="CA136" s="14"/>
      <x:c r="CB136" s="14"/>
      <x:c r="CC136" s="14"/>
      <x:c r="CD136" s="14"/>
      <x:c r="CE136" s="14"/>
    </x:row>
    <x:row r="137">
      <x:c r="A137" s="14" t="n">
        <x:v>136</x:v>
      </x:c>
      <x:c r="B137" s="14"/>
      <x:c r="C137" s="14" t="str">
        <x:v>CHECKING_EVENT</x:v>
      </x:c>
      <x:c r="D137" s="14" t="str">
        <x:v>Exploratory_Checking_611_Positional_Surrogate.xlsx</x:v>
      </x:c>
      <x:c r="E137" s="14"/>
      <x:c r="F137" s="14"/>
      <x:c r="G137" s="14"/>
      <x:c r="H137" s="14"/>
      <x:c r="I137" s="14"/>
      <x:c r="J137" s="14"/>
      <x:c r="K137" s="14" t="str">
        <x:v>NEEDS_WINDOW_BINDING</x:v>
      </x:c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/>
      <x:c r="AC137" s="14"/>
      <x:c r="AD137" s="14"/>
      <x:c r="AE137" s="14"/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/>
      <x:c r="BC137" s="14"/>
      <x:c r="BD137" s="14"/>
      <x:c r="BE137" s="14"/>
      <x:c r="BF137" s="14"/>
      <x:c r="BG137" s="14"/>
      <x:c r="BH137" s="14"/>
      <x:c r="BI137" s="14"/>
      <x:c r="BJ137" s="14"/>
      <x:c r="BK137" s="14"/>
      <x:c r="BL137" s="14"/>
      <x:c r="BM137" s="14"/>
      <x:c r="BN137" s="14"/>
      <x:c r="BO137" s="14"/>
      <x:c r="BP137" s="14"/>
      <x:c r="BQ137" s="14"/>
      <x:c r="BR137" s="14"/>
      <x:c r="BS137" s="14"/>
      <x:c r="BT137" s="14"/>
      <x:c r="BU137" s="14"/>
      <x:c r="BV137" s="14"/>
      <x:c r="BW137" s="14"/>
      <x:c r="BX137" s="14"/>
      <x:c r="BY137" s="14"/>
      <x:c r="BZ137" s="14"/>
      <x:c r="CA137" s="14"/>
      <x:c r="CB137" s="14"/>
      <x:c r="CC137" s="14"/>
      <x:c r="CD137" s="14"/>
      <x:c r="CE137" s="14"/>
    </x:row>
    <x:row r="138">
      <x:c r="A138" s="14" t="n">
        <x:v>137</x:v>
      </x:c>
      <x:c r="B138" s="14"/>
      <x:c r="C138" s="14" t="str">
        <x:v>CHECKING_EVENT</x:v>
      </x:c>
      <x:c r="D138" s="14" t="str">
        <x:v>Exploratory_Checking_611_Positional_Surrogate.xlsx</x:v>
      </x:c>
      <x:c r="E138" s="14"/>
      <x:c r="F138" s="14"/>
      <x:c r="G138" s="14"/>
      <x:c r="H138" s="14"/>
      <x:c r="I138" s="14"/>
      <x:c r="J138" s="14"/>
      <x:c r="K138" s="14" t="str">
        <x:v>NEEDS_WINDOW_BINDING</x:v>
      </x:c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/>
      <x:c r="BC138" s="14"/>
      <x:c r="BD138" s="14"/>
      <x:c r="BE138" s="14"/>
      <x:c r="BF138" s="14"/>
      <x:c r="BG138" s="14"/>
      <x:c r="BH138" s="14"/>
      <x:c r="BI138" s="14"/>
      <x:c r="BJ138" s="14"/>
      <x:c r="BK138" s="14"/>
      <x:c r="BL138" s="14"/>
      <x:c r="BM138" s="14"/>
      <x:c r="BN138" s="14"/>
      <x:c r="BO138" s="14"/>
      <x:c r="BP138" s="14"/>
      <x:c r="BQ138" s="14"/>
      <x:c r="BR138" s="14"/>
      <x:c r="BS138" s="14"/>
      <x:c r="BT138" s="14"/>
      <x:c r="BU138" s="14"/>
      <x:c r="BV138" s="14"/>
      <x:c r="BW138" s="14"/>
      <x:c r="BX138" s="14"/>
      <x:c r="BY138" s="14"/>
      <x:c r="BZ138" s="14"/>
      <x:c r="CA138" s="14"/>
      <x:c r="CB138" s="14"/>
      <x:c r="CC138" s="14"/>
      <x:c r="CD138" s="14"/>
      <x:c r="CE138" s="14"/>
    </x:row>
    <x:row r="139">
      <x:c r="A139" s="14" t="n">
        <x:v>138</x:v>
      </x:c>
      <x:c r="B139" s="14"/>
      <x:c r="C139" s="14" t="str">
        <x:v>CHECKING_EVENT</x:v>
      </x:c>
      <x:c r="D139" s="14" t="str">
        <x:v>Exploratory_Checking_611_Positional_Surrogate.xlsx</x:v>
      </x:c>
      <x:c r="E139" s="14"/>
      <x:c r="F139" s="14"/>
      <x:c r="G139" s="14"/>
      <x:c r="H139" s="14"/>
      <x:c r="I139" s="14"/>
      <x:c r="J139" s="14"/>
      <x:c r="K139" s="14" t="str">
        <x:v>NEEDS_WINDOW_BINDING</x:v>
      </x:c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  <x:c r="AC139" s="14"/>
      <x:c r="AD139" s="14"/>
      <x:c r="AE139" s="14"/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/>
      <x:c r="BC139" s="14"/>
      <x:c r="BD139" s="14"/>
      <x:c r="BE139" s="14"/>
      <x:c r="BF139" s="14"/>
      <x:c r="BG139" s="14"/>
      <x:c r="BH139" s="14"/>
      <x:c r="BI139" s="14"/>
      <x:c r="BJ139" s="14"/>
      <x:c r="BK139" s="14"/>
      <x:c r="BL139" s="14"/>
      <x:c r="BM139" s="14"/>
      <x:c r="BN139" s="14"/>
      <x:c r="BO139" s="14"/>
      <x:c r="BP139" s="14"/>
      <x:c r="BQ139" s="14"/>
      <x:c r="BR139" s="14"/>
      <x:c r="BS139" s="14"/>
      <x:c r="BT139" s="14"/>
      <x:c r="BU139" s="14"/>
      <x:c r="BV139" s="14"/>
      <x:c r="BW139" s="14"/>
      <x:c r="BX139" s="14"/>
      <x:c r="BY139" s="14"/>
      <x:c r="BZ139" s="14"/>
      <x:c r="CA139" s="14"/>
      <x:c r="CB139" s="14"/>
      <x:c r="CC139" s="14"/>
      <x:c r="CD139" s="14"/>
      <x:c r="CE139" s="14"/>
    </x:row>
    <x:row r="140">
      <x:c r="A140" s="14" t="n">
        <x:v>139</x:v>
      </x:c>
      <x:c r="B140" s="14"/>
      <x:c r="C140" s="14" t="str">
        <x:v>CHECKING_EVENT</x:v>
      </x:c>
      <x:c r="D140" s="14" t="str">
        <x:v>Exploratory_Checking_611_Positional_Surrogate.xlsx</x:v>
      </x:c>
      <x:c r="E140" s="14"/>
      <x:c r="F140" s="14"/>
      <x:c r="G140" s="14"/>
      <x:c r="H140" s="14"/>
      <x:c r="I140" s="14"/>
      <x:c r="J140" s="14"/>
      <x:c r="K140" s="14" t="str">
        <x:v>NEEDS_WINDOW_BINDING</x:v>
      </x:c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/>
      <x:c r="AC140" s="14"/>
      <x:c r="AD140" s="14"/>
      <x:c r="AE140" s="14"/>
      <x:c r="AF140" s="14"/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/>
      <x:c r="BC140" s="14"/>
      <x:c r="BD140" s="14"/>
      <x:c r="BE140" s="14"/>
      <x:c r="BF140" s="14"/>
      <x:c r="BG140" s="14"/>
      <x:c r="BH140" s="14"/>
      <x:c r="BI140" s="14"/>
      <x:c r="BJ140" s="14"/>
      <x:c r="BK140" s="14"/>
      <x:c r="BL140" s="14"/>
      <x:c r="BM140" s="14"/>
      <x:c r="BN140" s="14"/>
      <x:c r="BO140" s="14"/>
      <x:c r="BP140" s="14"/>
      <x:c r="BQ140" s="14"/>
      <x:c r="BR140" s="14"/>
      <x:c r="BS140" s="14"/>
      <x:c r="BT140" s="14"/>
      <x:c r="BU140" s="14"/>
      <x:c r="BV140" s="14"/>
      <x:c r="BW140" s="14"/>
      <x:c r="BX140" s="14"/>
      <x:c r="BY140" s="14"/>
      <x:c r="BZ140" s="14"/>
      <x:c r="CA140" s="14"/>
      <x:c r="CB140" s="14"/>
      <x:c r="CC140" s="14"/>
      <x:c r="CD140" s="14"/>
      <x:c r="CE140" s="14"/>
    </x:row>
    <x:row r="141">
      <x:c r="A141" s="14" t="n">
        <x:v>140</x:v>
      </x:c>
      <x:c r="B141" s="14"/>
      <x:c r="C141" s="14" t="str">
        <x:v>CHECKING_EVENT</x:v>
      </x:c>
      <x:c r="D141" s="14" t="str">
        <x:v>Exploratory_Checking_611_Positional_Surrogate.xlsx</x:v>
      </x:c>
      <x:c r="E141" s="14"/>
      <x:c r="F141" s="14"/>
      <x:c r="G141" s="14"/>
      <x:c r="H141" s="14"/>
      <x:c r="I141" s="14"/>
      <x:c r="J141" s="14"/>
      <x:c r="K141" s="14" t="str">
        <x:v>NEEDS_WINDOW_BINDING</x:v>
      </x:c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/>
      <x:c r="BC141" s="14"/>
      <x:c r="BD141" s="14"/>
      <x:c r="BE141" s="14"/>
      <x:c r="BF141" s="14"/>
      <x:c r="BG141" s="14"/>
      <x:c r="BH141" s="14"/>
      <x:c r="BI141" s="14"/>
      <x:c r="BJ141" s="14"/>
      <x:c r="BK141" s="14"/>
      <x:c r="BL141" s="14"/>
      <x:c r="BM141" s="14"/>
      <x:c r="BN141" s="14"/>
      <x:c r="BO141" s="14"/>
      <x:c r="BP141" s="14"/>
      <x:c r="BQ141" s="14"/>
      <x:c r="BR141" s="14"/>
      <x:c r="BS141" s="14"/>
      <x:c r="BT141" s="14"/>
      <x:c r="BU141" s="14"/>
      <x:c r="BV141" s="14"/>
      <x:c r="BW141" s="14"/>
      <x:c r="BX141" s="14"/>
      <x:c r="BY141" s="14"/>
      <x:c r="BZ141" s="14"/>
      <x:c r="CA141" s="14"/>
      <x:c r="CB141" s="14"/>
      <x:c r="CC141" s="14"/>
      <x:c r="CD141" s="14"/>
      <x:c r="CE141" s="14"/>
    </x:row>
    <x:row r="142">
      <x:c r="A142" s="14" t="n">
        <x:v>141</x:v>
      </x:c>
      <x:c r="B142" s="14"/>
      <x:c r="C142" s="14" t="str">
        <x:v>CHECKING_EVENT</x:v>
      </x:c>
      <x:c r="D142" s="14" t="str">
        <x:v>Exploratory_Checking_611_Positional_Surrogate.xlsx</x:v>
      </x:c>
      <x:c r="E142" s="14"/>
      <x:c r="F142" s="14"/>
      <x:c r="G142" s="14"/>
      <x:c r="H142" s="14"/>
      <x:c r="I142" s="14"/>
      <x:c r="J142" s="14"/>
      <x:c r="K142" s="14" t="str">
        <x:v>NEEDS_WINDOW_BINDING</x:v>
      </x:c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/>
      <x:c r="BC142" s="14"/>
      <x:c r="BD142" s="14"/>
      <x:c r="BE142" s="14"/>
      <x:c r="BF142" s="14"/>
      <x:c r="BG142" s="14"/>
      <x:c r="BH142" s="14"/>
      <x:c r="BI142" s="14"/>
      <x:c r="BJ142" s="14"/>
      <x:c r="BK142" s="14"/>
      <x:c r="BL142" s="14"/>
      <x:c r="BM142" s="14"/>
      <x:c r="BN142" s="14"/>
      <x:c r="BO142" s="14"/>
      <x:c r="BP142" s="14"/>
      <x:c r="BQ142" s="14"/>
      <x:c r="BR142" s="14"/>
      <x:c r="BS142" s="14"/>
      <x:c r="BT142" s="14"/>
      <x:c r="BU142" s="14"/>
      <x:c r="BV142" s="14"/>
      <x:c r="BW142" s="14"/>
      <x:c r="BX142" s="14"/>
      <x:c r="BY142" s="14"/>
      <x:c r="BZ142" s="14"/>
      <x:c r="CA142" s="14"/>
      <x:c r="CB142" s="14"/>
      <x:c r="CC142" s="14"/>
      <x:c r="CD142" s="14"/>
      <x:c r="CE142" s="14"/>
    </x:row>
    <x:row r="143">
      <x:c r="A143" s="14" t="n">
        <x:v>142</x:v>
      </x:c>
      <x:c r="B143" s="14"/>
      <x:c r="C143" s="14" t="str">
        <x:v>CHECKING_EVENT</x:v>
      </x:c>
      <x:c r="D143" s="14" t="str">
        <x:v>Exploratory_Checking_611_Positional_Surrogate.xlsx</x:v>
      </x:c>
      <x:c r="E143" s="14"/>
      <x:c r="F143" s="14"/>
      <x:c r="G143" s="14"/>
      <x:c r="H143" s="14"/>
      <x:c r="I143" s="14"/>
      <x:c r="J143" s="14"/>
      <x:c r="K143" s="14" t="str">
        <x:v>NEEDS_WINDOW_BINDING</x:v>
      </x:c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/>
      <x:c r="AC143" s="14"/>
      <x:c r="AD143" s="14"/>
      <x:c r="AE143" s="14"/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/>
      <x:c r="BC143" s="14"/>
      <x:c r="BD143" s="14"/>
      <x:c r="BE143" s="14"/>
      <x:c r="BF143" s="14"/>
      <x:c r="BG143" s="14"/>
      <x:c r="BH143" s="14"/>
      <x:c r="BI143" s="14"/>
      <x:c r="BJ143" s="14"/>
      <x:c r="BK143" s="14"/>
      <x:c r="BL143" s="14"/>
      <x:c r="BM143" s="14"/>
      <x:c r="BN143" s="14"/>
      <x:c r="BO143" s="14"/>
      <x:c r="BP143" s="14"/>
      <x:c r="BQ143" s="14"/>
      <x:c r="BR143" s="14"/>
      <x:c r="BS143" s="14"/>
      <x:c r="BT143" s="14"/>
      <x:c r="BU143" s="14"/>
      <x:c r="BV143" s="14"/>
      <x:c r="BW143" s="14"/>
      <x:c r="BX143" s="14"/>
      <x:c r="BY143" s="14"/>
      <x:c r="BZ143" s="14"/>
      <x:c r="CA143" s="14"/>
      <x:c r="CB143" s="14"/>
      <x:c r="CC143" s="14"/>
      <x:c r="CD143" s="14"/>
      <x:c r="CE143" s="14"/>
    </x:row>
    <x:row r="144">
      <x:c r="A144" s="14" t="n">
        <x:v>143</x:v>
      </x:c>
      <x:c r="B144" s="14"/>
      <x:c r="C144" s="14" t="str">
        <x:v>CHECKING_EVENT</x:v>
      </x:c>
      <x:c r="D144" s="14" t="str">
        <x:v>Exploratory_Checking_611_Positional_Surrogate.xlsx</x:v>
      </x:c>
      <x:c r="E144" s="14"/>
      <x:c r="F144" s="14"/>
      <x:c r="G144" s="14"/>
      <x:c r="H144" s="14"/>
      <x:c r="I144" s="14"/>
      <x:c r="J144" s="14"/>
      <x:c r="K144" s="14" t="str">
        <x:v>NEEDS_WINDOW_BINDING</x:v>
      </x:c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/>
      <x:c r="BC144" s="14"/>
      <x:c r="BD144" s="14"/>
      <x:c r="BE144" s="14"/>
      <x:c r="BF144" s="14"/>
      <x:c r="BG144" s="14"/>
      <x:c r="BH144" s="14"/>
      <x:c r="BI144" s="14"/>
      <x:c r="BJ144" s="14"/>
      <x:c r="BK144" s="14"/>
      <x:c r="BL144" s="14"/>
      <x:c r="BM144" s="14"/>
      <x:c r="BN144" s="14"/>
      <x:c r="BO144" s="14"/>
      <x:c r="BP144" s="14"/>
      <x:c r="BQ144" s="14"/>
      <x:c r="BR144" s="14"/>
      <x:c r="BS144" s="14"/>
      <x:c r="BT144" s="14"/>
      <x:c r="BU144" s="14"/>
      <x:c r="BV144" s="14"/>
      <x:c r="BW144" s="14"/>
      <x:c r="BX144" s="14"/>
      <x:c r="BY144" s="14"/>
      <x:c r="BZ144" s="14"/>
      <x:c r="CA144" s="14"/>
      <x:c r="CB144" s="14"/>
      <x:c r="CC144" s="14"/>
      <x:c r="CD144" s="14"/>
      <x:c r="CE144" s="14"/>
    </x:row>
    <x:row r="145">
      <x:c r="A145" s="14" t="n">
        <x:v>144</x:v>
      </x:c>
      <x:c r="B145" s="14"/>
      <x:c r="C145" s="14" t="str">
        <x:v>CHECKING_EVENT</x:v>
      </x:c>
      <x:c r="D145" s="14" t="str">
        <x:v>Exploratory_Checking_611_Positional_Surrogate.xlsx</x:v>
      </x:c>
      <x:c r="E145" s="14"/>
      <x:c r="F145" s="14"/>
      <x:c r="G145" s="14"/>
      <x:c r="H145" s="14"/>
      <x:c r="I145" s="14"/>
      <x:c r="J145" s="14"/>
      <x:c r="K145" s="14" t="str">
        <x:v>NEEDS_WINDOW_BINDING</x:v>
      </x:c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/>
      <x:c r="BC145" s="14"/>
      <x:c r="BD145" s="14"/>
      <x:c r="BE145" s="14"/>
      <x:c r="BF145" s="14"/>
      <x:c r="BG145" s="14"/>
      <x:c r="BH145" s="14"/>
      <x:c r="BI145" s="14"/>
      <x:c r="BJ145" s="14"/>
      <x:c r="BK145" s="14"/>
      <x:c r="BL145" s="14"/>
      <x:c r="BM145" s="14"/>
      <x:c r="BN145" s="14"/>
      <x:c r="BO145" s="14"/>
      <x:c r="BP145" s="14"/>
      <x:c r="BQ145" s="14"/>
      <x:c r="BR145" s="14"/>
      <x:c r="BS145" s="14"/>
      <x:c r="BT145" s="14"/>
      <x:c r="BU145" s="14"/>
      <x:c r="BV145" s="14"/>
      <x:c r="BW145" s="14"/>
      <x:c r="BX145" s="14"/>
      <x:c r="BY145" s="14"/>
      <x:c r="BZ145" s="14"/>
      <x:c r="CA145" s="14"/>
      <x:c r="CB145" s="14"/>
      <x:c r="CC145" s="14"/>
      <x:c r="CD145" s="14"/>
      <x:c r="CE145" s="14"/>
    </x:row>
    <x:row r="146">
      <x:c r="A146" s="14" t="n">
        <x:v>145</x:v>
      </x:c>
      <x:c r="B146" s="14"/>
      <x:c r="C146" s="14" t="str">
        <x:v>CHECKING_EVENT</x:v>
      </x:c>
      <x:c r="D146" s="14" t="str">
        <x:v>Exploratory_Checking_611_Positional_Surrogate.xlsx</x:v>
      </x:c>
      <x:c r="E146" s="14"/>
      <x:c r="F146" s="14"/>
      <x:c r="G146" s="14"/>
      <x:c r="H146" s="14"/>
      <x:c r="I146" s="14"/>
      <x:c r="J146" s="14"/>
      <x:c r="K146" s="14" t="str">
        <x:v>NEEDS_WINDOW_BINDING</x:v>
      </x:c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/>
      <x:c r="AC146" s="14"/>
      <x:c r="AD146" s="14"/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/>
      <x:c r="BC146" s="14"/>
      <x:c r="BD146" s="14"/>
      <x:c r="BE146" s="14"/>
      <x:c r="BF146" s="14"/>
      <x:c r="BG146" s="14"/>
      <x:c r="BH146" s="14"/>
      <x:c r="BI146" s="14"/>
      <x:c r="BJ146" s="14"/>
      <x:c r="BK146" s="14"/>
      <x:c r="BL146" s="14"/>
      <x:c r="BM146" s="14"/>
      <x:c r="BN146" s="14"/>
      <x:c r="BO146" s="14"/>
      <x:c r="BP146" s="14"/>
      <x:c r="BQ146" s="14"/>
      <x:c r="BR146" s="14"/>
      <x:c r="BS146" s="14"/>
      <x:c r="BT146" s="14"/>
      <x:c r="BU146" s="14"/>
      <x:c r="BV146" s="14"/>
      <x:c r="BW146" s="14"/>
      <x:c r="BX146" s="14"/>
      <x:c r="BY146" s="14"/>
      <x:c r="BZ146" s="14"/>
      <x:c r="CA146" s="14"/>
      <x:c r="CB146" s="14"/>
      <x:c r="CC146" s="14"/>
      <x:c r="CD146" s="14"/>
      <x:c r="CE146" s="14"/>
    </x:row>
    <x:row r="147">
      <x:c r="A147" s="14" t="n">
        <x:v>146</x:v>
      </x:c>
      <x:c r="B147" s="14"/>
      <x:c r="C147" s="14" t="str">
        <x:v>CHECKING_EVENT</x:v>
      </x:c>
      <x:c r="D147" s="14" t="str">
        <x:v>Exploratory_Checking_611_Positional_Surrogate.xlsx</x:v>
      </x:c>
      <x:c r="E147" s="14"/>
      <x:c r="F147" s="14"/>
      <x:c r="G147" s="14"/>
      <x:c r="H147" s="14"/>
      <x:c r="I147" s="14"/>
      <x:c r="J147" s="14"/>
      <x:c r="K147" s="14" t="str">
        <x:v>NEEDS_WINDOW_BINDING</x:v>
      </x:c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/>
      <x:c r="BC147" s="14"/>
      <x:c r="BD147" s="14"/>
      <x:c r="BE147" s="14"/>
      <x:c r="BF147" s="14"/>
      <x:c r="BG147" s="14"/>
      <x:c r="BH147" s="14"/>
      <x:c r="BI147" s="14"/>
      <x:c r="BJ147" s="14"/>
      <x:c r="BK147" s="14"/>
      <x:c r="BL147" s="14"/>
      <x:c r="BM147" s="14"/>
      <x:c r="BN147" s="14"/>
      <x:c r="BO147" s="14"/>
      <x:c r="BP147" s="14"/>
      <x:c r="BQ147" s="14"/>
      <x:c r="BR147" s="14"/>
      <x:c r="BS147" s="14"/>
      <x:c r="BT147" s="14"/>
      <x:c r="BU147" s="14"/>
      <x:c r="BV147" s="14"/>
      <x:c r="BW147" s="14"/>
      <x:c r="BX147" s="14"/>
      <x:c r="BY147" s="14"/>
      <x:c r="BZ147" s="14"/>
      <x:c r="CA147" s="14"/>
      <x:c r="CB147" s="14"/>
      <x:c r="CC147" s="14"/>
      <x:c r="CD147" s="14"/>
      <x:c r="CE147" s="14"/>
    </x:row>
    <x:row r="148">
      <x:c r="A148" s="14" t="n">
        <x:v>147</x:v>
      </x:c>
      <x:c r="B148" s="14"/>
      <x:c r="C148" s="14" t="str">
        <x:v>CHECKING_EVENT</x:v>
      </x:c>
      <x:c r="D148" s="14" t="str">
        <x:v>Exploratory_Checking_611_Positional_Surrogate.xlsx</x:v>
      </x:c>
      <x:c r="E148" s="14"/>
      <x:c r="F148" s="14"/>
      <x:c r="G148" s="14"/>
      <x:c r="H148" s="14"/>
      <x:c r="I148" s="14"/>
      <x:c r="J148" s="14"/>
      <x:c r="K148" s="14" t="str">
        <x:v>NEEDS_WINDOW_BINDING</x:v>
      </x:c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/>
      <x:c r="BC148" s="14"/>
      <x:c r="BD148" s="14"/>
      <x:c r="BE148" s="14"/>
      <x:c r="BF148" s="14"/>
      <x:c r="BG148" s="14"/>
      <x:c r="BH148" s="14"/>
      <x:c r="BI148" s="14"/>
      <x:c r="BJ148" s="14"/>
      <x:c r="BK148" s="14"/>
      <x:c r="BL148" s="14"/>
      <x:c r="BM148" s="14"/>
      <x:c r="BN148" s="14"/>
      <x:c r="BO148" s="14"/>
      <x:c r="BP148" s="14"/>
      <x:c r="BQ148" s="14"/>
      <x:c r="BR148" s="14"/>
      <x:c r="BS148" s="14"/>
      <x:c r="BT148" s="14"/>
      <x:c r="BU148" s="14"/>
      <x:c r="BV148" s="14"/>
      <x:c r="BW148" s="14"/>
      <x:c r="BX148" s="14"/>
      <x:c r="BY148" s="14"/>
      <x:c r="BZ148" s="14"/>
      <x:c r="CA148" s="14"/>
      <x:c r="CB148" s="14"/>
      <x:c r="CC148" s="14"/>
      <x:c r="CD148" s="14"/>
      <x:c r="CE148" s="14"/>
    </x:row>
    <x:row r="149">
      <x:c r="A149" s="14" t="n">
        <x:v>148</x:v>
      </x:c>
      <x:c r="B149" s="14"/>
      <x:c r="C149" s="14" t="str">
        <x:v>CHECKING_EVENT</x:v>
      </x:c>
      <x:c r="D149" s="14" t="str">
        <x:v>Exploratory_Checking_611_Positional_Surrogate.xlsx</x:v>
      </x:c>
      <x:c r="E149" s="14"/>
      <x:c r="F149" s="14"/>
      <x:c r="G149" s="14"/>
      <x:c r="H149" s="14"/>
      <x:c r="I149" s="14"/>
      <x:c r="J149" s="14"/>
      <x:c r="K149" s="14" t="str">
        <x:v>NEEDS_WINDOW_BINDING</x:v>
      </x:c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/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/>
      <x:c r="BC149" s="14"/>
      <x:c r="BD149" s="14"/>
      <x:c r="BE149" s="14"/>
      <x:c r="BF149" s="14"/>
      <x:c r="BG149" s="14"/>
      <x:c r="BH149" s="14"/>
      <x:c r="BI149" s="14"/>
      <x:c r="BJ149" s="14"/>
      <x:c r="BK149" s="14"/>
      <x:c r="BL149" s="14"/>
      <x:c r="BM149" s="14"/>
      <x:c r="BN149" s="14"/>
      <x:c r="BO149" s="14"/>
      <x:c r="BP149" s="14"/>
      <x:c r="BQ149" s="14"/>
      <x:c r="BR149" s="14"/>
      <x:c r="BS149" s="14"/>
      <x:c r="BT149" s="14"/>
      <x:c r="BU149" s="14"/>
      <x:c r="BV149" s="14"/>
      <x:c r="BW149" s="14"/>
      <x:c r="BX149" s="14"/>
      <x:c r="BY149" s="14"/>
      <x:c r="BZ149" s="14"/>
      <x:c r="CA149" s="14"/>
      <x:c r="CB149" s="14"/>
      <x:c r="CC149" s="14"/>
      <x:c r="CD149" s="14"/>
      <x:c r="CE149" s="14"/>
    </x:row>
    <x:row r="150">
      <x:c r="A150" s="14" t="n">
        <x:v>149</x:v>
      </x:c>
      <x:c r="B150" s="14"/>
      <x:c r="C150" s="14" t="str">
        <x:v>CHECKING_EVENT</x:v>
      </x:c>
      <x:c r="D150" s="14" t="str">
        <x:v>Exploratory_Checking_611_Positional_Surrogate.xlsx</x:v>
      </x:c>
      <x:c r="E150" s="14"/>
      <x:c r="F150" s="14"/>
      <x:c r="G150" s="14"/>
      <x:c r="H150" s="14"/>
      <x:c r="I150" s="14"/>
      <x:c r="J150" s="14"/>
      <x:c r="K150" s="14" t="str">
        <x:v>NEEDS_WINDOW_BINDING</x:v>
      </x:c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/>
      <x:c r="AC150" s="14"/>
      <x:c r="AD150" s="14"/>
      <x:c r="AE150" s="14"/>
      <x:c r="AF150" s="14"/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/>
      <x:c r="BC150" s="14"/>
      <x:c r="BD150" s="14"/>
      <x:c r="BE150" s="14"/>
      <x:c r="BF150" s="14"/>
      <x:c r="BG150" s="14"/>
      <x:c r="BH150" s="14"/>
      <x:c r="BI150" s="14"/>
      <x:c r="BJ150" s="14"/>
      <x:c r="BK150" s="14"/>
      <x:c r="BL150" s="14"/>
      <x:c r="BM150" s="14"/>
      <x:c r="BN150" s="14"/>
      <x:c r="BO150" s="14"/>
      <x:c r="BP150" s="14"/>
      <x:c r="BQ150" s="14"/>
      <x:c r="BR150" s="14"/>
      <x:c r="BS150" s="14"/>
      <x:c r="BT150" s="14"/>
      <x:c r="BU150" s="14"/>
      <x:c r="BV150" s="14"/>
      <x:c r="BW150" s="14"/>
      <x:c r="BX150" s="14"/>
      <x:c r="BY150" s="14"/>
      <x:c r="BZ150" s="14"/>
      <x:c r="CA150" s="14"/>
      <x:c r="CB150" s="14"/>
      <x:c r="CC150" s="14"/>
      <x:c r="CD150" s="14"/>
      <x:c r="CE150" s="14"/>
    </x:row>
    <x:row r="151">
      <x:c r="A151" s="14" t="n">
        <x:v>150</x:v>
      </x:c>
      <x:c r="B151" s="14"/>
      <x:c r="C151" s="14" t="str">
        <x:v>CHECKING_EVENT</x:v>
      </x:c>
      <x:c r="D151" s="14" t="str">
        <x:v>Exploratory_Checking_611_Positional_Surrogate.xlsx</x:v>
      </x:c>
      <x:c r="E151" s="14"/>
      <x:c r="F151" s="14"/>
      <x:c r="G151" s="14"/>
      <x:c r="H151" s="14"/>
      <x:c r="I151" s="14"/>
      <x:c r="J151" s="14"/>
      <x:c r="K151" s="14" t="str">
        <x:v>NEEDS_WINDOW_BINDING</x:v>
      </x:c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/>
      <x:c r="AC151" s="14"/>
      <x:c r="AD151" s="14"/>
      <x:c r="AE151" s="14"/>
      <x:c r="AF151" s="14"/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/>
      <x:c r="BC151" s="14"/>
      <x:c r="BD151" s="14"/>
      <x:c r="BE151" s="14"/>
      <x:c r="BF151" s="14"/>
      <x:c r="BG151" s="14"/>
      <x:c r="BH151" s="14"/>
      <x:c r="BI151" s="14"/>
      <x:c r="BJ151" s="14"/>
      <x:c r="BK151" s="14"/>
      <x:c r="BL151" s="14"/>
      <x:c r="BM151" s="14"/>
      <x:c r="BN151" s="14"/>
      <x:c r="BO151" s="14"/>
      <x:c r="BP151" s="14"/>
      <x:c r="BQ151" s="14"/>
      <x:c r="BR151" s="14"/>
      <x:c r="BS151" s="14"/>
      <x:c r="BT151" s="14"/>
      <x:c r="BU151" s="14"/>
      <x:c r="BV151" s="14"/>
      <x:c r="BW151" s="14"/>
      <x:c r="BX151" s="14"/>
      <x:c r="BY151" s="14"/>
      <x:c r="BZ151" s="14"/>
      <x:c r="CA151" s="14"/>
      <x:c r="CB151" s="14"/>
      <x:c r="CC151" s="14"/>
      <x:c r="CD151" s="14"/>
      <x:c r="CE151" s="14"/>
    </x:row>
    <x:row r="152">
      <x:c r="A152" s="14" t="n">
        <x:v>151</x:v>
      </x:c>
      <x:c r="B152" s="14"/>
      <x:c r="C152" s="14" t="str">
        <x:v>CHECKING_EVENT</x:v>
      </x:c>
      <x:c r="D152" s="14" t="str">
        <x:v>Exploratory_Checking_611_Positional_Surrogate.xlsx</x:v>
      </x:c>
      <x:c r="E152" s="14"/>
      <x:c r="F152" s="14"/>
      <x:c r="G152" s="14"/>
      <x:c r="H152" s="14"/>
      <x:c r="I152" s="14"/>
      <x:c r="J152" s="14"/>
      <x:c r="K152" s="14" t="str">
        <x:v>NEEDS_WINDOW_BINDING</x:v>
      </x:c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/>
      <x:c r="AC152" s="14"/>
      <x:c r="AD152" s="14"/>
      <x:c r="AE152" s="14"/>
      <x:c r="AF152" s="14"/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/>
      <x:c r="BC152" s="14"/>
      <x:c r="BD152" s="14"/>
      <x:c r="BE152" s="14"/>
      <x:c r="BF152" s="14"/>
      <x:c r="BG152" s="14"/>
      <x:c r="BH152" s="14"/>
      <x:c r="BI152" s="14"/>
      <x:c r="BJ152" s="14"/>
      <x:c r="BK152" s="14"/>
      <x:c r="BL152" s="14"/>
      <x:c r="BM152" s="14"/>
      <x:c r="BN152" s="14"/>
      <x:c r="BO152" s="14"/>
      <x:c r="BP152" s="14"/>
      <x:c r="BQ152" s="14"/>
      <x:c r="BR152" s="14"/>
      <x:c r="BS152" s="14"/>
      <x:c r="BT152" s="14"/>
      <x:c r="BU152" s="14"/>
      <x:c r="BV152" s="14"/>
      <x:c r="BW152" s="14"/>
      <x:c r="BX152" s="14"/>
      <x:c r="BY152" s="14"/>
      <x:c r="BZ152" s="14"/>
      <x:c r="CA152" s="14"/>
      <x:c r="CB152" s="14"/>
      <x:c r="CC152" s="14"/>
      <x:c r="CD152" s="14"/>
      <x:c r="CE152" s="14"/>
    </x:row>
    <x:row r="153">
      <x:c r="A153" s="14" t="n">
        <x:v>152</x:v>
      </x:c>
      <x:c r="B153" s="14"/>
      <x:c r="C153" s="14" t="str">
        <x:v>CHECKING_EVENT</x:v>
      </x:c>
      <x:c r="D153" s="14" t="str">
        <x:v>Exploratory_Checking_611_Positional_Surrogate.xlsx</x:v>
      </x:c>
      <x:c r="E153" s="14"/>
      <x:c r="F153" s="14"/>
      <x:c r="G153" s="14"/>
      <x:c r="H153" s="14"/>
      <x:c r="I153" s="14"/>
      <x:c r="J153" s="14"/>
      <x:c r="K153" s="14" t="str">
        <x:v>NEEDS_WINDOW_BINDING</x:v>
      </x:c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/>
      <x:c r="AC153" s="14"/>
      <x:c r="AD153" s="14"/>
      <x:c r="AE153" s="14"/>
      <x:c r="AF153" s="14"/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/>
      <x:c r="BC153" s="14"/>
      <x:c r="BD153" s="14"/>
      <x:c r="BE153" s="14"/>
      <x:c r="BF153" s="14"/>
      <x:c r="BG153" s="14"/>
      <x:c r="BH153" s="14"/>
      <x:c r="BI153" s="14"/>
      <x:c r="BJ153" s="14"/>
      <x:c r="BK153" s="14"/>
      <x:c r="BL153" s="14"/>
      <x:c r="BM153" s="14"/>
      <x:c r="BN153" s="14"/>
      <x:c r="BO153" s="14"/>
      <x:c r="BP153" s="14"/>
      <x:c r="BQ153" s="14"/>
      <x:c r="BR153" s="14"/>
      <x:c r="BS153" s="14"/>
      <x:c r="BT153" s="14"/>
      <x:c r="BU153" s="14"/>
      <x:c r="BV153" s="14"/>
      <x:c r="BW153" s="14"/>
      <x:c r="BX153" s="14"/>
      <x:c r="BY153" s="14"/>
      <x:c r="BZ153" s="14"/>
      <x:c r="CA153" s="14"/>
      <x:c r="CB153" s="14"/>
      <x:c r="CC153" s="14"/>
      <x:c r="CD153" s="14"/>
      <x:c r="CE153" s="14"/>
    </x:row>
    <x:row r="154">
      <x:c r="A154" s="14" t="n">
        <x:v>153</x:v>
      </x:c>
      <x:c r="B154" s="14"/>
      <x:c r="C154" s="14" t="str">
        <x:v>CHECKING_EVENT</x:v>
      </x:c>
      <x:c r="D154" s="14" t="str">
        <x:v>Exploratory_Checking_611_Positional_Surrogate.xlsx</x:v>
      </x:c>
      <x:c r="E154" s="14"/>
      <x:c r="F154" s="14"/>
      <x:c r="G154" s="14"/>
      <x:c r="H154" s="14"/>
      <x:c r="I154" s="14"/>
      <x:c r="J154" s="14"/>
      <x:c r="K154" s="14" t="str">
        <x:v>NEEDS_WINDOW_BINDING</x:v>
      </x:c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/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/>
      <x:c r="BC154" s="14"/>
      <x:c r="BD154" s="14"/>
      <x:c r="BE154" s="14"/>
      <x:c r="BF154" s="14"/>
      <x:c r="BG154" s="14"/>
      <x:c r="BH154" s="14"/>
      <x:c r="BI154" s="14"/>
      <x:c r="BJ154" s="14"/>
      <x:c r="BK154" s="14"/>
      <x:c r="BL154" s="14"/>
      <x:c r="BM154" s="14"/>
      <x:c r="BN154" s="14"/>
      <x:c r="BO154" s="14"/>
      <x:c r="BP154" s="14"/>
      <x:c r="BQ154" s="14"/>
      <x:c r="BR154" s="14"/>
      <x:c r="BS154" s="14"/>
      <x:c r="BT154" s="14"/>
      <x:c r="BU154" s="14"/>
      <x:c r="BV154" s="14"/>
      <x:c r="BW154" s="14"/>
      <x:c r="BX154" s="14"/>
      <x:c r="BY154" s="14"/>
      <x:c r="BZ154" s="14"/>
      <x:c r="CA154" s="14"/>
      <x:c r="CB154" s="14"/>
      <x:c r="CC154" s="14"/>
      <x:c r="CD154" s="14"/>
      <x:c r="CE154" s="14"/>
    </x:row>
    <x:row r="155">
      <x:c r="A155" s="14" t="n">
        <x:v>154</x:v>
      </x:c>
      <x:c r="B155" s="14"/>
      <x:c r="C155" s="14" t="str">
        <x:v>CHECKING_EVENT</x:v>
      </x:c>
      <x:c r="D155" s="14" t="str">
        <x:v>Exploratory_Checking_611_Positional_Surrogate.xlsx</x:v>
      </x:c>
      <x:c r="E155" s="14"/>
      <x:c r="F155" s="14"/>
      <x:c r="G155" s="14"/>
      <x:c r="H155" s="14"/>
      <x:c r="I155" s="14"/>
      <x:c r="J155" s="14"/>
      <x:c r="K155" s="14" t="str">
        <x:v>NEEDS_WINDOW_BINDING</x:v>
      </x:c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/>
      <x:c r="AC155" s="14"/>
      <x:c r="AD155" s="14"/>
      <x:c r="AE155" s="14"/>
      <x:c r="AF155" s="14"/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/>
      <x:c r="BC155" s="14"/>
      <x:c r="BD155" s="14"/>
      <x:c r="BE155" s="14"/>
      <x:c r="BF155" s="14"/>
      <x:c r="BG155" s="14"/>
      <x:c r="BH155" s="14"/>
      <x:c r="BI155" s="14"/>
      <x:c r="BJ155" s="14"/>
      <x:c r="BK155" s="14"/>
      <x:c r="BL155" s="14"/>
      <x:c r="BM155" s="14"/>
      <x:c r="BN155" s="14"/>
      <x:c r="BO155" s="14"/>
      <x:c r="BP155" s="14"/>
      <x:c r="BQ155" s="14"/>
      <x:c r="BR155" s="14"/>
      <x:c r="BS155" s="14"/>
      <x:c r="BT155" s="14"/>
      <x:c r="BU155" s="14"/>
      <x:c r="BV155" s="14"/>
      <x:c r="BW155" s="14"/>
      <x:c r="BX155" s="14"/>
      <x:c r="BY155" s="14"/>
      <x:c r="BZ155" s="14"/>
      <x:c r="CA155" s="14"/>
      <x:c r="CB155" s="14"/>
      <x:c r="CC155" s="14"/>
      <x:c r="CD155" s="14"/>
      <x:c r="CE155" s="14"/>
    </x:row>
    <x:row r="156">
      <x:c r="A156" s="14" t="n">
        <x:v>155</x:v>
      </x:c>
      <x:c r="B156" s="14"/>
      <x:c r="C156" s="14" t="str">
        <x:v>CHECKING_EVENT</x:v>
      </x:c>
      <x:c r="D156" s="14" t="str">
        <x:v>Exploratory_Checking_611_Positional_Surrogate.xlsx</x:v>
      </x:c>
      <x:c r="E156" s="14"/>
      <x:c r="F156" s="14"/>
      <x:c r="G156" s="14"/>
      <x:c r="H156" s="14"/>
      <x:c r="I156" s="14"/>
      <x:c r="J156" s="14"/>
      <x:c r="K156" s="14" t="str">
        <x:v>NEEDS_WINDOW_BINDING</x:v>
      </x:c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/>
      <x:c r="AC156" s="14"/>
      <x:c r="AD156" s="14"/>
      <x:c r="AE156" s="14"/>
      <x:c r="AF156" s="14"/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/>
      <x:c r="BC156" s="14"/>
      <x:c r="BD156" s="14"/>
      <x:c r="BE156" s="14"/>
      <x:c r="BF156" s="14"/>
      <x:c r="BG156" s="14"/>
      <x:c r="BH156" s="14"/>
      <x:c r="BI156" s="14"/>
      <x:c r="BJ156" s="14"/>
      <x:c r="BK156" s="14"/>
      <x:c r="BL156" s="14"/>
      <x:c r="BM156" s="14"/>
      <x:c r="BN156" s="14"/>
      <x:c r="BO156" s="14"/>
      <x:c r="BP156" s="14"/>
      <x:c r="BQ156" s="14"/>
      <x:c r="BR156" s="14"/>
      <x:c r="BS156" s="14"/>
      <x:c r="BT156" s="14"/>
      <x:c r="BU156" s="14"/>
      <x:c r="BV156" s="14"/>
      <x:c r="BW156" s="14"/>
      <x:c r="BX156" s="14"/>
      <x:c r="BY156" s="14"/>
      <x:c r="BZ156" s="14"/>
      <x:c r="CA156" s="14"/>
      <x:c r="CB156" s="14"/>
      <x:c r="CC156" s="14"/>
      <x:c r="CD156" s="14"/>
      <x:c r="CE156" s="14"/>
    </x:row>
    <x:row r="157">
      <x:c r="A157" s="14" t="n">
        <x:v>156</x:v>
      </x:c>
      <x:c r="B157" s="14"/>
      <x:c r="C157" s="14" t="str">
        <x:v>CHECKING_EVENT</x:v>
      </x:c>
      <x:c r="D157" s="14" t="str">
        <x:v>Exploratory_Checking_611_Positional_Surrogate.xlsx</x:v>
      </x:c>
      <x:c r="E157" s="14"/>
      <x:c r="F157" s="14"/>
      <x:c r="G157" s="14"/>
      <x:c r="H157" s="14"/>
      <x:c r="I157" s="14"/>
      <x:c r="J157" s="14"/>
      <x:c r="K157" s="14" t="str">
        <x:v>NEEDS_WINDOW_BINDING</x:v>
      </x:c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/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/>
      <x:c r="BC157" s="14"/>
      <x:c r="BD157" s="14"/>
      <x:c r="BE157" s="14"/>
      <x:c r="BF157" s="14"/>
      <x:c r="BG157" s="14"/>
      <x:c r="BH157" s="14"/>
      <x:c r="BI157" s="14"/>
      <x:c r="BJ157" s="14"/>
      <x:c r="BK157" s="14"/>
      <x:c r="BL157" s="14"/>
      <x:c r="BM157" s="14"/>
      <x:c r="BN157" s="14"/>
      <x:c r="BO157" s="14"/>
      <x:c r="BP157" s="14"/>
      <x:c r="BQ157" s="14"/>
      <x:c r="BR157" s="14"/>
      <x:c r="BS157" s="14"/>
      <x:c r="BT157" s="14"/>
      <x:c r="BU157" s="14"/>
      <x:c r="BV157" s="14"/>
      <x:c r="BW157" s="14"/>
      <x:c r="BX157" s="14"/>
      <x:c r="BY157" s="14"/>
      <x:c r="BZ157" s="14"/>
      <x:c r="CA157" s="14"/>
      <x:c r="CB157" s="14"/>
      <x:c r="CC157" s="14"/>
      <x:c r="CD157" s="14"/>
      <x:c r="CE157" s="14"/>
    </x:row>
    <x:row r="158">
      <x:c r="A158" s="14" t="n">
        <x:v>157</x:v>
      </x:c>
      <x:c r="B158" s="14"/>
      <x:c r="C158" s="14" t="str">
        <x:v>CHECKING_EVENT</x:v>
      </x:c>
      <x:c r="D158" s="14" t="str">
        <x:v>Exploratory_Checking_611_Positional_Surrogate.xlsx</x:v>
      </x:c>
      <x:c r="E158" s="14"/>
      <x:c r="F158" s="14"/>
      <x:c r="G158" s="14"/>
      <x:c r="H158" s="14"/>
      <x:c r="I158" s="14"/>
      <x:c r="J158" s="14"/>
      <x:c r="K158" s="14" t="str">
        <x:v>NEEDS_WINDOW_BINDING</x:v>
      </x:c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/>
      <x:c r="AC158" s="14"/>
      <x:c r="AD158" s="14"/>
      <x:c r="AE158" s="14"/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/>
      <x:c r="BC158" s="14"/>
      <x:c r="BD158" s="14"/>
      <x:c r="BE158" s="14"/>
      <x:c r="BF158" s="14"/>
      <x:c r="BG158" s="14"/>
      <x:c r="BH158" s="14"/>
      <x:c r="BI158" s="14"/>
      <x:c r="BJ158" s="14"/>
      <x:c r="BK158" s="14"/>
      <x:c r="BL158" s="14"/>
      <x:c r="BM158" s="14"/>
      <x:c r="BN158" s="14"/>
      <x:c r="BO158" s="14"/>
      <x:c r="BP158" s="14"/>
      <x:c r="BQ158" s="14"/>
      <x:c r="BR158" s="14"/>
      <x:c r="BS158" s="14"/>
      <x:c r="BT158" s="14"/>
      <x:c r="BU158" s="14"/>
      <x:c r="BV158" s="14"/>
      <x:c r="BW158" s="14"/>
      <x:c r="BX158" s="14"/>
      <x:c r="BY158" s="14"/>
      <x:c r="BZ158" s="14"/>
      <x:c r="CA158" s="14"/>
      <x:c r="CB158" s="14"/>
      <x:c r="CC158" s="14"/>
      <x:c r="CD158" s="14"/>
      <x:c r="CE158" s="14"/>
    </x:row>
    <x:row r="159">
      <x:c r="A159" s="14" t="n">
        <x:v>158</x:v>
      </x:c>
      <x:c r="B159" s="14"/>
      <x:c r="C159" s="14" t="str">
        <x:v>CHECKING_EVENT</x:v>
      </x:c>
      <x:c r="D159" s="14" t="str">
        <x:v>Exploratory_Checking_611_Positional_Surrogate.xlsx</x:v>
      </x:c>
      <x:c r="E159" s="14"/>
      <x:c r="F159" s="14"/>
      <x:c r="G159" s="14"/>
      <x:c r="H159" s="14"/>
      <x:c r="I159" s="14"/>
      <x:c r="J159" s="14"/>
      <x:c r="K159" s="14" t="str">
        <x:v>NEEDS_WINDOW_BINDING</x:v>
      </x:c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/>
      <x:c r="AC159" s="14"/>
      <x:c r="AD159" s="14"/>
      <x:c r="AE159" s="14"/>
      <x:c r="AF159" s="14"/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/>
      <x:c r="BC159" s="14"/>
      <x:c r="BD159" s="14"/>
      <x:c r="BE159" s="14"/>
      <x:c r="BF159" s="14"/>
      <x:c r="BG159" s="14"/>
      <x:c r="BH159" s="14"/>
      <x:c r="BI159" s="14"/>
      <x:c r="BJ159" s="14"/>
      <x:c r="BK159" s="14"/>
      <x:c r="BL159" s="14"/>
      <x:c r="BM159" s="14"/>
      <x:c r="BN159" s="14"/>
      <x:c r="BO159" s="14"/>
      <x:c r="BP159" s="14"/>
      <x:c r="BQ159" s="14"/>
      <x:c r="BR159" s="14"/>
      <x:c r="BS159" s="14"/>
      <x:c r="BT159" s="14"/>
      <x:c r="BU159" s="14"/>
      <x:c r="BV159" s="14"/>
      <x:c r="BW159" s="14"/>
      <x:c r="BX159" s="14"/>
      <x:c r="BY159" s="14"/>
      <x:c r="BZ159" s="14"/>
      <x:c r="CA159" s="14"/>
      <x:c r="CB159" s="14"/>
      <x:c r="CC159" s="14"/>
      <x:c r="CD159" s="14"/>
      <x:c r="CE159" s="14"/>
    </x:row>
    <x:row r="160">
      <x:c r="A160" s="14" t="n">
        <x:v>159</x:v>
      </x:c>
      <x:c r="B160" s="14"/>
      <x:c r="C160" s="14" t="str">
        <x:v>CHECKING_EVENT</x:v>
      </x:c>
      <x:c r="D160" s="14" t="str">
        <x:v>Exploratory_Checking_611_Positional_Surrogate.xlsx</x:v>
      </x:c>
      <x:c r="E160" s="14"/>
      <x:c r="F160" s="14"/>
      <x:c r="G160" s="14"/>
      <x:c r="H160" s="14"/>
      <x:c r="I160" s="14"/>
      <x:c r="J160" s="14"/>
      <x:c r="K160" s="14" t="str">
        <x:v>NEEDS_WINDOW_BINDING</x:v>
      </x:c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/>
      <x:c r="AC160" s="14"/>
      <x:c r="AD160" s="14"/>
      <x:c r="AE160" s="14"/>
      <x:c r="AF160" s="14"/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/>
      <x:c r="BC160" s="14"/>
      <x:c r="BD160" s="14"/>
      <x:c r="BE160" s="14"/>
      <x:c r="BF160" s="14"/>
      <x:c r="BG160" s="14"/>
      <x:c r="BH160" s="14"/>
      <x:c r="BI160" s="14"/>
      <x:c r="BJ160" s="14"/>
      <x:c r="BK160" s="14"/>
      <x:c r="BL160" s="14"/>
      <x:c r="BM160" s="14"/>
      <x:c r="BN160" s="14"/>
      <x:c r="BO160" s="14"/>
      <x:c r="BP160" s="14"/>
      <x:c r="BQ160" s="14"/>
      <x:c r="BR160" s="14"/>
      <x:c r="BS160" s="14"/>
      <x:c r="BT160" s="14"/>
      <x:c r="BU160" s="14"/>
      <x:c r="BV160" s="14"/>
      <x:c r="BW160" s="14"/>
      <x:c r="BX160" s="14"/>
      <x:c r="BY160" s="14"/>
      <x:c r="BZ160" s="14"/>
      <x:c r="CA160" s="14"/>
      <x:c r="CB160" s="14"/>
      <x:c r="CC160" s="14"/>
      <x:c r="CD160" s="14"/>
      <x:c r="CE160" s="14"/>
    </x:row>
    <x:row r="161">
      <x:c r="A161" s="14" t="n">
        <x:v>160</x:v>
      </x:c>
      <x:c r="B161" s="14"/>
      <x:c r="C161" s="14" t="str">
        <x:v>CHECKING_EVENT</x:v>
      </x:c>
      <x:c r="D161" s="14" t="str">
        <x:v>Exploratory_Checking_611_Positional_Surrogate.xlsx</x:v>
      </x:c>
      <x:c r="E161" s="14"/>
      <x:c r="F161" s="14"/>
      <x:c r="G161" s="14"/>
      <x:c r="H161" s="14"/>
      <x:c r="I161" s="14"/>
      <x:c r="J161" s="14"/>
      <x:c r="K161" s="14" t="str">
        <x:v>NEEDS_WINDOW_BINDING</x:v>
      </x:c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/>
      <x:c r="AC161" s="14"/>
      <x:c r="AD161" s="14"/>
      <x:c r="AE161" s="14"/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/>
      <x:c r="BC161" s="14"/>
      <x:c r="BD161" s="14"/>
      <x:c r="BE161" s="14"/>
      <x:c r="BF161" s="14"/>
      <x:c r="BG161" s="14"/>
      <x:c r="BH161" s="14"/>
      <x:c r="BI161" s="14"/>
      <x:c r="BJ161" s="14"/>
      <x:c r="BK161" s="14"/>
      <x:c r="BL161" s="14"/>
      <x:c r="BM161" s="14"/>
      <x:c r="BN161" s="14"/>
      <x:c r="BO161" s="14"/>
      <x:c r="BP161" s="14"/>
      <x:c r="BQ161" s="14"/>
      <x:c r="BR161" s="14"/>
      <x:c r="BS161" s="14"/>
      <x:c r="BT161" s="14"/>
      <x:c r="BU161" s="14"/>
      <x:c r="BV161" s="14"/>
      <x:c r="BW161" s="14"/>
      <x:c r="BX161" s="14"/>
      <x:c r="BY161" s="14"/>
      <x:c r="BZ161" s="14"/>
      <x:c r="CA161" s="14"/>
      <x:c r="CB161" s="14"/>
      <x:c r="CC161" s="14"/>
      <x:c r="CD161" s="14"/>
      <x:c r="CE161" s="14"/>
    </x:row>
    <x:row r="162">
      <x:c r="A162" s="14" t="n">
        <x:v>161</x:v>
      </x:c>
      <x:c r="B162" s="14"/>
      <x:c r="C162" s="14" t="str">
        <x:v>CHECKING_EVENT</x:v>
      </x:c>
      <x:c r="D162" s="14" t="str">
        <x:v>Exploratory_Checking_611_Positional_Surrogate.xlsx</x:v>
      </x:c>
      <x:c r="E162" s="14"/>
      <x:c r="F162" s="14"/>
      <x:c r="G162" s="14"/>
      <x:c r="H162" s="14"/>
      <x:c r="I162" s="14"/>
      <x:c r="J162" s="14"/>
      <x:c r="K162" s="14" t="str">
        <x:v>NEEDS_WINDOW_BINDING</x:v>
      </x:c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  <x:c r="AC162" s="14"/>
      <x:c r="AD162" s="14"/>
      <x:c r="AE162" s="14"/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/>
      <x:c r="BC162" s="14"/>
      <x:c r="BD162" s="14"/>
      <x:c r="BE162" s="14"/>
      <x:c r="BF162" s="14"/>
      <x:c r="BG162" s="14"/>
      <x:c r="BH162" s="14"/>
      <x:c r="BI162" s="14"/>
      <x:c r="BJ162" s="14"/>
      <x:c r="BK162" s="14"/>
      <x:c r="BL162" s="14"/>
      <x:c r="BM162" s="14"/>
      <x:c r="BN162" s="14"/>
      <x:c r="BO162" s="14"/>
      <x:c r="BP162" s="14"/>
      <x:c r="BQ162" s="14"/>
      <x:c r="BR162" s="14"/>
      <x:c r="BS162" s="14"/>
      <x:c r="BT162" s="14"/>
      <x:c r="BU162" s="14"/>
      <x:c r="BV162" s="14"/>
      <x:c r="BW162" s="14"/>
      <x:c r="BX162" s="14"/>
      <x:c r="BY162" s="14"/>
      <x:c r="BZ162" s="14"/>
      <x:c r="CA162" s="14"/>
      <x:c r="CB162" s="14"/>
      <x:c r="CC162" s="14"/>
      <x:c r="CD162" s="14"/>
      <x:c r="CE162" s="14"/>
    </x:row>
    <x:row r="163">
      <x:c r="A163" s="14" t="n">
        <x:v>162</x:v>
      </x:c>
      <x:c r="B163" s="14"/>
      <x:c r="C163" s="14" t="str">
        <x:v>CHECKING_EVENT</x:v>
      </x:c>
      <x:c r="D163" s="14" t="str">
        <x:v>Exploratory_Checking_611_Positional_Surrogate.xlsx</x:v>
      </x:c>
      <x:c r="E163" s="14"/>
      <x:c r="F163" s="14"/>
      <x:c r="G163" s="14"/>
      <x:c r="H163" s="14"/>
      <x:c r="I163" s="14"/>
      <x:c r="J163" s="14"/>
      <x:c r="K163" s="14" t="str">
        <x:v>NEEDS_WINDOW_BINDING</x:v>
      </x:c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/>
      <x:c r="AC163" s="14"/>
      <x:c r="AD163" s="14"/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/>
      <x:c r="BC163" s="14"/>
      <x:c r="BD163" s="14"/>
      <x:c r="BE163" s="14"/>
      <x:c r="BF163" s="14"/>
      <x:c r="BG163" s="14"/>
      <x:c r="BH163" s="14"/>
      <x:c r="BI163" s="14"/>
      <x:c r="BJ163" s="14"/>
      <x:c r="BK163" s="14"/>
      <x:c r="BL163" s="14"/>
      <x:c r="BM163" s="14"/>
      <x:c r="BN163" s="14"/>
      <x:c r="BO163" s="14"/>
      <x:c r="BP163" s="14"/>
      <x:c r="BQ163" s="14"/>
      <x:c r="BR163" s="14"/>
      <x:c r="BS163" s="14"/>
      <x:c r="BT163" s="14"/>
      <x:c r="BU163" s="14"/>
      <x:c r="BV163" s="14"/>
      <x:c r="BW163" s="14"/>
      <x:c r="BX163" s="14"/>
      <x:c r="BY163" s="14"/>
      <x:c r="BZ163" s="14"/>
      <x:c r="CA163" s="14"/>
      <x:c r="CB163" s="14"/>
      <x:c r="CC163" s="14"/>
      <x:c r="CD163" s="14"/>
      <x:c r="CE163" s="14"/>
    </x:row>
    <x:row r="164">
      <x:c r="A164" s="14" t="n">
        <x:v>163</x:v>
      </x:c>
      <x:c r="B164" s="14"/>
      <x:c r="C164" s="14" t="str">
        <x:v>CHECKING_EVENT</x:v>
      </x:c>
      <x:c r="D164" s="14" t="str">
        <x:v>Exploratory_Checking_611_Positional_Surrogate.xlsx</x:v>
      </x:c>
      <x:c r="E164" s="14"/>
      <x:c r="F164" s="14"/>
      <x:c r="G164" s="14"/>
      <x:c r="H164" s="14"/>
      <x:c r="I164" s="14"/>
      <x:c r="J164" s="14"/>
      <x:c r="K164" s="14" t="str">
        <x:v>NEEDS_WINDOW_BINDING</x:v>
      </x:c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/>
      <x:c r="AC164" s="14"/>
      <x:c r="AD164" s="14"/>
      <x:c r="AE164" s="14"/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/>
      <x:c r="BC164" s="14"/>
      <x:c r="BD164" s="14"/>
      <x:c r="BE164" s="14"/>
      <x:c r="BF164" s="14"/>
      <x:c r="BG164" s="14"/>
      <x:c r="BH164" s="14"/>
      <x:c r="BI164" s="14"/>
      <x:c r="BJ164" s="14"/>
      <x:c r="BK164" s="14"/>
      <x:c r="BL164" s="14"/>
      <x:c r="BM164" s="14"/>
      <x:c r="BN164" s="14"/>
      <x:c r="BO164" s="14"/>
      <x:c r="BP164" s="14"/>
      <x:c r="BQ164" s="14"/>
      <x:c r="BR164" s="14"/>
      <x:c r="BS164" s="14"/>
      <x:c r="BT164" s="14"/>
      <x:c r="BU164" s="14"/>
      <x:c r="BV164" s="14"/>
      <x:c r="BW164" s="14"/>
      <x:c r="BX164" s="14"/>
      <x:c r="BY164" s="14"/>
      <x:c r="BZ164" s="14"/>
      <x:c r="CA164" s="14"/>
      <x:c r="CB164" s="14"/>
      <x:c r="CC164" s="14"/>
      <x:c r="CD164" s="14"/>
      <x:c r="CE164" s="14"/>
    </x:row>
    <x:row r="165">
      <x:c r="A165" s="14" t="n">
        <x:v>164</x:v>
      </x:c>
      <x:c r="B165" s="14"/>
      <x:c r="C165" s="14" t="str">
        <x:v>CHECKING_EVENT</x:v>
      </x:c>
      <x:c r="D165" s="14" t="str">
        <x:v>Exploratory_Checking_611_Positional_Surrogate.xlsx</x:v>
      </x:c>
      <x:c r="E165" s="14"/>
      <x:c r="F165" s="14"/>
      <x:c r="G165" s="14"/>
      <x:c r="H165" s="14"/>
      <x:c r="I165" s="14"/>
      <x:c r="J165" s="14"/>
      <x:c r="K165" s="14" t="str">
        <x:v>NEEDS_WINDOW_BINDING</x:v>
      </x:c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  <x:c r="AC165" s="14"/>
      <x:c r="AD165" s="14"/>
      <x:c r="AE165" s="14"/>
      <x:c r="AF165" s="14"/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/>
      <x:c r="BC165" s="14"/>
      <x:c r="BD165" s="14"/>
      <x:c r="BE165" s="14"/>
      <x:c r="BF165" s="14"/>
      <x:c r="BG165" s="14"/>
      <x:c r="BH165" s="14"/>
      <x:c r="BI165" s="14"/>
      <x:c r="BJ165" s="14"/>
      <x:c r="BK165" s="14"/>
      <x:c r="BL165" s="14"/>
      <x:c r="BM165" s="14"/>
      <x:c r="BN165" s="14"/>
      <x:c r="BO165" s="14"/>
      <x:c r="BP165" s="14"/>
      <x:c r="BQ165" s="14"/>
      <x:c r="BR165" s="14"/>
      <x:c r="BS165" s="14"/>
      <x:c r="BT165" s="14"/>
      <x:c r="BU165" s="14"/>
      <x:c r="BV165" s="14"/>
      <x:c r="BW165" s="14"/>
      <x:c r="BX165" s="14"/>
      <x:c r="BY165" s="14"/>
      <x:c r="BZ165" s="14"/>
      <x:c r="CA165" s="14"/>
      <x:c r="CB165" s="14"/>
      <x:c r="CC165" s="14"/>
      <x:c r="CD165" s="14"/>
      <x:c r="CE165" s="14"/>
    </x:row>
    <x:row r="166">
      <x:c r="A166" s="14" t="n">
        <x:v>165</x:v>
      </x:c>
      <x:c r="B166" s="14"/>
      <x:c r="C166" s="14" t="str">
        <x:v>CHECKING_EVENT</x:v>
      </x:c>
      <x:c r="D166" s="14" t="str">
        <x:v>Exploratory_Checking_611_Positional_Surrogate.xlsx</x:v>
      </x:c>
      <x:c r="E166" s="14"/>
      <x:c r="F166" s="14"/>
      <x:c r="G166" s="14"/>
      <x:c r="H166" s="14"/>
      <x:c r="I166" s="14"/>
      <x:c r="J166" s="14"/>
      <x:c r="K166" s="14" t="str">
        <x:v>NEEDS_WINDOW_BINDING</x:v>
      </x:c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/>
      <x:c r="AC166" s="14"/>
      <x:c r="AD166" s="14"/>
      <x:c r="AE166" s="14"/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/>
      <x:c r="BC166" s="14"/>
      <x:c r="BD166" s="14"/>
      <x:c r="BE166" s="14"/>
      <x:c r="BF166" s="14"/>
      <x:c r="BG166" s="14"/>
      <x:c r="BH166" s="14"/>
      <x:c r="BI166" s="14"/>
      <x:c r="BJ166" s="14"/>
      <x:c r="BK166" s="14"/>
      <x:c r="BL166" s="14"/>
      <x:c r="BM166" s="14"/>
      <x:c r="BN166" s="14"/>
      <x:c r="BO166" s="14"/>
      <x:c r="BP166" s="14"/>
      <x:c r="BQ166" s="14"/>
      <x:c r="BR166" s="14"/>
      <x:c r="BS166" s="14"/>
      <x:c r="BT166" s="14"/>
      <x:c r="BU166" s="14"/>
      <x:c r="BV166" s="14"/>
      <x:c r="BW166" s="14"/>
      <x:c r="BX166" s="14"/>
      <x:c r="BY166" s="14"/>
      <x:c r="BZ166" s="14"/>
      <x:c r="CA166" s="14"/>
      <x:c r="CB166" s="14"/>
      <x:c r="CC166" s="14"/>
      <x:c r="CD166" s="14"/>
      <x:c r="CE166" s="14"/>
    </x:row>
    <x:row r="167">
      <x:c r="A167" s="14" t="n">
        <x:v>166</x:v>
      </x:c>
      <x:c r="B167" s="14"/>
      <x:c r="C167" s="14" t="str">
        <x:v>CHECKING_EVENT</x:v>
      </x:c>
      <x:c r="D167" s="14" t="str">
        <x:v>Exploratory_Checking_611_Positional_Surrogate.xlsx</x:v>
      </x:c>
      <x:c r="E167" s="14"/>
      <x:c r="F167" s="14"/>
      <x:c r="G167" s="14"/>
      <x:c r="H167" s="14"/>
      <x:c r="I167" s="14"/>
      <x:c r="J167" s="14"/>
      <x:c r="K167" s="14" t="str">
        <x:v>NEEDS_WINDOW_BINDING</x:v>
      </x:c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  <x:c r="AC167" s="14"/>
      <x:c r="AD167" s="14"/>
      <x:c r="AE167" s="14"/>
      <x:c r="AF167" s="14"/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/>
      <x:c r="BC167" s="14"/>
      <x:c r="BD167" s="14"/>
      <x:c r="BE167" s="14"/>
      <x:c r="BF167" s="14"/>
      <x:c r="BG167" s="14"/>
      <x:c r="BH167" s="14"/>
      <x:c r="BI167" s="14"/>
      <x:c r="BJ167" s="14"/>
      <x:c r="BK167" s="14"/>
      <x:c r="BL167" s="14"/>
      <x:c r="BM167" s="14"/>
      <x:c r="BN167" s="14"/>
      <x:c r="BO167" s="14"/>
      <x:c r="BP167" s="14"/>
      <x:c r="BQ167" s="14"/>
      <x:c r="BR167" s="14"/>
      <x:c r="BS167" s="14"/>
      <x:c r="BT167" s="14"/>
      <x:c r="BU167" s="14"/>
      <x:c r="BV167" s="14"/>
      <x:c r="BW167" s="14"/>
      <x:c r="BX167" s="14"/>
      <x:c r="BY167" s="14"/>
      <x:c r="BZ167" s="14"/>
      <x:c r="CA167" s="14"/>
      <x:c r="CB167" s="14"/>
      <x:c r="CC167" s="14"/>
      <x:c r="CD167" s="14"/>
      <x:c r="CE167" s="14"/>
    </x:row>
    <x:row r="168">
      <x:c r="A168" s="14" t="n">
        <x:v>167</x:v>
      </x:c>
      <x:c r="B168" s="14"/>
      <x:c r="C168" s="14" t="str">
        <x:v>CHECKING_EVENT</x:v>
      </x:c>
      <x:c r="D168" s="14" t="str">
        <x:v>Exploratory_Checking_611_Positional_Surrogate.xlsx</x:v>
      </x:c>
      <x:c r="E168" s="14"/>
      <x:c r="F168" s="14"/>
      <x:c r="G168" s="14"/>
      <x:c r="H168" s="14"/>
      <x:c r="I168" s="14"/>
      <x:c r="J168" s="14"/>
      <x:c r="K168" s="14" t="str">
        <x:v>NEEDS_WINDOW_BINDING</x:v>
      </x:c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/>
      <x:c r="BC168" s="14"/>
      <x:c r="BD168" s="14"/>
      <x:c r="BE168" s="14"/>
      <x:c r="BF168" s="14"/>
      <x:c r="BG168" s="14"/>
      <x:c r="BH168" s="14"/>
      <x:c r="BI168" s="14"/>
      <x:c r="BJ168" s="14"/>
      <x:c r="BK168" s="14"/>
      <x:c r="BL168" s="14"/>
      <x:c r="BM168" s="14"/>
      <x:c r="BN168" s="14"/>
      <x:c r="BO168" s="14"/>
      <x:c r="BP168" s="14"/>
      <x:c r="BQ168" s="14"/>
      <x:c r="BR168" s="14"/>
      <x:c r="BS168" s="14"/>
      <x:c r="BT168" s="14"/>
      <x:c r="BU168" s="14"/>
      <x:c r="BV168" s="14"/>
      <x:c r="BW168" s="14"/>
      <x:c r="BX168" s="14"/>
      <x:c r="BY168" s="14"/>
      <x:c r="BZ168" s="14"/>
      <x:c r="CA168" s="14"/>
      <x:c r="CB168" s="14"/>
      <x:c r="CC168" s="14"/>
      <x:c r="CD168" s="14"/>
      <x:c r="CE168" s="14"/>
    </x:row>
    <x:row r="169">
      <x:c r="A169" s="14" t="n">
        <x:v>168</x:v>
      </x:c>
      <x:c r="B169" s="14"/>
      <x:c r="C169" s="14" t="str">
        <x:v>CHECKING_EVENT</x:v>
      </x:c>
      <x:c r="D169" s="14" t="str">
        <x:v>Exploratory_Checking_611_Positional_Surrogate.xlsx</x:v>
      </x:c>
      <x:c r="E169" s="14"/>
      <x:c r="F169" s="14"/>
      <x:c r="G169" s="14"/>
      <x:c r="H169" s="14"/>
      <x:c r="I169" s="14"/>
      <x:c r="J169" s="14"/>
      <x:c r="K169" s="14" t="str">
        <x:v>NEEDS_WINDOW_BINDING</x:v>
      </x:c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/>
      <x:c r="BC169" s="14"/>
      <x:c r="BD169" s="14"/>
      <x:c r="BE169" s="14"/>
      <x:c r="BF169" s="14"/>
      <x:c r="BG169" s="14"/>
      <x:c r="BH169" s="14"/>
      <x:c r="BI169" s="14"/>
      <x:c r="BJ169" s="14"/>
      <x:c r="BK169" s="14"/>
      <x:c r="BL169" s="14"/>
      <x:c r="BM169" s="14"/>
      <x:c r="BN169" s="14"/>
      <x:c r="BO169" s="14"/>
      <x:c r="BP169" s="14"/>
      <x:c r="BQ169" s="14"/>
      <x:c r="BR169" s="14"/>
      <x:c r="BS169" s="14"/>
      <x:c r="BT169" s="14"/>
      <x:c r="BU169" s="14"/>
      <x:c r="BV169" s="14"/>
      <x:c r="BW169" s="14"/>
      <x:c r="BX169" s="14"/>
      <x:c r="BY169" s="14"/>
      <x:c r="BZ169" s="14"/>
      <x:c r="CA169" s="14"/>
      <x:c r="CB169" s="14"/>
      <x:c r="CC169" s="14"/>
      <x:c r="CD169" s="14"/>
      <x:c r="CE169" s="14"/>
    </x:row>
    <x:row r="170">
      <x:c r="A170" s="14" t="n">
        <x:v>169</x:v>
      </x:c>
      <x:c r="B170" s="14"/>
      <x:c r="C170" s="14" t="str">
        <x:v>CHECKING_EVENT</x:v>
      </x:c>
      <x:c r="D170" s="14" t="str">
        <x:v>Exploratory_Checking_611_Positional_Surrogate.xlsx</x:v>
      </x:c>
      <x:c r="E170" s="14"/>
      <x:c r="F170" s="14"/>
      <x:c r="G170" s="14"/>
      <x:c r="H170" s="14"/>
      <x:c r="I170" s="14"/>
      <x:c r="J170" s="14"/>
      <x:c r="K170" s="14" t="str">
        <x:v>NEEDS_WINDOW_BINDING</x:v>
      </x:c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/>
      <x:c r="BC170" s="14"/>
      <x:c r="BD170" s="14"/>
      <x:c r="BE170" s="14"/>
      <x:c r="BF170" s="14"/>
      <x:c r="BG170" s="14"/>
      <x:c r="BH170" s="14"/>
      <x:c r="BI170" s="14"/>
      <x:c r="BJ170" s="14"/>
      <x:c r="BK170" s="14"/>
      <x:c r="BL170" s="14"/>
      <x:c r="BM170" s="14"/>
      <x:c r="BN170" s="14"/>
      <x:c r="BO170" s="14"/>
      <x:c r="BP170" s="14"/>
      <x:c r="BQ170" s="14"/>
      <x:c r="BR170" s="14"/>
      <x:c r="BS170" s="14"/>
      <x:c r="BT170" s="14"/>
      <x:c r="BU170" s="14"/>
      <x:c r="BV170" s="14"/>
      <x:c r="BW170" s="14"/>
      <x:c r="BX170" s="14"/>
      <x:c r="BY170" s="14"/>
      <x:c r="BZ170" s="14"/>
      <x:c r="CA170" s="14"/>
      <x:c r="CB170" s="14"/>
      <x:c r="CC170" s="14"/>
      <x:c r="CD170" s="14"/>
      <x:c r="CE170" s="14"/>
    </x:row>
    <x:row r="171">
      <x:c r="A171" s="14" t="n">
        <x:v>170</x:v>
      </x:c>
      <x:c r="B171" s="14"/>
      <x:c r="C171" s="14" t="str">
        <x:v>CHECKING_EVENT</x:v>
      </x:c>
      <x:c r="D171" s="14" t="str">
        <x:v>Exploratory_Checking_611_Positional_Surrogate.xlsx</x:v>
      </x:c>
      <x:c r="E171" s="14"/>
      <x:c r="F171" s="14"/>
      <x:c r="G171" s="14"/>
      <x:c r="H171" s="14"/>
      <x:c r="I171" s="14"/>
      <x:c r="J171" s="14"/>
      <x:c r="K171" s="14" t="str">
        <x:v>NEEDS_WINDOW_BINDING</x:v>
      </x:c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  <x:c r="AD171" s="14"/>
      <x:c r="AE171" s="14"/>
      <x:c r="AF171" s="14"/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/>
      <x:c r="BC171" s="14"/>
      <x:c r="BD171" s="14"/>
      <x:c r="BE171" s="14"/>
      <x:c r="BF171" s="14"/>
      <x:c r="BG171" s="14"/>
      <x:c r="BH171" s="14"/>
      <x:c r="BI171" s="14"/>
      <x:c r="BJ171" s="14"/>
      <x:c r="BK171" s="14"/>
      <x:c r="BL171" s="14"/>
      <x:c r="BM171" s="14"/>
      <x:c r="BN171" s="14"/>
      <x:c r="BO171" s="14"/>
      <x:c r="BP171" s="14"/>
      <x:c r="BQ171" s="14"/>
      <x:c r="BR171" s="14"/>
      <x:c r="BS171" s="14"/>
      <x:c r="BT171" s="14"/>
      <x:c r="BU171" s="14"/>
      <x:c r="BV171" s="14"/>
      <x:c r="BW171" s="14"/>
      <x:c r="BX171" s="14"/>
      <x:c r="BY171" s="14"/>
      <x:c r="BZ171" s="14"/>
      <x:c r="CA171" s="14"/>
      <x:c r="CB171" s="14"/>
      <x:c r="CC171" s="14"/>
      <x:c r="CD171" s="14"/>
      <x:c r="CE171" s="14"/>
    </x:row>
    <x:row r="172">
      <x:c r="A172" s="14" t="n">
        <x:v>171</x:v>
      </x:c>
      <x:c r="B172" s="14"/>
      <x:c r="C172" s="14" t="str">
        <x:v>CHECKING_EVENT</x:v>
      </x:c>
      <x:c r="D172" s="14" t="str">
        <x:v>Exploratory_Checking_611_Positional_Surrogate.xlsx</x:v>
      </x:c>
      <x:c r="E172" s="14"/>
      <x:c r="F172" s="14"/>
      <x:c r="G172" s="14"/>
      <x:c r="H172" s="14"/>
      <x:c r="I172" s="14"/>
      <x:c r="J172" s="14"/>
      <x:c r="K172" s="14" t="str">
        <x:v>NEEDS_WINDOW_BINDING</x:v>
      </x:c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  <x:c r="AC172" s="14"/>
      <x:c r="AD172" s="14"/>
      <x:c r="AE172" s="14"/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/>
      <x:c r="BC172" s="14"/>
      <x:c r="BD172" s="14"/>
      <x:c r="BE172" s="14"/>
      <x:c r="BF172" s="14"/>
      <x:c r="BG172" s="14"/>
      <x:c r="BH172" s="14"/>
      <x:c r="BI172" s="14"/>
      <x:c r="BJ172" s="14"/>
      <x:c r="BK172" s="14"/>
      <x:c r="BL172" s="14"/>
      <x:c r="BM172" s="14"/>
      <x:c r="BN172" s="14"/>
      <x:c r="BO172" s="14"/>
      <x:c r="BP172" s="14"/>
      <x:c r="BQ172" s="14"/>
      <x:c r="BR172" s="14"/>
      <x:c r="BS172" s="14"/>
      <x:c r="BT172" s="14"/>
      <x:c r="BU172" s="14"/>
      <x:c r="BV172" s="14"/>
      <x:c r="BW172" s="14"/>
      <x:c r="BX172" s="14"/>
      <x:c r="BY172" s="14"/>
      <x:c r="BZ172" s="14"/>
      <x:c r="CA172" s="14"/>
      <x:c r="CB172" s="14"/>
      <x:c r="CC172" s="14"/>
      <x:c r="CD172" s="14"/>
      <x:c r="CE172" s="14"/>
    </x:row>
    <x:row r="173">
      <x:c r="A173" s="14" t="n">
        <x:v>172</x:v>
      </x:c>
      <x:c r="B173" s="14"/>
      <x:c r="C173" s="14" t="str">
        <x:v>CHECKING_EVENT</x:v>
      </x:c>
      <x:c r="D173" s="14" t="str">
        <x:v>Exploratory_Checking_611_Positional_Surrogate.xlsx</x:v>
      </x:c>
      <x:c r="E173" s="14"/>
      <x:c r="F173" s="14"/>
      <x:c r="G173" s="14"/>
      <x:c r="H173" s="14"/>
      <x:c r="I173" s="14"/>
      <x:c r="J173" s="14"/>
      <x:c r="K173" s="14" t="str">
        <x:v>NEEDS_WINDOW_BINDING</x:v>
      </x:c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  <x:c r="AC173" s="14"/>
      <x:c r="AD173" s="14"/>
      <x:c r="AE173" s="14"/>
      <x:c r="AF173" s="14"/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/>
      <x:c r="BC173" s="14"/>
      <x:c r="BD173" s="14"/>
      <x:c r="BE173" s="14"/>
      <x:c r="BF173" s="14"/>
      <x:c r="BG173" s="14"/>
      <x:c r="BH173" s="14"/>
      <x:c r="BI173" s="14"/>
      <x:c r="BJ173" s="14"/>
      <x:c r="BK173" s="14"/>
      <x:c r="BL173" s="14"/>
      <x:c r="BM173" s="14"/>
      <x:c r="BN173" s="14"/>
      <x:c r="BO173" s="14"/>
      <x:c r="BP173" s="14"/>
      <x:c r="BQ173" s="14"/>
      <x:c r="BR173" s="14"/>
      <x:c r="BS173" s="14"/>
      <x:c r="BT173" s="14"/>
      <x:c r="BU173" s="14"/>
      <x:c r="BV173" s="14"/>
      <x:c r="BW173" s="14"/>
      <x:c r="BX173" s="14"/>
      <x:c r="BY173" s="14"/>
      <x:c r="BZ173" s="14"/>
      <x:c r="CA173" s="14"/>
      <x:c r="CB173" s="14"/>
      <x:c r="CC173" s="14"/>
      <x:c r="CD173" s="14"/>
      <x:c r="CE173" s="14"/>
    </x:row>
    <x:row r="174">
      <x:c r="A174" s="14" t="n">
        <x:v>173</x:v>
      </x:c>
      <x:c r="B174" s="14"/>
      <x:c r="C174" s="14" t="str">
        <x:v>CHECKING_EVENT</x:v>
      </x:c>
      <x:c r="D174" s="14" t="str">
        <x:v>Exploratory_Checking_611_Positional_Surrogate.xlsx</x:v>
      </x:c>
      <x:c r="E174" s="14"/>
      <x:c r="F174" s="14"/>
      <x:c r="G174" s="14"/>
      <x:c r="H174" s="14"/>
      <x:c r="I174" s="14"/>
      <x:c r="J174" s="14"/>
      <x:c r="K174" s="14" t="str">
        <x:v>NEEDS_WINDOW_BINDING</x:v>
      </x:c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  <x:c r="AC174" s="14"/>
      <x:c r="AD174" s="14"/>
      <x:c r="AE174" s="14"/>
      <x:c r="AF174" s="14"/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/>
      <x:c r="BC174" s="14"/>
      <x:c r="BD174" s="14"/>
      <x:c r="BE174" s="14"/>
      <x:c r="BF174" s="14"/>
      <x:c r="BG174" s="14"/>
      <x:c r="BH174" s="14"/>
      <x:c r="BI174" s="14"/>
      <x:c r="BJ174" s="14"/>
      <x:c r="BK174" s="14"/>
      <x:c r="BL174" s="14"/>
      <x:c r="BM174" s="14"/>
      <x:c r="BN174" s="14"/>
      <x:c r="BO174" s="14"/>
      <x:c r="BP174" s="14"/>
      <x:c r="BQ174" s="14"/>
      <x:c r="BR174" s="14"/>
      <x:c r="BS174" s="14"/>
      <x:c r="BT174" s="14"/>
      <x:c r="BU174" s="14"/>
      <x:c r="BV174" s="14"/>
      <x:c r="BW174" s="14"/>
      <x:c r="BX174" s="14"/>
      <x:c r="BY174" s="14"/>
      <x:c r="BZ174" s="14"/>
      <x:c r="CA174" s="14"/>
      <x:c r="CB174" s="14"/>
      <x:c r="CC174" s="14"/>
      <x:c r="CD174" s="14"/>
      <x:c r="CE174" s="14"/>
    </x:row>
    <x:row r="175">
      <x:c r="A175" s="14" t="n">
        <x:v>174</x:v>
      </x:c>
      <x:c r="B175" s="14"/>
      <x:c r="C175" s="14" t="str">
        <x:v>CHECKING_EVENT</x:v>
      </x:c>
      <x:c r="D175" s="14" t="str">
        <x:v>Exploratory_Checking_611_Positional_Surrogate.xlsx</x:v>
      </x:c>
      <x:c r="E175" s="14"/>
      <x:c r="F175" s="14"/>
      <x:c r="G175" s="14"/>
      <x:c r="H175" s="14"/>
      <x:c r="I175" s="14"/>
      <x:c r="J175" s="14"/>
      <x:c r="K175" s="14" t="str">
        <x:v>NEEDS_WINDOW_BINDING</x:v>
      </x:c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/>
      <x:c r="AC175" s="14"/>
      <x:c r="AD175" s="14"/>
      <x:c r="AE175" s="14"/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/>
      <x:c r="BC175" s="14"/>
      <x:c r="BD175" s="14"/>
      <x:c r="BE175" s="14"/>
      <x:c r="BF175" s="14"/>
      <x:c r="BG175" s="14"/>
      <x:c r="BH175" s="14"/>
      <x:c r="BI175" s="14"/>
      <x:c r="BJ175" s="14"/>
      <x:c r="BK175" s="14"/>
      <x:c r="BL175" s="14"/>
      <x:c r="BM175" s="14"/>
      <x:c r="BN175" s="14"/>
      <x:c r="BO175" s="14"/>
      <x:c r="BP175" s="14"/>
      <x:c r="BQ175" s="14"/>
      <x:c r="BR175" s="14"/>
      <x:c r="BS175" s="14"/>
      <x:c r="BT175" s="14"/>
      <x:c r="BU175" s="14"/>
      <x:c r="BV175" s="14"/>
      <x:c r="BW175" s="14"/>
      <x:c r="BX175" s="14"/>
      <x:c r="BY175" s="14"/>
      <x:c r="BZ175" s="14"/>
      <x:c r="CA175" s="14"/>
      <x:c r="CB175" s="14"/>
      <x:c r="CC175" s="14"/>
      <x:c r="CD175" s="14"/>
      <x:c r="CE175" s="14"/>
    </x:row>
    <x:row r="176">
      <x:c r="A176" s="14" t="n">
        <x:v>175</x:v>
      </x:c>
      <x:c r="B176" s="14"/>
      <x:c r="C176" s="14" t="str">
        <x:v>CHECKING_EVENT</x:v>
      </x:c>
      <x:c r="D176" s="14" t="str">
        <x:v>Exploratory_Checking_611_Positional_Surrogate.xlsx</x:v>
      </x:c>
      <x:c r="E176" s="14"/>
      <x:c r="F176" s="14"/>
      <x:c r="G176" s="14"/>
      <x:c r="H176" s="14"/>
      <x:c r="I176" s="14"/>
      <x:c r="J176" s="14"/>
      <x:c r="K176" s="14" t="str">
        <x:v>NEEDS_WINDOW_BINDING</x:v>
      </x:c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/>
      <x:c r="BC176" s="14"/>
      <x:c r="BD176" s="14"/>
      <x:c r="BE176" s="14"/>
      <x:c r="BF176" s="14"/>
      <x:c r="BG176" s="14"/>
      <x:c r="BH176" s="14"/>
      <x:c r="BI176" s="14"/>
      <x:c r="BJ176" s="14"/>
      <x:c r="BK176" s="14"/>
      <x:c r="BL176" s="14"/>
      <x:c r="BM176" s="14"/>
      <x:c r="BN176" s="14"/>
      <x:c r="BO176" s="14"/>
      <x:c r="BP176" s="14"/>
      <x:c r="BQ176" s="14"/>
      <x:c r="BR176" s="14"/>
      <x:c r="BS176" s="14"/>
      <x:c r="BT176" s="14"/>
      <x:c r="BU176" s="14"/>
      <x:c r="BV176" s="14"/>
      <x:c r="BW176" s="14"/>
      <x:c r="BX176" s="14"/>
      <x:c r="BY176" s="14"/>
      <x:c r="BZ176" s="14"/>
      <x:c r="CA176" s="14"/>
      <x:c r="CB176" s="14"/>
      <x:c r="CC176" s="14"/>
      <x:c r="CD176" s="14"/>
      <x:c r="CE176" s="14"/>
    </x:row>
    <x:row r="177">
      <x:c r="A177" s="14" t="n">
        <x:v>176</x:v>
      </x:c>
      <x:c r="B177" s="14"/>
      <x:c r="C177" s="14" t="str">
        <x:v>CHECKING_EVENT</x:v>
      </x:c>
      <x:c r="D177" s="14" t="str">
        <x:v>Exploratory_Checking_611_Positional_Surrogate.xlsx</x:v>
      </x:c>
      <x:c r="E177" s="14"/>
      <x:c r="F177" s="14"/>
      <x:c r="G177" s="14"/>
      <x:c r="H177" s="14"/>
      <x:c r="I177" s="14"/>
      <x:c r="J177" s="14"/>
      <x:c r="K177" s="14" t="str">
        <x:v>NEEDS_WINDOW_BINDING</x:v>
      </x:c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4"/>
      <x:c r="AD177" s="14"/>
      <x:c r="AE177" s="14"/>
      <x:c r="AF177" s="14"/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/>
      <x:c r="BC177" s="14"/>
      <x:c r="BD177" s="14"/>
      <x:c r="BE177" s="14"/>
      <x:c r="BF177" s="14"/>
      <x:c r="BG177" s="14"/>
      <x:c r="BH177" s="14"/>
      <x:c r="BI177" s="14"/>
      <x:c r="BJ177" s="14"/>
      <x:c r="BK177" s="14"/>
      <x:c r="BL177" s="14"/>
      <x:c r="BM177" s="14"/>
      <x:c r="BN177" s="14"/>
      <x:c r="BO177" s="14"/>
      <x:c r="BP177" s="14"/>
      <x:c r="BQ177" s="14"/>
      <x:c r="BR177" s="14"/>
      <x:c r="BS177" s="14"/>
      <x:c r="BT177" s="14"/>
      <x:c r="BU177" s="14"/>
      <x:c r="BV177" s="14"/>
      <x:c r="BW177" s="14"/>
      <x:c r="BX177" s="14"/>
      <x:c r="BY177" s="14"/>
      <x:c r="BZ177" s="14"/>
      <x:c r="CA177" s="14"/>
      <x:c r="CB177" s="14"/>
      <x:c r="CC177" s="14"/>
      <x:c r="CD177" s="14"/>
      <x:c r="CE177" s="14"/>
    </x:row>
    <x:row r="178">
      <x:c r="A178" s="14" t="n">
        <x:v>177</x:v>
      </x:c>
      <x:c r="B178" s="14"/>
      <x:c r="C178" s="14" t="str">
        <x:v>CHECKING_EVENT</x:v>
      </x:c>
      <x:c r="D178" s="14" t="str">
        <x:v>Exploratory_Checking_611_Positional_Surrogate.xlsx</x:v>
      </x:c>
      <x:c r="E178" s="14"/>
      <x:c r="F178" s="14"/>
      <x:c r="G178" s="14"/>
      <x:c r="H178" s="14"/>
      <x:c r="I178" s="14"/>
      <x:c r="J178" s="14"/>
      <x:c r="K178" s="14" t="str">
        <x:v>NEEDS_WINDOW_BINDING</x:v>
      </x:c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  <x:c r="AD178" s="14"/>
      <x:c r="AE178" s="14"/>
      <x:c r="AF178" s="14"/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/>
      <x:c r="BC178" s="14"/>
      <x:c r="BD178" s="14"/>
      <x:c r="BE178" s="14"/>
      <x:c r="BF178" s="14"/>
      <x:c r="BG178" s="14"/>
      <x:c r="BH178" s="14"/>
      <x:c r="BI178" s="14"/>
      <x:c r="BJ178" s="14"/>
      <x:c r="BK178" s="14"/>
      <x:c r="BL178" s="14"/>
      <x:c r="BM178" s="14"/>
      <x:c r="BN178" s="14"/>
      <x:c r="BO178" s="14"/>
      <x:c r="BP178" s="14"/>
      <x:c r="BQ178" s="14"/>
      <x:c r="BR178" s="14"/>
      <x:c r="BS178" s="14"/>
      <x:c r="BT178" s="14"/>
      <x:c r="BU178" s="14"/>
      <x:c r="BV178" s="14"/>
      <x:c r="BW178" s="14"/>
      <x:c r="BX178" s="14"/>
      <x:c r="BY178" s="14"/>
      <x:c r="BZ178" s="14"/>
      <x:c r="CA178" s="14"/>
      <x:c r="CB178" s="14"/>
      <x:c r="CC178" s="14"/>
      <x:c r="CD178" s="14"/>
      <x:c r="CE178" s="14"/>
    </x:row>
    <x:row r="179">
      <x:c r="A179" s="14" t="n">
        <x:v>178</x:v>
      </x:c>
      <x:c r="B179" s="14"/>
      <x:c r="C179" s="14" t="str">
        <x:v>CHECKING_EVENT</x:v>
      </x:c>
      <x:c r="D179" s="14" t="str">
        <x:v>Exploratory_Checking_611_Positional_Surrogate.xlsx</x:v>
      </x:c>
      <x:c r="E179" s="14"/>
      <x:c r="F179" s="14"/>
      <x:c r="G179" s="14"/>
      <x:c r="H179" s="14"/>
      <x:c r="I179" s="14"/>
      <x:c r="J179" s="14"/>
      <x:c r="K179" s="14" t="str">
        <x:v>NEEDS_WINDOW_BINDING</x:v>
      </x:c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/>
      <x:c r="AC179" s="14"/>
      <x:c r="AD179" s="14"/>
      <x:c r="AE179" s="14"/>
      <x:c r="AF179" s="14"/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/>
      <x:c r="BC179" s="14"/>
      <x:c r="BD179" s="14"/>
      <x:c r="BE179" s="14"/>
      <x:c r="BF179" s="14"/>
      <x:c r="BG179" s="14"/>
      <x:c r="BH179" s="14"/>
      <x:c r="BI179" s="14"/>
      <x:c r="BJ179" s="14"/>
      <x:c r="BK179" s="14"/>
      <x:c r="BL179" s="14"/>
      <x:c r="BM179" s="14"/>
      <x:c r="BN179" s="14"/>
      <x:c r="BO179" s="14"/>
      <x:c r="BP179" s="14"/>
      <x:c r="BQ179" s="14"/>
      <x:c r="BR179" s="14"/>
      <x:c r="BS179" s="14"/>
      <x:c r="BT179" s="14"/>
      <x:c r="BU179" s="14"/>
      <x:c r="BV179" s="14"/>
      <x:c r="BW179" s="14"/>
      <x:c r="BX179" s="14"/>
      <x:c r="BY179" s="14"/>
      <x:c r="BZ179" s="14"/>
      <x:c r="CA179" s="14"/>
      <x:c r="CB179" s="14"/>
      <x:c r="CC179" s="14"/>
      <x:c r="CD179" s="14"/>
      <x:c r="CE179" s="14"/>
    </x:row>
    <x:row r="180">
      <x:c r="A180" s="14" t="n">
        <x:v>179</x:v>
      </x:c>
      <x:c r="B180" s="14"/>
      <x:c r="C180" s="14" t="str">
        <x:v>CHECKING_EVENT</x:v>
      </x:c>
      <x:c r="D180" s="14" t="str">
        <x:v>Exploratory_Checking_611_Positional_Surrogate.xlsx</x:v>
      </x:c>
      <x:c r="E180" s="14"/>
      <x:c r="F180" s="14"/>
      <x:c r="G180" s="14"/>
      <x:c r="H180" s="14"/>
      <x:c r="I180" s="14"/>
      <x:c r="J180" s="14"/>
      <x:c r="K180" s="14" t="str">
        <x:v>NEEDS_WINDOW_BINDING</x:v>
      </x:c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  <x:c r="AC180" s="14"/>
      <x:c r="AD180" s="14"/>
      <x:c r="AE180" s="14"/>
      <x:c r="AF180" s="14"/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/>
      <x:c r="BC180" s="14"/>
      <x:c r="BD180" s="14"/>
      <x:c r="BE180" s="14"/>
      <x:c r="BF180" s="14"/>
      <x:c r="BG180" s="14"/>
      <x:c r="BH180" s="14"/>
      <x:c r="BI180" s="14"/>
      <x:c r="BJ180" s="14"/>
      <x:c r="BK180" s="14"/>
      <x:c r="BL180" s="14"/>
      <x:c r="BM180" s="14"/>
      <x:c r="BN180" s="14"/>
      <x:c r="BO180" s="14"/>
      <x:c r="BP180" s="14"/>
      <x:c r="BQ180" s="14"/>
      <x:c r="BR180" s="14"/>
      <x:c r="BS180" s="14"/>
      <x:c r="BT180" s="14"/>
      <x:c r="BU180" s="14"/>
      <x:c r="BV180" s="14"/>
      <x:c r="BW180" s="14"/>
      <x:c r="BX180" s="14"/>
      <x:c r="BY180" s="14"/>
      <x:c r="BZ180" s="14"/>
      <x:c r="CA180" s="14"/>
      <x:c r="CB180" s="14"/>
      <x:c r="CC180" s="14"/>
      <x:c r="CD180" s="14"/>
      <x:c r="CE180" s="14"/>
    </x:row>
    <x:row r="181">
      <x:c r="A181" s="14" t="n">
        <x:v>180</x:v>
      </x:c>
      <x:c r="B181" s="14"/>
      <x:c r="C181" s="14" t="str">
        <x:v>CHECKING_EVENT</x:v>
      </x:c>
      <x:c r="D181" s="14" t="str">
        <x:v>Exploratory_Checking_611_Positional_Surrogate.xlsx</x:v>
      </x:c>
      <x:c r="E181" s="14"/>
      <x:c r="F181" s="14"/>
      <x:c r="G181" s="14"/>
      <x:c r="H181" s="14"/>
      <x:c r="I181" s="14"/>
      <x:c r="J181" s="14"/>
      <x:c r="K181" s="14" t="str">
        <x:v>NEEDS_WINDOW_BINDING</x:v>
      </x:c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  <x:c r="AC181" s="14"/>
      <x:c r="AD181" s="14"/>
      <x:c r="AE181" s="14"/>
      <x:c r="AF181" s="14"/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/>
      <x:c r="BC181" s="14"/>
      <x:c r="BD181" s="14"/>
      <x:c r="BE181" s="14"/>
      <x:c r="BF181" s="14"/>
      <x:c r="BG181" s="14"/>
      <x:c r="BH181" s="14"/>
      <x:c r="BI181" s="14"/>
      <x:c r="BJ181" s="14"/>
      <x:c r="BK181" s="14"/>
      <x:c r="BL181" s="14"/>
      <x:c r="BM181" s="14"/>
      <x:c r="BN181" s="14"/>
      <x:c r="BO181" s="14"/>
      <x:c r="BP181" s="14"/>
      <x:c r="BQ181" s="14"/>
      <x:c r="BR181" s="14"/>
      <x:c r="BS181" s="14"/>
      <x:c r="BT181" s="14"/>
      <x:c r="BU181" s="14"/>
      <x:c r="BV181" s="14"/>
      <x:c r="BW181" s="14"/>
      <x:c r="BX181" s="14"/>
      <x:c r="BY181" s="14"/>
      <x:c r="BZ181" s="14"/>
      <x:c r="CA181" s="14"/>
      <x:c r="CB181" s="14"/>
      <x:c r="CC181" s="14"/>
      <x:c r="CD181" s="14"/>
      <x:c r="CE181" s="14"/>
    </x:row>
    <x:row r="182">
      <x:c r="A182" s="14" t="n">
        <x:v>181</x:v>
      </x:c>
      <x:c r="B182" s="14"/>
      <x:c r="C182" s="14" t="str">
        <x:v>CHECKING_EVENT</x:v>
      </x:c>
      <x:c r="D182" s="14" t="str">
        <x:v>Exploratory_Checking_611_Positional_Surrogate.xlsx</x:v>
      </x:c>
      <x:c r="E182" s="14"/>
      <x:c r="F182" s="14"/>
      <x:c r="G182" s="14"/>
      <x:c r="H182" s="14"/>
      <x:c r="I182" s="14"/>
      <x:c r="J182" s="14"/>
      <x:c r="K182" s="14" t="str">
        <x:v>NEEDS_WINDOW_BINDING</x:v>
      </x:c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  <x:c r="AC182" s="14"/>
      <x:c r="AD182" s="14"/>
      <x:c r="AE182" s="14"/>
      <x:c r="AF182" s="14"/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/>
      <x:c r="BC182" s="14"/>
      <x:c r="BD182" s="14"/>
      <x:c r="BE182" s="14"/>
      <x:c r="BF182" s="14"/>
      <x:c r="BG182" s="14"/>
      <x:c r="BH182" s="14"/>
      <x:c r="BI182" s="14"/>
      <x:c r="BJ182" s="14"/>
      <x:c r="BK182" s="14"/>
      <x:c r="BL182" s="14"/>
      <x:c r="BM182" s="14"/>
      <x:c r="BN182" s="14"/>
      <x:c r="BO182" s="14"/>
      <x:c r="BP182" s="14"/>
      <x:c r="BQ182" s="14"/>
      <x:c r="BR182" s="14"/>
      <x:c r="BS182" s="14"/>
      <x:c r="BT182" s="14"/>
      <x:c r="BU182" s="14"/>
      <x:c r="BV182" s="14"/>
      <x:c r="BW182" s="14"/>
      <x:c r="BX182" s="14"/>
      <x:c r="BY182" s="14"/>
      <x:c r="BZ182" s="14"/>
      <x:c r="CA182" s="14"/>
      <x:c r="CB182" s="14"/>
      <x:c r="CC182" s="14"/>
      <x:c r="CD182" s="14"/>
      <x:c r="CE182" s="14"/>
    </x:row>
    <x:row r="183">
      <x:c r="A183" s="14" t="n">
        <x:v>182</x:v>
      </x:c>
      <x:c r="B183" s="14"/>
      <x:c r="C183" s="14" t="str">
        <x:v>CHECKING_EVENT</x:v>
      </x:c>
      <x:c r="D183" s="14" t="str">
        <x:v>Exploratory_Checking_611_Positional_Surrogate.xlsx</x:v>
      </x:c>
      <x:c r="E183" s="14"/>
      <x:c r="F183" s="14"/>
      <x:c r="G183" s="14"/>
      <x:c r="H183" s="14"/>
      <x:c r="I183" s="14"/>
      <x:c r="J183" s="14"/>
      <x:c r="K183" s="14" t="str">
        <x:v>NEEDS_WINDOW_BINDING</x:v>
      </x:c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  <x:c r="AC183" s="14"/>
      <x:c r="AD183" s="14"/>
      <x:c r="AE183" s="14"/>
      <x:c r="AF183" s="14"/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/>
      <x:c r="BC183" s="14"/>
      <x:c r="BD183" s="14"/>
      <x:c r="BE183" s="14"/>
      <x:c r="BF183" s="14"/>
      <x:c r="BG183" s="14"/>
      <x:c r="BH183" s="14"/>
      <x:c r="BI183" s="14"/>
      <x:c r="BJ183" s="14"/>
      <x:c r="BK183" s="14"/>
      <x:c r="BL183" s="14"/>
      <x:c r="BM183" s="14"/>
      <x:c r="BN183" s="14"/>
      <x:c r="BO183" s="14"/>
      <x:c r="BP183" s="14"/>
      <x:c r="BQ183" s="14"/>
      <x:c r="BR183" s="14"/>
      <x:c r="BS183" s="14"/>
      <x:c r="BT183" s="14"/>
      <x:c r="BU183" s="14"/>
      <x:c r="BV183" s="14"/>
      <x:c r="BW183" s="14"/>
      <x:c r="BX183" s="14"/>
      <x:c r="BY183" s="14"/>
      <x:c r="BZ183" s="14"/>
      <x:c r="CA183" s="14"/>
      <x:c r="CB183" s="14"/>
      <x:c r="CC183" s="14"/>
      <x:c r="CD183" s="14"/>
      <x:c r="CE183" s="14"/>
    </x:row>
    <x:row r="184">
      <x:c r="A184" s="14" t="n">
        <x:v>183</x:v>
      </x:c>
      <x:c r="B184" s="14"/>
      <x:c r="C184" s="14" t="str">
        <x:v>CHECKING_EVENT</x:v>
      </x:c>
      <x:c r="D184" s="14" t="str">
        <x:v>Exploratory_Checking_611_Positional_Surrogate.xlsx</x:v>
      </x:c>
      <x:c r="E184" s="14"/>
      <x:c r="F184" s="14"/>
      <x:c r="G184" s="14"/>
      <x:c r="H184" s="14"/>
      <x:c r="I184" s="14"/>
      <x:c r="J184" s="14"/>
      <x:c r="K184" s="14" t="str">
        <x:v>NEEDS_WINDOW_BINDING</x:v>
      </x:c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/>
      <x:c r="BC184" s="14"/>
      <x:c r="BD184" s="14"/>
      <x:c r="BE184" s="14"/>
      <x:c r="BF184" s="14"/>
      <x:c r="BG184" s="14"/>
      <x:c r="BH184" s="14"/>
      <x:c r="BI184" s="14"/>
      <x:c r="BJ184" s="14"/>
      <x:c r="BK184" s="14"/>
      <x:c r="BL184" s="14"/>
      <x:c r="BM184" s="14"/>
      <x:c r="BN184" s="14"/>
      <x:c r="BO184" s="14"/>
      <x:c r="BP184" s="14"/>
      <x:c r="BQ184" s="14"/>
      <x:c r="BR184" s="14"/>
      <x:c r="BS184" s="14"/>
      <x:c r="BT184" s="14"/>
      <x:c r="BU184" s="14"/>
      <x:c r="BV184" s="14"/>
      <x:c r="BW184" s="14"/>
      <x:c r="BX184" s="14"/>
      <x:c r="BY184" s="14"/>
      <x:c r="BZ184" s="14"/>
      <x:c r="CA184" s="14"/>
      <x:c r="CB184" s="14"/>
      <x:c r="CC184" s="14"/>
      <x:c r="CD184" s="14"/>
      <x:c r="CE184" s="14"/>
    </x:row>
    <x:row r="185">
      <x:c r="A185" s="14" t="n">
        <x:v>184</x:v>
      </x:c>
      <x:c r="B185" s="14"/>
      <x:c r="C185" s="14" t="str">
        <x:v>CHECKING_EVENT</x:v>
      </x:c>
      <x:c r="D185" s="14" t="str">
        <x:v>Exploratory_Checking_611_Positional_Surrogate.xlsx</x:v>
      </x:c>
      <x:c r="E185" s="14"/>
      <x:c r="F185" s="14"/>
      <x:c r="G185" s="14"/>
      <x:c r="H185" s="14"/>
      <x:c r="I185" s="14"/>
      <x:c r="J185" s="14"/>
      <x:c r="K185" s="14" t="str">
        <x:v>NEEDS_WINDOW_BINDING</x:v>
      </x:c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/>
      <x:c r="AC185" s="14"/>
      <x:c r="AD185" s="14"/>
      <x:c r="AE185" s="14"/>
      <x:c r="AF185" s="14"/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/>
      <x:c r="BC185" s="14"/>
      <x:c r="BD185" s="14"/>
      <x:c r="BE185" s="14"/>
      <x:c r="BF185" s="14"/>
      <x:c r="BG185" s="14"/>
      <x:c r="BH185" s="14"/>
      <x:c r="BI185" s="14"/>
      <x:c r="BJ185" s="14"/>
      <x:c r="BK185" s="14"/>
      <x:c r="BL185" s="14"/>
      <x:c r="BM185" s="14"/>
      <x:c r="BN185" s="14"/>
      <x:c r="BO185" s="14"/>
      <x:c r="BP185" s="14"/>
      <x:c r="BQ185" s="14"/>
      <x:c r="BR185" s="14"/>
      <x:c r="BS185" s="14"/>
      <x:c r="BT185" s="14"/>
      <x:c r="BU185" s="14"/>
      <x:c r="BV185" s="14"/>
      <x:c r="BW185" s="14"/>
      <x:c r="BX185" s="14"/>
      <x:c r="BY185" s="14"/>
      <x:c r="BZ185" s="14"/>
      <x:c r="CA185" s="14"/>
      <x:c r="CB185" s="14"/>
      <x:c r="CC185" s="14"/>
      <x:c r="CD185" s="14"/>
      <x:c r="CE185" s="14"/>
    </x:row>
    <x:row r="186">
      <x:c r="A186" s="14" t="n">
        <x:v>185</x:v>
      </x:c>
      <x:c r="B186" s="14"/>
      <x:c r="C186" s="14" t="str">
        <x:v>CHECKING_EVENT</x:v>
      </x:c>
      <x:c r="D186" s="14" t="str">
        <x:v>Exploratory_Checking_611_Positional_Surrogate.xlsx</x:v>
      </x:c>
      <x:c r="E186" s="14"/>
      <x:c r="F186" s="14"/>
      <x:c r="G186" s="14"/>
      <x:c r="H186" s="14"/>
      <x:c r="I186" s="14"/>
      <x:c r="J186" s="14"/>
      <x:c r="K186" s="14" t="str">
        <x:v>NEEDS_WINDOW_BINDING</x:v>
      </x:c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  <x:c r="AC186" s="14"/>
      <x:c r="AD186" s="14"/>
      <x:c r="AE186" s="14"/>
      <x:c r="AF186" s="14"/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/>
      <x:c r="BC186" s="14"/>
      <x:c r="BD186" s="14"/>
      <x:c r="BE186" s="14"/>
      <x:c r="BF186" s="14"/>
      <x:c r="BG186" s="14"/>
      <x:c r="BH186" s="14"/>
      <x:c r="BI186" s="14"/>
      <x:c r="BJ186" s="14"/>
      <x:c r="BK186" s="14"/>
      <x:c r="BL186" s="14"/>
      <x:c r="BM186" s="14"/>
      <x:c r="BN186" s="14"/>
      <x:c r="BO186" s="14"/>
      <x:c r="BP186" s="14"/>
      <x:c r="BQ186" s="14"/>
      <x:c r="BR186" s="14"/>
      <x:c r="BS186" s="14"/>
      <x:c r="BT186" s="14"/>
      <x:c r="BU186" s="14"/>
      <x:c r="BV186" s="14"/>
      <x:c r="BW186" s="14"/>
      <x:c r="BX186" s="14"/>
      <x:c r="BY186" s="14"/>
      <x:c r="BZ186" s="14"/>
      <x:c r="CA186" s="14"/>
      <x:c r="CB186" s="14"/>
      <x:c r="CC186" s="14"/>
      <x:c r="CD186" s="14"/>
      <x:c r="CE186" s="14"/>
    </x:row>
    <x:row r="187">
      <x:c r="A187" s="14" t="n">
        <x:v>186</x:v>
      </x:c>
      <x:c r="B187" s="14"/>
      <x:c r="C187" s="14" t="str">
        <x:v>CHECKING_EVENT</x:v>
      </x:c>
      <x:c r="D187" s="14" t="str">
        <x:v>Exploratory_Checking_611_Positional_Surrogate.xlsx</x:v>
      </x:c>
      <x:c r="E187" s="14"/>
      <x:c r="F187" s="14"/>
      <x:c r="G187" s="14"/>
      <x:c r="H187" s="14"/>
      <x:c r="I187" s="14"/>
      <x:c r="J187" s="14"/>
      <x:c r="K187" s="14" t="str">
        <x:v>NEEDS_WINDOW_BINDING</x:v>
      </x:c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  <x:c r="AC187" s="14"/>
      <x:c r="AD187" s="14"/>
      <x:c r="AE187" s="14"/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/>
      <x:c r="BC187" s="14"/>
      <x:c r="BD187" s="14"/>
      <x:c r="BE187" s="14"/>
      <x:c r="BF187" s="14"/>
      <x:c r="BG187" s="14"/>
      <x:c r="BH187" s="14"/>
      <x:c r="BI187" s="14"/>
      <x:c r="BJ187" s="14"/>
      <x:c r="BK187" s="14"/>
      <x:c r="BL187" s="14"/>
      <x:c r="BM187" s="14"/>
      <x:c r="BN187" s="14"/>
      <x:c r="BO187" s="14"/>
      <x:c r="BP187" s="14"/>
      <x:c r="BQ187" s="14"/>
      <x:c r="BR187" s="14"/>
      <x:c r="BS187" s="14"/>
      <x:c r="BT187" s="14"/>
      <x:c r="BU187" s="14"/>
      <x:c r="BV187" s="14"/>
      <x:c r="BW187" s="14"/>
      <x:c r="BX187" s="14"/>
      <x:c r="BY187" s="14"/>
      <x:c r="BZ187" s="14"/>
      <x:c r="CA187" s="14"/>
      <x:c r="CB187" s="14"/>
      <x:c r="CC187" s="14"/>
      <x:c r="CD187" s="14"/>
      <x:c r="CE187" s="14"/>
    </x:row>
    <x:row r="188">
      <x:c r="A188" s="14" t="n">
        <x:v>187</x:v>
      </x:c>
      <x:c r="B188" s="14"/>
      <x:c r="C188" s="14" t="str">
        <x:v>CHECKING_EVENT</x:v>
      </x:c>
      <x:c r="D188" s="14" t="str">
        <x:v>Exploratory_Checking_611_Positional_Surrogate.xlsx</x:v>
      </x:c>
      <x:c r="E188" s="14"/>
      <x:c r="F188" s="14"/>
      <x:c r="G188" s="14"/>
      <x:c r="H188" s="14"/>
      <x:c r="I188" s="14"/>
      <x:c r="J188" s="14"/>
      <x:c r="K188" s="14" t="str">
        <x:v>NEEDS_WINDOW_BINDING</x:v>
      </x:c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/>
      <x:c r="BC188" s="14"/>
      <x:c r="BD188" s="14"/>
      <x:c r="BE188" s="14"/>
      <x:c r="BF188" s="14"/>
      <x:c r="BG188" s="14"/>
      <x:c r="BH188" s="14"/>
      <x:c r="BI188" s="14"/>
      <x:c r="BJ188" s="14"/>
      <x:c r="BK188" s="14"/>
      <x:c r="BL188" s="14"/>
      <x:c r="BM188" s="14"/>
      <x:c r="BN188" s="14"/>
      <x:c r="BO188" s="14"/>
      <x:c r="BP188" s="14"/>
      <x:c r="BQ188" s="14"/>
      <x:c r="BR188" s="14"/>
      <x:c r="BS188" s="14"/>
      <x:c r="BT188" s="14"/>
      <x:c r="BU188" s="14"/>
      <x:c r="BV188" s="14"/>
      <x:c r="BW188" s="14"/>
      <x:c r="BX188" s="14"/>
      <x:c r="BY188" s="14"/>
      <x:c r="BZ188" s="14"/>
      <x:c r="CA188" s="14"/>
      <x:c r="CB188" s="14"/>
      <x:c r="CC188" s="14"/>
      <x:c r="CD188" s="14"/>
      <x:c r="CE188" s="14"/>
    </x:row>
    <x:row r="189">
      <x:c r="A189" s="14" t="n">
        <x:v>188</x:v>
      </x:c>
      <x:c r="B189" s="14"/>
      <x:c r="C189" s="14" t="str">
        <x:v>CHECKING_EVENT</x:v>
      </x:c>
      <x:c r="D189" s="14" t="str">
        <x:v>Exploratory_Checking_611_Positional_Surrogate.xlsx</x:v>
      </x:c>
      <x:c r="E189" s="14"/>
      <x:c r="F189" s="14"/>
      <x:c r="G189" s="14"/>
      <x:c r="H189" s="14"/>
      <x:c r="I189" s="14"/>
      <x:c r="J189" s="14"/>
      <x:c r="K189" s="14" t="str">
        <x:v>NEEDS_WINDOW_BINDING</x:v>
      </x:c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/>
      <x:c r="AC189" s="14"/>
      <x:c r="AD189" s="14"/>
      <x:c r="AE189" s="14"/>
      <x:c r="AF189" s="14"/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/>
      <x:c r="BC189" s="14"/>
      <x:c r="BD189" s="14"/>
      <x:c r="BE189" s="14"/>
      <x:c r="BF189" s="14"/>
      <x:c r="BG189" s="14"/>
      <x:c r="BH189" s="14"/>
      <x:c r="BI189" s="14"/>
      <x:c r="BJ189" s="14"/>
      <x:c r="BK189" s="14"/>
      <x:c r="BL189" s="14"/>
      <x:c r="BM189" s="14"/>
      <x:c r="BN189" s="14"/>
      <x:c r="BO189" s="14"/>
      <x:c r="BP189" s="14"/>
      <x:c r="BQ189" s="14"/>
      <x:c r="BR189" s="14"/>
      <x:c r="BS189" s="14"/>
      <x:c r="BT189" s="14"/>
      <x:c r="BU189" s="14"/>
      <x:c r="BV189" s="14"/>
      <x:c r="BW189" s="14"/>
      <x:c r="BX189" s="14"/>
      <x:c r="BY189" s="14"/>
      <x:c r="BZ189" s="14"/>
      <x:c r="CA189" s="14"/>
      <x:c r="CB189" s="14"/>
      <x:c r="CC189" s="14"/>
      <x:c r="CD189" s="14"/>
      <x:c r="CE189" s="14"/>
    </x:row>
    <x:row r="190">
      <x:c r="A190" s="14" t="n">
        <x:v>189</x:v>
      </x:c>
      <x:c r="B190" s="14"/>
      <x:c r="C190" s="14" t="str">
        <x:v>CHECKING_EVENT</x:v>
      </x:c>
      <x:c r="D190" s="14" t="str">
        <x:v>Exploratory_Checking_611_Positional_Surrogate.xlsx</x:v>
      </x:c>
      <x:c r="E190" s="14"/>
      <x:c r="F190" s="14"/>
      <x:c r="G190" s="14"/>
      <x:c r="H190" s="14"/>
      <x:c r="I190" s="14"/>
      <x:c r="J190" s="14"/>
      <x:c r="K190" s="14" t="str">
        <x:v>NEEDS_WINDOW_BINDING</x:v>
      </x:c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  <x:c r="AC190" s="14"/>
      <x:c r="AD190" s="14"/>
      <x:c r="AE190" s="14"/>
      <x:c r="AF190" s="14"/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/>
      <x:c r="BC190" s="14"/>
      <x:c r="BD190" s="14"/>
      <x:c r="BE190" s="14"/>
      <x:c r="BF190" s="14"/>
      <x:c r="BG190" s="14"/>
      <x:c r="BH190" s="14"/>
      <x:c r="BI190" s="14"/>
      <x:c r="BJ190" s="14"/>
      <x:c r="BK190" s="14"/>
      <x:c r="BL190" s="14"/>
      <x:c r="BM190" s="14"/>
      <x:c r="BN190" s="14"/>
      <x:c r="BO190" s="14"/>
      <x:c r="BP190" s="14"/>
      <x:c r="BQ190" s="14"/>
      <x:c r="BR190" s="14"/>
      <x:c r="BS190" s="14"/>
      <x:c r="BT190" s="14"/>
      <x:c r="BU190" s="14"/>
      <x:c r="BV190" s="14"/>
      <x:c r="BW190" s="14"/>
      <x:c r="BX190" s="14"/>
      <x:c r="BY190" s="14"/>
      <x:c r="BZ190" s="14"/>
      <x:c r="CA190" s="14"/>
      <x:c r="CB190" s="14"/>
      <x:c r="CC190" s="14"/>
      <x:c r="CD190" s="14"/>
      <x:c r="CE190" s="14"/>
    </x:row>
    <x:row r="191">
      <x:c r="A191" s="14" t="n">
        <x:v>190</x:v>
      </x:c>
      <x:c r="B191" s="14"/>
      <x:c r="C191" s="14" t="str">
        <x:v>CHECKING_EVENT</x:v>
      </x:c>
      <x:c r="D191" s="14" t="str">
        <x:v>Exploratory_Checking_611_Positional_Surrogate.xlsx</x:v>
      </x:c>
      <x:c r="E191" s="14"/>
      <x:c r="F191" s="14"/>
      <x:c r="G191" s="14"/>
      <x:c r="H191" s="14"/>
      <x:c r="I191" s="14"/>
      <x:c r="J191" s="14"/>
      <x:c r="K191" s="14" t="str">
        <x:v>NEEDS_WINDOW_BINDING</x:v>
      </x:c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/>
      <x:c r="AC191" s="14"/>
      <x:c r="AD191" s="14"/>
      <x:c r="AE191" s="14"/>
      <x:c r="AF191" s="14"/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/>
      <x:c r="BC191" s="14"/>
      <x:c r="BD191" s="14"/>
      <x:c r="BE191" s="14"/>
      <x:c r="BF191" s="14"/>
      <x:c r="BG191" s="14"/>
      <x:c r="BH191" s="14"/>
      <x:c r="BI191" s="14"/>
      <x:c r="BJ191" s="14"/>
      <x:c r="BK191" s="14"/>
      <x:c r="BL191" s="14"/>
      <x:c r="BM191" s="14"/>
      <x:c r="BN191" s="14"/>
      <x:c r="BO191" s="14"/>
      <x:c r="BP191" s="14"/>
      <x:c r="BQ191" s="14"/>
      <x:c r="BR191" s="14"/>
      <x:c r="BS191" s="14"/>
      <x:c r="BT191" s="14"/>
      <x:c r="BU191" s="14"/>
      <x:c r="BV191" s="14"/>
      <x:c r="BW191" s="14"/>
      <x:c r="BX191" s="14"/>
      <x:c r="BY191" s="14"/>
      <x:c r="BZ191" s="14"/>
      <x:c r="CA191" s="14"/>
      <x:c r="CB191" s="14"/>
      <x:c r="CC191" s="14"/>
      <x:c r="CD191" s="14"/>
      <x:c r="CE191" s="14"/>
    </x:row>
    <x:row r="192">
      <x:c r="A192" s="14" t="n">
        <x:v>191</x:v>
      </x:c>
      <x:c r="B192" s="14"/>
      <x:c r="C192" s="14" t="str">
        <x:v>CHECKING_EVENT</x:v>
      </x:c>
      <x:c r="D192" s="14" t="str">
        <x:v>Exploratory_Checking_611_Positional_Surrogate.xlsx</x:v>
      </x:c>
      <x:c r="E192" s="14"/>
      <x:c r="F192" s="14"/>
      <x:c r="G192" s="14"/>
      <x:c r="H192" s="14"/>
      <x:c r="I192" s="14"/>
      <x:c r="J192" s="14"/>
      <x:c r="K192" s="14" t="str">
        <x:v>NEEDS_WINDOW_BINDING</x:v>
      </x:c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/>
      <x:c r="AC192" s="14"/>
      <x:c r="AD192" s="14"/>
      <x:c r="AE192" s="14"/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/>
      <x:c r="BC192" s="14"/>
      <x:c r="BD192" s="14"/>
      <x:c r="BE192" s="14"/>
      <x:c r="BF192" s="14"/>
      <x:c r="BG192" s="14"/>
      <x:c r="BH192" s="14"/>
      <x:c r="BI192" s="14"/>
      <x:c r="BJ192" s="14"/>
      <x:c r="BK192" s="14"/>
      <x:c r="BL192" s="14"/>
      <x:c r="BM192" s="14"/>
      <x:c r="BN192" s="14"/>
      <x:c r="BO192" s="14"/>
      <x:c r="BP192" s="14"/>
      <x:c r="BQ192" s="14"/>
      <x:c r="BR192" s="14"/>
      <x:c r="BS192" s="14"/>
      <x:c r="BT192" s="14"/>
      <x:c r="BU192" s="14"/>
      <x:c r="BV192" s="14"/>
      <x:c r="BW192" s="14"/>
      <x:c r="BX192" s="14"/>
      <x:c r="BY192" s="14"/>
      <x:c r="BZ192" s="14"/>
      <x:c r="CA192" s="14"/>
      <x:c r="CB192" s="14"/>
      <x:c r="CC192" s="14"/>
      <x:c r="CD192" s="14"/>
      <x:c r="CE192" s="14"/>
    </x:row>
    <x:row r="193">
      <x:c r="A193" s="14" t="n">
        <x:v>192</x:v>
      </x:c>
      <x:c r="B193" s="14"/>
      <x:c r="C193" s="14" t="str">
        <x:v>CHECKING_EVENT</x:v>
      </x:c>
      <x:c r="D193" s="14" t="str">
        <x:v>Exploratory_Checking_611_Positional_Surrogate.xlsx</x:v>
      </x:c>
      <x:c r="E193" s="14"/>
      <x:c r="F193" s="14"/>
      <x:c r="G193" s="14"/>
      <x:c r="H193" s="14"/>
      <x:c r="I193" s="14"/>
      <x:c r="J193" s="14"/>
      <x:c r="K193" s="14" t="str">
        <x:v>NEEDS_WINDOW_BINDING</x:v>
      </x:c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  <x:c r="AC193" s="14"/>
      <x:c r="AD193" s="14"/>
      <x:c r="AE193" s="14"/>
      <x:c r="AF193" s="14"/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/>
      <x:c r="BC193" s="14"/>
      <x:c r="BD193" s="14"/>
      <x:c r="BE193" s="14"/>
      <x:c r="BF193" s="14"/>
      <x:c r="BG193" s="14"/>
      <x:c r="BH193" s="14"/>
      <x:c r="BI193" s="14"/>
      <x:c r="BJ193" s="14"/>
      <x:c r="BK193" s="14"/>
      <x:c r="BL193" s="14"/>
      <x:c r="BM193" s="14"/>
      <x:c r="BN193" s="14"/>
      <x:c r="BO193" s="14"/>
      <x:c r="BP193" s="14"/>
      <x:c r="BQ193" s="14"/>
      <x:c r="BR193" s="14"/>
      <x:c r="BS193" s="14"/>
      <x:c r="BT193" s="14"/>
      <x:c r="BU193" s="14"/>
      <x:c r="BV193" s="14"/>
      <x:c r="BW193" s="14"/>
      <x:c r="BX193" s="14"/>
      <x:c r="BY193" s="14"/>
      <x:c r="BZ193" s="14"/>
      <x:c r="CA193" s="14"/>
      <x:c r="CB193" s="14"/>
      <x:c r="CC193" s="14"/>
      <x:c r="CD193" s="14"/>
      <x:c r="CE193" s="14"/>
    </x:row>
    <x:row r="194">
      <x:c r="A194" s="14" t="n">
        <x:v>193</x:v>
      </x:c>
      <x:c r="B194" s="14"/>
      <x:c r="C194" s="14" t="str">
        <x:v>CHECKING_EVENT</x:v>
      </x:c>
      <x:c r="D194" s="14" t="str">
        <x:v>Exploratory_Checking_611_Positional_Surrogate.xlsx</x:v>
      </x:c>
      <x:c r="E194" s="14"/>
      <x:c r="F194" s="14"/>
      <x:c r="G194" s="14"/>
      <x:c r="H194" s="14"/>
      <x:c r="I194" s="14"/>
      <x:c r="J194" s="14"/>
      <x:c r="K194" s="14" t="str">
        <x:v>NEEDS_WINDOW_BINDING</x:v>
      </x:c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  <x:c r="AD194" s="14"/>
      <x:c r="AE194" s="14"/>
      <x:c r="AF194" s="14"/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/>
      <x:c r="BC194" s="14"/>
      <x:c r="BD194" s="14"/>
      <x:c r="BE194" s="14"/>
      <x:c r="BF194" s="14"/>
      <x:c r="BG194" s="14"/>
      <x:c r="BH194" s="14"/>
      <x:c r="BI194" s="14"/>
      <x:c r="BJ194" s="14"/>
      <x:c r="BK194" s="14"/>
      <x:c r="BL194" s="14"/>
      <x:c r="BM194" s="14"/>
      <x:c r="BN194" s="14"/>
      <x:c r="BO194" s="14"/>
      <x:c r="BP194" s="14"/>
      <x:c r="BQ194" s="14"/>
      <x:c r="BR194" s="14"/>
      <x:c r="BS194" s="14"/>
      <x:c r="BT194" s="14"/>
      <x:c r="BU194" s="14"/>
      <x:c r="BV194" s="14"/>
      <x:c r="BW194" s="14"/>
      <x:c r="BX194" s="14"/>
      <x:c r="BY194" s="14"/>
      <x:c r="BZ194" s="14"/>
      <x:c r="CA194" s="14"/>
      <x:c r="CB194" s="14"/>
      <x:c r="CC194" s="14"/>
      <x:c r="CD194" s="14"/>
      <x:c r="CE194" s="14"/>
    </x:row>
    <x:row r="195">
      <x:c r="A195" s="14" t="n">
        <x:v>194</x:v>
      </x:c>
      <x:c r="B195" s="14"/>
      <x:c r="C195" s="14" t="str">
        <x:v>CHECKING_EVENT</x:v>
      </x:c>
      <x:c r="D195" s="14" t="str">
        <x:v>Exploratory_Checking_611_Positional_Surrogate.xlsx</x:v>
      </x:c>
      <x:c r="E195" s="14"/>
      <x:c r="F195" s="14"/>
      <x:c r="G195" s="14"/>
      <x:c r="H195" s="14"/>
      <x:c r="I195" s="14"/>
      <x:c r="J195" s="14"/>
      <x:c r="K195" s="14" t="str">
        <x:v>NEEDS_WINDOW_BINDING</x:v>
      </x:c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  <x:c r="AD195" s="14"/>
      <x:c r="AE195" s="14"/>
      <x:c r="AF195" s="14"/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/>
      <x:c r="BC195" s="14"/>
      <x:c r="BD195" s="14"/>
      <x:c r="BE195" s="14"/>
      <x:c r="BF195" s="14"/>
      <x:c r="BG195" s="14"/>
      <x:c r="BH195" s="14"/>
      <x:c r="BI195" s="14"/>
      <x:c r="BJ195" s="14"/>
      <x:c r="BK195" s="14"/>
      <x:c r="BL195" s="14"/>
      <x:c r="BM195" s="14"/>
      <x:c r="BN195" s="14"/>
      <x:c r="BO195" s="14"/>
      <x:c r="BP195" s="14"/>
      <x:c r="BQ195" s="14"/>
      <x:c r="BR195" s="14"/>
      <x:c r="BS195" s="14"/>
      <x:c r="BT195" s="14"/>
      <x:c r="BU195" s="14"/>
      <x:c r="BV195" s="14"/>
      <x:c r="BW195" s="14"/>
      <x:c r="BX195" s="14"/>
      <x:c r="BY195" s="14"/>
      <x:c r="BZ195" s="14"/>
      <x:c r="CA195" s="14"/>
      <x:c r="CB195" s="14"/>
      <x:c r="CC195" s="14"/>
      <x:c r="CD195" s="14"/>
      <x:c r="CE195" s="14"/>
    </x:row>
    <x:row r="196">
      <x:c r="A196" s="14" t="n">
        <x:v>195</x:v>
      </x:c>
      <x:c r="B196" s="14"/>
      <x:c r="C196" s="14" t="str">
        <x:v>CHECKING_EVENT</x:v>
      </x:c>
      <x:c r="D196" s="14" t="str">
        <x:v>Exploratory_Checking_611_Positional_Surrogate.xlsx</x:v>
      </x:c>
      <x:c r="E196" s="14"/>
      <x:c r="F196" s="14"/>
      <x:c r="G196" s="14"/>
      <x:c r="H196" s="14"/>
      <x:c r="I196" s="14"/>
      <x:c r="J196" s="14"/>
      <x:c r="K196" s="14" t="str">
        <x:v>NEEDS_WINDOW_BINDING</x:v>
      </x:c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/>
      <x:c r="BC196" s="14"/>
      <x:c r="BD196" s="14"/>
      <x:c r="BE196" s="14"/>
      <x:c r="BF196" s="14"/>
      <x:c r="BG196" s="14"/>
      <x:c r="BH196" s="14"/>
      <x:c r="BI196" s="14"/>
      <x:c r="BJ196" s="14"/>
      <x:c r="BK196" s="14"/>
      <x:c r="BL196" s="14"/>
      <x:c r="BM196" s="14"/>
      <x:c r="BN196" s="14"/>
      <x:c r="BO196" s="14"/>
      <x:c r="BP196" s="14"/>
      <x:c r="BQ196" s="14"/>
      <x:c r="BR196" s="14"/>
      <x:c r="BS196" s="14"/>
      <x:c r="BT196" s="14"/>
      <x:c r="BU196" s="14"/>
      <x:c r="BV196" s="14"/>
      <x:c r="BW196" s="14"/>
      <x:c r="BX196" s="14"/>
      <x:c r="BY196" s="14"/>
      <x:c r="BZ196" s="14"/>
      <x:c r="CA196" s="14"/>
      <x:c r="CB196" s="14"/>
      <x:c r="CC196" s="14"/>
      <x:c r="CD196" s="14"/>
      <x:c r="CE196" s="14"/>
    </x:row>
    <x:row r="197">
      <x:c r="A197" s="14" t="n">
        <x:v>196</x:v>
      </x:c>
      <x:c r="B197" s="14"/>
      <x:c r="C197" s="14" t="str">
        <x:v>CHECKING_EVENT</x:v>
      </x:c>
      <x:c r="D197" s="14" t="str">
        <x:v>Exploratory_Checking_611_Positional_Surrogate.xlsx</x:v>
      </x:c>
      <x:c r="E197" s="14"/>
      <x:c r="F197" s="14"/>
      <x:c r="G197" s="14"/>
      <x:c r="H197" s="14"/>
      <x:c r="I197" s="14"/>
      <x:c r="J197" s="14"/>
      <x:c r="K197" s="14" t="str">
        <x:v>NEEDS_WINDOW_BINDING</x:v>
      </x:c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/>
      <x:c r="BC197" s="14"/>
      <x:c r="BD197" s="14"/>
      <x:c r="BE197" s="14"/>
      <x:c r="BF197" s="14"/>
      <x:c r="BG197" s="14"/>
      <x:c r="BH197" s="14"/>
      <x:c r="BI197" s="14"/>
      <x:c r="BJ197" s="14"/>
      <x:c r="BK197" s="14"/>
      <x:c r="BL197" s="14"/>
      <x:c r="BM197" s="14"/>
      <x:c r="BN197" s="14"/>
      <x:c r="BO197" s="14"/>
      <x:c r="BP197" s="14"/>
      <x:c r="BQ197" s="14"/>
      <x:c r="BR197" s="14"/>
      <x:c r="BS197" s="14"/>
      <x:c r="BT197" s="14"/>
      <x:c r="BU197" s="14"/>
      <x:c r="BV197" s="14"/>
      <x:c r="BW197" s="14"/>
      <x:c r="BX197" s="14"/>
      <x:c r="BY197" s="14"/>
      <x:c r="BZ197" s="14"/>
      <x:c r="CA197" s="14"/>
      <x:c r="CB197" s="14"/>
      <x:c r="CC197" s="14"/>
      <x:c r="CD197" s="14"/>
      <x:c r="CE197" s="14"/>
    </x:row>
    <x:row r="198">
      <x:c r="A198" s="14" t="n">
        <x:v>197</x:v>
      </x:c>
      <x:c r="B198" s="14"/>
      <x:c r="C198" s="14" t="str">
        <x:v>CHECKING_EVENT</x:v>
      </x:c>
      <x:c r="D198" s="14" t="str">
        <x:v>Exploratory_Checking_611_Positional_Surrogate.xlsx</x:v>
      </x:c>
      <x:c r="E198" s="14"/>
      <x:c r="F198" s="14"/>
      <x:c r="G198" s="14"/>
      <x:c r="H198" s="14"/>
      <x:c r="I198" s="14"/>
      <x:c r="J198" s="14"/>
      <x:c r="K198" s="14" t="str">
        <x:v>NEEDS_WINDOW_BINDING</x:v>
      </x:c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  <x:c r="AC198" s="14"/>
      <x:c r="AD198" s="14"/>
      <x:c r="AE198" s="14"/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/>
      <x:c r="BC198" s="14"/>
      <x:c r="BD198" s="14"/>
      <x:c r="BE198" s="14"/>
      <x:c r="BF198" s="14"/>
      <x:c r="BG198" s="14"/>
      <x:c r="BH198" s="14"/>
      <x:c r="BI198" s="14"/>
      <x:c r="BJ198" s="14"/>
      <x:c r="BK198" s="14"/>
      <x:c r="BL198" s="14"/>
      <x:c r="BM198" s="14"/>
      <x:c r="BN198" s="14"/>
      <x:c r="BO198" s="14"/>
      <x:c r="BP198" s="14"/>
      <x:c r="BQ198" s="14"/>
      <x:c r="BR198" s="14"/>
      <x:c r="BS198" s="14"/>
      <x:c r="BT198" s="14"/>
      <x:c r="BU198" s="14"/>
      <x:c r="BV198" s="14"/>
      <x:c r="BW198" s="14"/>
      <x:c r="BX198" s="14"/>
      <x:c r="BY198" s="14"/>
      <x:c r="BZ198" s="14"/>
      <x:c r="CA198" s="14"/>
      <x:c r="CB198" s="14"/>
      <x:c r="CC198" s="14"/>
      <x:c r="CD198" s="14"/>
      <x:c r="CE198" s="14"/>
    </x:row>
    <x:row r="199">
      <x:c r="A199" s="14" t="n">
        <x:v>198</x:v>
      </x:c>
      <x:c r="B199" s="14"/>
      <x:c r="C199" s="14" t="str">
        <x:v>CHECKING_EVENT</x:v>
      </x:c>
      <x:c r="D199" s="14" t="str">
        <x:v>Exploratory_Checking_611_Positional_Surrogate.xlsx</x:v>
      </x:c>
      <x:c r="E199" s="14"/>
      <x:c r="F199" s="14"/>
      <x:c r="G199" s="14"/>
      <x:c r="H199" s="14"/>
      <x:c r="I199" s="14"/>
      <x:c r="J199" s="14"/>
      <x:c r="K199" s="14" t="str">
        <x:v>NEEDS_WINDOW_BINDING</x:v>
      </x:c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  <x:c r="AC199" s="14"/>
      <x:c r="AD199" s="14"/>
      <x:c r="AE199" s="14"/>
      <x:c r="AF199" s="14"/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/>
      <x:c r="BC199" s="14"/>
      <x:c r="BD199" s="14"/>
      <x:c r="BE199" s="14"/>
      <x:c r="BF199" s="14"/>
      <x:c r="BG199" s="14"/>
      <x:c r="BH199" s="14"/>
      <x:c r="BI199" s="14"/>
      <x:c r="BJ199" s="14"/>
      <x:c r="BK199" s="14"/>
      <x:c r="BL199" s="14"/>
      <x:c r="BM199" s="14"/>
      <x:c r="BN199" s="14"/>
      <x:c r="BO199" s="14"/>
      <x:c r="BP199" s="14"/>
      <x:c r="BQ199" s="14"/>
      <x:c r="BR199" s="14"/>
      <x:c r="BS199" s="14"/>
      <x:c r="BT199" s="14"/>
      <x:c r="BU199" s="14"/>
      <x:c r="BV199" s="14"/>
      <x:c r="BW199" s="14"/>
      <x:c r="BX199" s="14"/>
      <x:c r="BY199" s="14"/>
      <x:c r="BZ199" s="14"/>
      <x:c r="CA199" s="14"/>
      <x:c r="CB199" s="14"/>
      <x:c r="CC199" s="14"/>
      <x:c r="CD199" s="14"/>
      <x:c r="CE199" s="14"/>
    </x:row>
    <x:row r="200">
      <x:c r="A200" s="14" t="n">
        <x:v>199</x:v>
      </x:c>
      <x:c r="B200" s="14"/>
      <x:c r="C200" s="14" t="str">
        <x:v>CHECKING_EVENT</x:v>
      </x:c>
      <x:c r="D200" s="14" t="str">
        <x:v>Exploratory_Checking_611_Positional_Surrogate.xlsx</x:v>
      </x:c>
      <x:c r="E200" s="14"/>
      <x:c r="F200" s="14"/>
      <x:c r="G200" s="14"/>
      <x:c r="H200" s="14"/>
      <x:c r="I200" s="14"/>
      <x:c r="J200" s="14"/>
      <x:c r="K200" s="14" t="str">
        <x:v>NEEDS_WINDOW_BINDING</x:v>
      </x:c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  <x:c r="AC200" s="14"/>
      <x:c r="AD200" s="14"/>
      <x:c r="AE200" s="14"/>
      <x:c r="AF200" s="14"/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/>
      <x:c r="BC200" s="14"/>
      <x:c r="BD200" s="14"/>
      <x:c r="BE200" s="14"/>
      <x:c r="BF200" s="14"/>
      <x:c r="BG200" s="14"/>
      <x:c r="BH200" s="14"/>
      <x:c r="BI200" s="14"/>
      <x:c r="BJ200" s="14"/>
      <x:c r="BK200" s="14"/>
      <x:c r="BL200" s="14"/>
      <x:c r="BM200" s="14"/>
      <x:c r="BN200" s="14"/>
      <x:c r="BO200" s="14"/>
      <x:c r="BP200" s="14"/>
      <x:c r="BQ200" s="14"/>
      <x:c r="BR200" s="14"/>
      <x:c r="BS200" s="14"/>
      <x:c r="BT200" s="14"/>
      <x:c r="BU200" s="14"/>
      <x:c r="BV200" s="14"/>
      <x:c r="BW200" s="14"/>
      <x:c r="BX200" s="14"/>
      <x:c r="BY200" s="14"/>
      <x:c r="BZ200" s="14"/>
      <x:c r="CA200" s="14"/>
      <x:c r="CB200" s="14"/>
      <x:c r="CC200" s="14"/>
      <x:c r="CD200" s="14"/>
      <x:c r="CE200" s="14"/>
    </x:row>
    <x:row r="201">
      <x:c r="A201" s="14" t="n">
        <x:v>200</x:v>
      </x:c>
      <x:c r="B201" s="14"/>
      <x:c r="C201" s="14" t="str">
        <x:v>CHECKING_EVENT</x:v>
      </x:c>
      <x:c r="D201" s="14" t="str">
        <x:v>Exploratory_Checking_611_Positional_Surrogate.xlsx</x:v>
      </x:c>
      <x:c r="E201" s="14"/>
      <x:c r="F201" s="14"/>
      <x:c r="G201" s="14"/>
      <x:c r="H201" s="14"/>
      <x:c r="I201" s="14"/>
      <x:c r="J201" s="14"/>
      <x:c r="K201" s="14" t="str">
        <x:v>NEEDS_WINDOW_BINDING</x:v>
      </x:c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/>
      <x:c r="BC201" s="14"/>
      <x:c r="BD201" s="14"/>
      <x:c r="BE201" s="14"/>
      <x:c r="BF201" s="14"/>
      <x:c r="BG201" s="14"/>
      <x:c r="BH201" s="14"/>
      <x:c r="BI201" s="14"/>
      <x:c r="BJ201" s="14"/>
      <x:c r="BK201" s="14"/>
      <x:c r="BL201" s="14"/>
      <x:c r="BM201" s="14"/>
      <x:c r="BN201" s="14"/>
      <x:c r="BO201" s="14"/>
      <x:c r="BP201" s="14"/>
      <x:c r="BQ201" s="14"/>
      <x:c r="BR201" s="14"/>
      <x:c r="BS201" s="14"/>
      <x:c r="BT201" s="14"/>
      <x:c r="BU201" s="14"/>
      <x:c r="BV201" s="14"/>
      <x:c r="BW201" s="14"/>
      <x:c r="BX201" s="14"/>
      <x:c r="BY201" s="14"/>
      <x:c r="BZ201" s="14"/>
      <x:c r="CA201" s="14"/>
      <x:c r="CB201" s="14"/>
      <x:c r="CC201" s="14"/>
      <x:c r="CD201" s="14"/>
      <x:c r="CE201" s="14"/>
    </x:row>
    <x:row r="202">
      <x:c r="A202" s="14" t="n">
        <x:v>201</x:v>
      </x:c>
      <x:c r="B202" s="14"/>
      <x:c r="C202" s="14" t="str">
        <x:v>CHECKING_EVENT</x:v>
      </x:c>
      <x:c r="D202" s="14" t="str">
        <x:v>Exploratory_Checking_611_Positional_Surrogate.xlsx</x:v>
      </x:c>
      <x:c r="E202" s="14"/>
      <x:c r="F202" s="14"/>
      <x:c r="G202" s="14"/>
      <x:c r="H202" s="14"/>
      <x:c r="I202" s="14"/>
      <x:c r="J202" s="14"/>
      <x:c r="K202" s="14" t="str">
        <x:v>NEEDS_WINDOW_BINDING</x:v>
      </x:c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  <x:c r="AC202" s="14"/>
      <x:c r="AD202" s="14"/>
      <x:c r="AE202" s="14"/>
      <x:c r="AF202" s="14"/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/>
      <x:c r="BC202" s="14"/>
      <x:c r="BD202" s="14"/>
      <x:c r="BE202" s="14"/>
      <x:c r="BF202" s="14"/>
      <x:c r="BG202" s="14"/>
      <x:c r="BH202" s="14"/>
      <x:c r="BI202" s="14"/>
      <x:c r="BJ202" s="14"/>
      <x:c r="BK202" s="14"/>
      <x:c r="BL202" s="14"/>
      <x:c r="BM202" s="14"/>
      <x:c r="BN202" s="14"/>
      <x:c r="BO202" s="14"/>
      <x:c r="BP202" s="14"/>
      <x:c r="BQ202" s="14"/>
      <x:c r="BR202" s="14"/>
      <x:c r="BS202" s="14"/>
      <x:c r="BT202" s="14"/>
      <x:c r="BU202" s="14"/>
      <x:c r="BV202" s="14"/>
      <x:c r="BW202" s="14"/>
      <x:c r="BX202" s="14"/>
      <x:c r="BY202" s="14"/>
      <x:c r="BZ202" s="14"/>
      <x:c r="CA202" s="14"/>
      <x:c r="CB202" s="14"/>
      <x:c r="CC202" s="14"/>
      <x:c r="CD202" s="14"/>
      <x:c r="CE202" s="14"/>
    </x:row>
    <x:row r="203">
      <x:c r="A203" s="14" t="n">
        <x:v>202</x:v>
      </x:c>
      <x:c r="B203" s="14"/>
      <x:c r="C203" s="14" t="str">
        <x:v>CHECKING_EVENT</x:v>
      </x:c>
      <x:c r="D203" s="14" t="str">
        <x:v>Exploratory_Checking_611_Positional_Surrogate.xlsx</x:v>
      </x:c>
      <x:c r="E203" s="14"/>
      <x:c r="F203" s="14"/>
      <x:c r="G203" s="14"/>
      <x:c r="H203" s="14"/>
      <x:c r="I203" s="14"/>
      <x:c r="J203" s="14"/>
      <x:c r="K203" s="14" t="str">
        <x:v>NEEDS_WINDOW_BINDING</x:v>
      </x:c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/>
      <x:c r="AC203" s="14"/>
      <x:c r="AD203" s="14"/>
      <x:c r="AE203" s="14"/>
      <x:c r="AF203" s="14"/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/>
      <x:c r="BC203" s="14"/>
      <x:c r="BD203" s="14"/>
      <x:c r="BE203" s="14"/>
      <x:c r="BF203" s="14"/>
      <x:c r="BG203" s="14"/>
      <x:c r="BH203" s="14"/>
      <x:c r="BI203" s="14"/>
      <x:c r="BJ203" s="14"/>
      <x:c r="BK203" s="14"/>
      <x:c r="BL203" s="14"/>
      <x:c r="BM203" s="14"/>
      <x:c r="BN203" s="14"/>
      <x:c r="BO203" s="14"/>
      <x:c r="BP203" s="14"/>
      <x:c r="BQ203" s="14"/>
      <x:c r="BR203" s="14"/>
      <x:c r="BS203" s="14"/>
      <x:c r="BT203" s="14"/>
      <x:c r="BU203" s="14"/>
      <x:c r="BV203" s="14"/>
      <x:c r="BW203" s="14"/>
      <x:c r="BX203" s="14"/>
      <x:c r="BY203" s="14"/>
      <x:c r="BZ203" s="14"/>
      <x:c r="CA203" s="14"/>
      <x:c r="CB203" s="14"/>
      <x:c r="CC203" s="14"/>
      <x:c r="CD203" s="14"/>
      <x:c r="CE203" s="14"/>
    </x:row>
    <x:row r="204">
      <x:c r="A204" s="14" t="n">
        <x:v>203</x:v>
      </x:c>
      <x:c r="B204" s="14"/>
      <x:c r="C204" s="14" t="str">
        <x:v>CHECKING_EVENT</x:v>
      </x:c>
      <x:c r="D204" s="14" t="str">
        <x:v>Exploratory_Checking_611_Positional_Surrogate.xlsx</x:v>
      </x:c>
      <x:c r="E204" s="14"/>
      <x:c r="F204" s="14"/>
      <x:c r="G204" s="14"/>
      <x:c r="H204" s="14"/>
      <x:c r="I204" s="14"/>
      <x:c r="J204" s="14"/>
      <x:c r="K204" s="14" t="str">
        <x:v>NEEDS_WINDOW_BINDING</x:v>
      </x:c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/>
      <x:c r="BC204" s="14"/>
      <x:c r="BD204" s="14"/>
      <x:c r="BE204" s="14"/>
      <x:c r="BF204" s="14"/>
      <x:c r="BG204" s="14"/>
      <x:c r="BH204" s="14"/>
      <x:c r="BI204" s="14"/>
      <x:c r="BJ204" s="14"/>
      <x:c r="BK204" s="14"/>
      <x:c r="BL204" s="14"/>
      <x:c r="BM204" s="14"/>
      <x:c r="BN204" s="14"/>
      <x:c r="BO204" s="14"/>
      <x:c r="BP204" s="14"/>
      <x:c r="BQ204" s="14"/>
      <x:c r="BR204" s="14"/>
      <x:c r="BS204" s="14"/>
      <x:c r="BT204" s="14"/>
      <x:c r="BU204" s="14"/>
      <x:c r="BV204" s="14"/>
      <x:c r="BW204" s="14"/>
      <x:c r="BX204" s="14"/>
      <x:c r="BY204" s="14"/>
      <x:c r="BZ204" s="14"/>
      <x:c r="CA204" s="14"/>
      <x:c r="CB204" s="14"/>
      <x:c r="CC204" s="14"/>
      <x:c r="CD204" s="14"/>
      <x:c r="CE204" s="14"/>
    </x:row>
    <x:row r="205">
      <x:c r="A205" s="14" t="n">
        <x:v>204</x:v>
      </x:c>
      <x:c r="B205" s="14"/>
      <x:c r="C205" s="14" t="str">
        <x:v>CHECKING_EVENT</x:v>
      </x:c>
      <x:c r="D205" s="14" t="str">
        <x:v>Exploratory_Checking_611_Positional_Surrogate.xlsx</x:v>
      </x:c>
      <x:c r="E205" s="14"/>
      <x:c r="F205" s="14"/>
      <x:c r="G205" s="14"/>
      <x:c r="H205" s="14"/>
      <x:c r="I205" s="14"/>
      <x:c r="J205" s="14"/>
      <x:c r="K205" s="14" t="str">
        <x:v>NEEDS_WINDOW_BINDING</x:v>
      </x:c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/>
      <x:c r="AC205" s="14"/>
      <x:c r="AD205" s="14"/>
      <x:c r="AE205" s="14"/>
      <x:c r="AF205" s="14"/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/>
      <x:c r="BC205" s="14"/>
      <x:c r="BD205" s="14"/>
      <x:c r="BE205" s="14"/>
      <x:c r="BF205" s="14"/>
      <x:c r="BG205" s="14"/>
      <x:c r="BH205" s="14"/>
      <x:c r="BI205" s="14"/>
      <x:c r="BJ205" s="14"/>
      <x:c r="BK205" s="14"/>
      <x:c r="BL205" s="14"/>
      <x:c r="BM205" s="14"/>
      <x:c r="BN205" s="14"/>
      <x:c r="BO205" s="14"/>
      <x:c r="BP205" s="14"/>
      <x:c r="BQ205" s="14"/>
      <x:c r="BR205" s="14"/>
      <x:c r="BS205" s="14"/>
      <x:c r="BT205" s="14"/>
      <x:c r="BU205" s="14"/>
      <x:c r="BV205" s="14"/>
      <x:c r="BW205" s="14"/>
      <x:c r="BX205" s="14"/>
      <x:c r="BY205" s="14"/>
      <x:c r="BZ205" s="14"/>
      <x:c r="CA205" s="14"/>
      <x:c r="CB205" s="14"/>
      <x:c r="CC205" s="14"/>
      <x:c r="CD205" s="14"/>
      <x:c r="CE205" s="14"/>
    </x:row>
    <x:row r="206">
      <x:c r="A206" s="14" t="n">
        <x:v>205</x:v>
      </x:c>
      <x:c r="B206" s="14"/>
      <x:c r="C206" s="14" t="str">
        <x:v>CHECKING_EVENT</x:v>
      </x:c>
      <x:c r="D206" s="14" t="str">
        <x:v>Exploratory_Checking_611_Positional_Surrogate.xlsx</x:v>
      </x:c>
      <x:c r="E206" s="14"/>
      <x:c r="F206" s="14"/>
      <x:c r="G206" s="14"/>
      <x:c r="H206" s="14"/>
      <x:c r="I206" s="14"/>
      <x:c r="J206" s="14"/>
      <x:c r="K206" s="14" t="str">
        <x:v>NEEDS_WINDOW_BINDING</x:v>
      </x:c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/>
      <x:c r="BC206" s="14"/>
      <x:c r="BD206" s="14"/>
      <x:c r="BE206" s="14"/>
      <x:c r="BF206" s="14"/>
      <x:c r="BG206" s="14"/>
      <x:c r="BH206" s="14"/>
      <x:c r="BI206" s="14"/>
      <x:c r="BJ206" s="14"/>
      <x:c r="BK206" s="14"/>
      <x:c r="BL206" s="14"/>
      <x:c r="BM206" s="14"/>
      <x:c r="BN206" s="14"/>
      <x:c r="BO206" s="14"/>
      <x:c r="BP206" s="14"/>
      <x:c r="BQ206" s="14"/>
      <x:c r="BR206" s="14"/>
      <x:c r="BS206" s="14"/>
      <x:c r="BT206" s="14"/>
      <x:c r="BU206" s="14"/>
      <x:c r="BV206" s="14"/>
      <x:c r="BW206" s="14"/>
      <x:c r="BX206" s="14"/>
      <x:c r="BY206" s="14"/>
      <x:c r="BZ206" s="14"/>
      <x:c r="CA206" s="14"/>
      <x:c r="CB206" s="14"/>
      <x:c r="CC206" s="14"/>
      <x:c r="CD206" s="14"/>
      <x:c r="CE206" s="14"/>
    </x:row>
    <x:row r="207">
      <x:c r="A207" s="14" t="n">
        <x:v>206</x:v>
      </x:c>
      <x:c r="B207" s="14"/>
      <x:c r="C207" s="14" t="str">
        <x:v>CHECKING_EVENT</x:v>
      </x:c>
      <x:c r="D207" s="14" t="str">
        <x:v>Exploratory_Checking_611_Positional_Surrogate.xlsx</x:v>
      </x:c>
      <x:c r="E207" s="14"/>
      <x:c r="F207" s="14"/>
      <x:c r="G207" s="14"/>
      <x:c r="H207" s="14"/>
      <x:c r="I207" s="14"/>
      <x:c r="J207" s="14"/>
      <x:c r="K207" s="14" t="str">
        <x:v>NEEDS_WINDOW_BINDING</x:v>
      </x:c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/>
      <x:c r="AC207" s="14"/>
      <x:c r="AD207" s="14"/>
      <x:c r="AE207" s="14"/>
      <x:c r="AF207" s="14"/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/>
      <x:c r="BC207" s="14"/>
      <x:c r="BD207" s="14"/>
      <x:c r="BE207" s="14"/>
      <x:c r="BF207" s="14"/>
      <x:c r="BG207" s="14"/>
      <x:c r="BH207" s="14"/>
      <x:c r="BI207" s="14"/>
      <x:c r="BJ207" s="14"/>
      <x:c r="BK207" s="14"/>
      <x:c r="BL207" s="14"/>
      <x:c r="BM207" s="14"/>
      <x:c r="BN207" s="14"/>
      <x:c r="BO207" s="14"/>
      <x:c r="BP207" s="14"/>
      <x:c r="BQ207" s="14"/>
      <x:c r="BR207" s="14"/>
      <x:c r="BS207" s="14"/>
      <x:c r="BT207" s="14"/>
      <x:c r="BU207" s="14"/>
      <x:c r="BV207" s="14"/>
      <x:c r="BW207" s="14"/>
      <x:c r="BX207" s="14"/>
      <x:c r="BY207" s="14"/>
      <x:c r="BZ207" s="14"/>
      <x:c r="CA207" s="14"/>
      <x:c r="CB207" s="14"/>
      <x:c r="CC207" s="14"/>
      <x:c r="CD207" s="14"/>
      <x:c r="CE207" s="14"/>
    </x:row>
    <x:row r="208">
      <x:c r="A208" s="14" t="n">
        <x:v>207</x:v>
      </x:c>
      <x:c r="B208" s="14"/>
      <x:c r="C208" s="14" t="str">
        <x:v>CHECKING_EVENT</x:v>
      </x:c>
      <x:c r="D208" s="14" t="str">
        <x:v>Exploratory_Checking_611_Positional_Surrogate.xlsx</x:v>
      </x:c>
      <x:c r="E208" s="14"/>
      <x:c r="F208" s="14"/>
      <x:c r="G208" s="14"/>
      <x:c r="H208" s="14"/>
      <x:c r="I208" s="14"/>
      <x:c r="J208" s="14"/>
      <x:c r="K208" s="14" t="str">
        <x:v>NEEDS_WINDOW_BINDING</x:v>
      </x:c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  <x:c r="AC208" s="14"/>
      <x:c r="AD208" s="14"/>
      <x:c r="AE208" s="14"/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/>
      <x:c r="BC208" s="14"/>
      <x:c r="BD208" s="14"/>
      <x:c r="BE208" s="14"/>
      <x:c r="BF208" s="14"/>
      <x:c r="BG208" s="14"/>
      <x:c r="BH208" s="14"/>
      <x:c r="BI208" s="14"/>
      <x:c r="BJ208" s="14"/>
      <x:c r="BK208" s="14"/>
      <x:c r="BL208" s="14"/>
      <x:c r="BM208" s="14"/>
      <x:c r="BN208" s="14"/>
      <x:c r="BO208" s="14"/>
      <x:c r="BP208" s="14"/>
      <x:c r="BQ208" s="14"/>
      <x:c r="BR208" s="14"/>
      <x:c r="BS208" s="14"/>
      <x:c r="BT208" s="14"/>
      <x:c r="BU208" s="14"/>
      <x:c r="BV208" s="14"/>
      <x:c r="BW208" s="14"/>
      <x:c r="BX208" s="14"/>
      <x:c r="BY208" s="14"/>
      <x:c r="BZ208" s="14"/>
      <x:c r="CA208" s="14"/>
      <x:c r="CB208" s="14"/>
      <x:c r="CC208" s="14"/>
      <x:c r="CD208" s="14"/>
      <x:c r="CE208" s="14"/>
    </x:row>
    <x:row r="209">
      <x:c r="A209" s="14" t="n">
        <x:v>208</x:v>
      </x:c>
      <x:c r="B209" s="14"/>
      <x:c r="C209" s="14" t="str">
        <x:v>CHECKING_EVENT</x:v>
      </x:c>
      <x:c r="D209" s="14" t="str">
        <x:v>Exploratory_Checking_611_Positional_Surrogate.xlsx</x:v>
      </x:c>
      <x:c r="E209" s="14"/>
      <x:c r="F209" s="14"/>
      <x:c r="G209" s="14"/>
      <x:c r="H209" s="14"/>
      <x:c r="I209" s="14"/>
      <x:c r="J209" s="14"/>
      <x:c r="K209" s="14" t="str">
        <x:v>NEEDS_WINDOW_BINDING</x:v>
      </x:c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  <x:c r="AC209" s="14"/>
      <x:c r="AD209" s="14"/>
      <x:c r="AE209" s="14"/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/>
      <x:c r="BC209" s="14"/>
      <x:c r="BD209" s="14"/>
      <x:c r="BE209" s="14"/>
      <x:c r="BF209" s="14"/>
      <x:c r="BG209" s="14"/>
      <x:c r="BH209" s="14"/>
      <x:c r="BI209" s="14"/>
      <x:c r="BJ209" s="14"/>
      <x:c r="BK209" s="14"/>
      <x:c r="BL209" s="14"/>
      <x:c r="BM209" s="14"/>
      <x:c r="BN209" s="14"/>
      <x:c r="BO209" s="14"/>
      <x:c r="BP209" s="14"/>
      <x:c r="BQ209" s="14"/>
      <x:c r="BR209" s="14"/>
      <x:c r="BS209" s="14"/>
      <x:c r="BT209" s="14"/>
      <x:c r="BU209" s="14"/>
      <x:c r="BV209" s="14"/>
      <x:c r="BW209" s="14"/>
      <x:c r="BX209" s="14"/>
      <x:c r="BY209" s="14"/>
      <x:c r="BZ209" s="14"/>
      <x:c r="CA209" s="14"/>
      <x:c r="CB209" s="14"/>
      <x:c r="CC209" s="14"/>
      <x:c r="CD209" s="14"/>
      <x:c r="CE209" s="14"/>
    </x:row>
    <x:row r="210">
      <x:c r="A210" s="14" t="n">
        <x:v>209</x:v>
      </x:c>
      <x:c r="B210" s="14"/>
      <x:c r="C210" s="14" t="str">
        <x:v>CHECKING_EVENT</x:v>
      </x:c>
      <x:c r="D210" s="14" t="str">
        <x:v>Exploratory_Checking_611_Positional_Surrogate.xlsx</x:v>
      </x:c>
      <x:c r="E210" s="14"/>
      <x:c r="F210" s="14"/>
      <x:c r="G210" s="14"/>
      <x:c r="H210" s="14"/>
      <x:c r="I210" s="14"/>
      <x:c r="J210" s="14"/>
      <x:c r="K210" s="14" t="str">
        <x:v>NEEDS_WINDOW_BINDING</x:v>
      </x:c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/>
      <x:c r="AC210" s="14"/>
      <x:c r="AD210" s="14"/>
      <x:c r="AE210" s="14"/>
      <x:c r="AF210" s="14"/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/>
      <x:c r="BC210" s="14"/>
      <x:c r="BD210" s="14"/>
      <x:c r="BE210" s="14"/>
      <x:c r="BF210" s="14"/>
      <x:c r="BG210" s="14"/>
      <x:c r="BH210" s="14"/>
      <x:c r="BI210" s="14"/>
      <x:c r="BJ210" s="14"/>
      <x:c r="BK210" s="14"/>
      <x:c r="BL210" s="14"/>
      <x:c r="BM210" s="14"/>
      <x:c r="BN210" s="14"/>
      <x:c r="BO210" s="14"/>
      <x:c r="BP210" s="14"/>
      <x:c r="BQ210" s="14"/>
      <x:c r="BR210" s="14"/>
      <x:c r="BS210" s="14"/>
      <x:c r="BT210" s="14"/>
      <x:c r="BU210" s="14"/>
      <x:c r="BV210" s="14"/>
      <x:c r="BW210" s="14"/>
      <x:c r="BX210" s="14"/>
      <x:c r="BY210" s="14"/>
      <x:c r="BZ210" s="14"/>
      <x:c r="CA210" s="14"/>
      <x:c r="CB210" s="14"/>
      <x:c r="CC210" s="14"/>
      <x:c r="CD210" s="14"/>
      <x:c r="CE210" s="14"/>
    </x:row>
    <x:row r="211">
      <x:c r="A211" s="14" t="n">
        <x:v>210</x:v>
      </x:c>
      <x:c r="B211" s="14"/>
      <x:c r="C211" s="14" t="str">
        <x:v>CHECKING_EVENT</x:v>
      </x:c>
      <x:c r="D211" s="14" t="str">
        <x:v>Exploratory_Checking_611_Positional_Surrogate.xlsx</x:v>
      </x:c>
      <x:c r="E211" s="14"/>
      <x:c r="F211" s="14"/>
      <x:c r="G211" s="14"/>
      <x:c r="H211" s="14"/>
      <x:c r="I211" s="14"/>
      <x:c r="J211" s="14"/>
      <x:c r="K211" s="14" t="str">
        <x:v>NEEDS_WINDOW_BINDING</x:v>
      </x:c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/>
      <x:c r="BC211" s="14"/>
      <x:c r="BD211" s="14"/>
      <x:c r="BE211" s="14"/>
      <x:c r="BF211" s="14"/>
      <x:c r="BG211" s="14"/>
      <x:c r="BH211" s="14"/>
      <x:c r="BI211" s="14"/>
      <x:c r="BJ211" s="14"/>
      <x:c r="BK211" s="14"/>
      <x:c r="BL211" s="14"/>
      <x:c r="BM211" s="14"/>
      <x:c r="BN211" s="14"/>
      <x:c r="BO211" s="14"/>
      <x:c r="BP211" s="14"/>
      <x:c r="BQ211" s="14"/>
      <x:c r="BR211" s="14"/>
      <x:c r="BS211" s="14"/>
      <x:c r="BT211" s="14"/>
      <x:c r="BU211" s="14"/>
      <x:c r="BV211" s="14"/>
      <x:c r="BW211" s="14"/>
      <x:c r="BX211" s="14"/>
      <x:c r="BY211" s="14"/>
      <x:c r="BZ211" s="14"/>
      <x:c r="CA211" s="14"/>
      <x:c r="CB211" s="14"/>
      <x:c r="CC211" s="14"/>
      <x:c r="CD211" s="14"/>
      <x:c r="CE211" s="14"/>
    </x:row>
    <x:row r="212">
      <x:c r="A212" s="14" t="n">
        <x:v>211</x:v>
      </x:c>
      <x:c r="B212" s="14"/>
      <x:c r="C212" s="14" t="str">
        <x:v>CHECKING_EVENT</x:v>
      </x:c>
      <x:c r="D212" s="14" t="str">
        <x:v>Exploratory_Checking_611_Positional_Surrogate.xlsx</x:v>
      </x:c>
      <x:c r="E212" s="14"/>
      <x:c r="F212" s="14"/>
      <x:c r="G212" s="14"/>
      <x:c r="H212" s="14"/>
      <x:c r="I212" s="14"/>
      <x:c r="J212" s="14"/>
      <x:c r="K212" s="14" t="str">
        <x:v>NEEDS_WINDOW_BINDING</x:v>
      </x:c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/>
      <x:c r="AC212" s="14"/>
      <x:c r="AD212" s="14"/>
      <x:c r="AE212" s="14"/>
      <x:c r="AF212" s="14"/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/>
      <x:c r="BC212" s="14"/>
      <x:c r="BD212" s="14"/>
      <x:c r="BE212" s="14"/>
      <x:c r="BF212" s="14"/>
      <x:c r="BG212" s="14"/>
      <x:c r="BH212" s="14"/>
      <x:c r="BI212" s="14"/>
      <x:c r="BJ212" s="14"/>
      <x:c r="BK212" s="14"/>
      <x:c r="BL212" s="14"/>
      <x:c r="BM212" s="14"/>
      <x:c r="BN212" s="14"/>
      <x:c r="BO212" s="14"/>
      <x:c r="BP212" s="14"/>
      <x:c r="BQ212" s="14"/>
      <x:c r="BR212" s="14"/>
      <x:c r="BS212" s="14"/>
      <x:c r="BT212" s="14"/>
      <x:c r="BU212" s="14"/>
      <x:c r="BV212" s="14"/>
      <x:c r="BW212" s="14"/>
      <x:c r="BX212" s="14"/>
      <x:c r="BY212" s="14"/>
      <x:c r="BZ212" s="14"/>
      <x:c r="CA212" s="14"/>
      <x:c r="CB212" s="14"/>
      <x:c r="CC212" s="14"/>
      <x:c r="CD212" s="14"/>
      <x:c r="CE212" s="14"/>
    </x:row>
    <x:row r="213">
      <x:c r="A213" s="14" t="n">
        <x:v>212</x:v>
      </x:c>
      <x:c r="B213" s="14"/>
      <x:c r="C213" s="14" t="str">
        <x:v>CHECKING_EVENT</x:v>
      </x:c>
      <x:c r="D213" s="14" t="str">
        <x:v>Exploratory_Checking_611_Positional_Surrogate.xlsx</x:v>
      </x:c>
      <x:c r="E213" s="14"/>
      <x:c r="F213" s="14"/>
      <x:c r="G213" s="14"/>
      <x:c r="H213" s="14"/>
      <x:c r="I213" s="14"/>
      <x:c r="J213" s="14"/>
      <x:c r="K213" s="14" t="str">
        <x:v>NEEDS_WINDOW_BINDING</x:v>
      </x:c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/>
      <x:c r="AC213" s="14"/>
      <x:c r="AD213" s="14"/>
      <x:c r="AE213" s="14"/>
      <x:c r="AF213" s="14"/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/>
      <x:c r="BC213" s="14"/>
      <x:c r="BD213" s="14"/>
      <x:c r="BE213" s="14"/>
      <x:c r="BF213" s="14"/>
      <x:c r="BG213" s="14"/>
      <x:c r="BH213" s="14"/>
      <x:c r="BI213" s="14"/>
      <x:c r="BJ213" s="14"/>
      <x:c r="BK213" s="14"/>
      <x:c r="BL213" s="14"/>
      <x:c r="BM213" s="14"/>
      <x:c r="BN213" s="14"/>
      <x:c r="BO213" s="14"/>
      <x:c r="BP213" s="14"/>
      <x:c r="BQ213" s="14"/>
      <x:c r="BR213" s="14"/>
      <x:c r="BS213" s="14"/>
      <x:c r="BT213" s="14"/>
      <x:c r="BU213" s="14"/>
      <x:c r="BV213" s="14"/>
      <x:c r="BW213" s="14"/>
      <x:c r="BX213" s="14"/>
      <x:c r="BY213" s="14"/>
      <x:c r="BZ213" s="14"/>
      <x:c r="CA213" s="14"/>
      <x:c r="CB213" s="14"/>
      <x:c r="CC213" s="14"/>
      <x:c r="CD213" s="14"/>
      <x:c r="CE213" s="14"/>
    </x:row>
    <x:row r="214">
      <x:c r="A214" s="14" t="n">
        <x:v>213</x:v>
      </x:c>
      <x:c r="B214" s="14"/>
      <x:c r="C214" s="14" t="str">
        <x:v>CHECKING_EVENT</x:v>
      </x:c>
      <x:c r="D214" s="14" t="str">
        <x:v>Exploratory_Checking_611_Positional_Surrogate.xlsx</x:v>
      </x:c>
      <x:c r="E214" s="14"/>
      <x:c r="F214" s="14"/>
      <x:c r="G214" s="14"/>
      <x:c r="H214" s="14"/>
      <x:c r="I214" s="14"/>
      <x:c r="J214" s="14"/>
      <x:c r="K214" s="14" t="str">
        <x:v>NEEDS_WINDOW_BINDING</x:v>
      </x:c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/>
      <x:c r="AC214" s="14"/>
      <x:c r="AD214" s="14"/>
      <x:c r="AE214" s="14"/>
      <x:c r="AF214" s="14"/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/>
      <x:c r="BC214" s="14"/>
      <x:c r="BD214" s="14"/>
      <x:c r="BE214" s="14"/>
      <x:c r="BF214" s="14"/>
      <x:c r="BG214" s="14"/>
      <x:c r="BH214" s="14"/>
      <x:c r="BI214" s="14"/>
      <x:c r="BJ214" s="14"/>
      <x:c r="BK214" s="14"/>
      <x:c r="BL214" s="14"/>
      <x:c r="BM214" s="14"/>
      <x:c r="BN214" s="14"/>
      <x:c r="BO214" s="14"/>
      <x:c r="BP214" s="14"/>
      <x:c r="BQ214" s="14"/>
      <x:c r="BR214" s="14"/>
      <x:c r="BS214" s="14"/>
      <x:c r="BT214" s="14"/>
      <x:c r="BU214" s="14"/>
      <x:c r="BV214" s="14"/>
      <x:c r="BW214" s="14"/>
      <x:c r="BX214" s="14"/>
      <x:c r="BY214" s="14"/>
      <x:c r="BZ214" s="14"/>
      <x:c r="CA214" s="14"/>
      <x:c r="CB214" s="14"/>
      <x:c r="CC214" s="14"/>
      <x:c r="CD214" s="14"/>
      <x:c r="CE214" s="14"/>
    </x:row>
    <x:row r="215">
      <x:c r="A215" s="14" t="n">
        <x:v>214</x:v>
      </x:c>
      <x:c r="B215" s="14"/>
      <x:c r="C215" s="14" t="str">
        <x:v>CHECKING_EVENT</x:v>
      </x:c>
      <x:c r="D215" s="14" t="str">
        <x:v>Exploratory_Checking_611_Positional_Surrogate.xlsx</x:v>
      </x:c>
      <x:c r="E215" s="14"/>
      <x:c r="F215" s="14"/>
      <x:c r="G215" s="14"/>
      <x:c r="H215" s="14"/>
      <x:c r="I215" s="14"/>
      <x:c r="J215" s="14"/>
      <x:c r="K215" s="14" t="str">
        <x:v>NEEDS_WINDOW_BINDING</x:v>
      </x:c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/>
      <x:c r="AC215" s="14"/>
      <x:c r="AD215" s="14"/>
      <x:c r="AE215" s="14"/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/>
      <x:c r="BC215" s="14"/>
      <x:c r="BD215" s="14"/>
      <x:c r="BE215" s="14"/>
      <x:c r="BF215" s="14"/>
      <x:c r="BG215" s="14"/>
      <x:c r="BH215" s="14"/>
      <x:c r="BI215" s="14"/>
      <x:c r="BJ215" s="14"/>
      <x:c r="BK215" s="14"/>
      <x:c r="BL215" s="14"/>
      <x:c r="BM215" s="14"/>
      <x:c r="BN215" s="14"/>
      <x:c r="BO215" s="14"/>
      <x:c r="BP215" s="14"/>
      <x:c r="BQ215" s="14"/>
      <x:c r="BR215" s="14"/>
      <x:c r="BS215" s="14"/>
      <x:c r="BT215" s="14"/>
      <x:c r="BU215" s="14"/>
      <x:c r="BV215" s="14"/>
      <x:c r="BW215" s="14"/>
      <x:c r="BX215" s="14"/>
      <x:c r="BY215" s="14"/>
      <x:c r="BZ215" s="14"/>
      <x:c r="CA215" s="14"/>
      <x:c r="CB215" s="14"/>
      <x:c r="CC215" s="14"/>
      <x:c r="CD215" s="14"/>
      <x:c r="CE215" s="14"/>
    </x:row>
    <x:row r="216">
      <x:c r="A216" s="14" t="n">
        <x:v>215</x:v>
      </x:c>
      <x:c r="B216" s="14"/>
      <x:c r="C216" s="14" t="str">
        <x:v>CHECKING_EVENT</x:v>
      </x:c>
      <x:c r="D216" s="14" t="str">
        <x:v>Exploratory_Checking_611_Positional_Surrogate.xlsx</x:v>
      </x:c>
      <x:c r="E216" s="14"/>
      <x:c r="F216" s="14"/>
      <x:c r="G216" s="14"/>
      <x:c r="H216" s="14"/>
      <x:c r="I216" s="14"/>
      <x:c r="J216" s="14"/>
      <x:c r="K216" s="14" t="str">
        <x:v>NEEDS_WINDOW_BINDING</x:v>
      </x:c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/>
      <x:c r="AC216" s="14"/>
      <x:c r="AD216" s="14"/>
      <x:c r="AE216" s="14"/>
      <x:c r="AF216" s="14"/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/>
      <x:c r="BC216" s="14"/>
      <x:c r="BD216" s="14"/>
      <x:c r="BE216" s="14"/>
      <x:c r="BF216" s="14"/>
      <x:c r="BG216" s="14"/>
      <x:c r="BH216" s="14"/>
      <x:c r="BI216" s="14"/>
      <x:c r="BJ216" s="14"/>
      <x:c r="BK216" s="14"/>
      <x:c r="BL216" s="14"/>
      <x:c r="BM216" s="14"/>
      <x:c r="BN216" s="14"/>
      <x:c r="BO216" s="14"/>
      <x:c r="BP216" s="14"/>
      <x:c r="BQ216" s="14"/>
      <x:c r="BR216" s="14"/>
      <x:c r="BS216" s="14"/>
      <x:c r="BT216" s="14"/>
      <x:c r="BU216" s="14"/>
      <x:c r="BV216" s="14"/>
      <x:c r="BW216" s="14"/>
      <x:c r="BX216" s="14"/>
      <x:c r="BY216" s="14"/>
      <x:c r="BZ216" s="14"/>
      <x:c r="CA216" s="14"/>
      <x:c r="CB216" s="14"/>
      <x:c r="CC216" s="14"/>
      <x:c r="CD216" s="14"/>
      <x:c r="CE216" s="14"/>
    </x:row>
    <x:row r="217">
      <x:c r="A217" s="14" t="n">
        <x:v>216</x:v>
      </x:c>
      <x:c r="B217" s="14"/>
      <x:c r="C217" s="14" t="str">
        <x:v>CHECKING_EVENT</x:v>
      </x:c>
      <x:c r="D217" s="14" t="str">
        <x:v>Exploratory_Checking_611_Positional_Surrogate.xlsx</x:v>
      </x:c>
      <x:c r="E217" s="14"/>
      <x:c r="F217" s="14"/>
      <x:c r="G217" s="14"/>
      <x:c r="H217" s="14"/>
      <x:c r="I217" s="14"/>
      <x:c r="J217" s="14"/>
      <x:c r="K217" s="14" t="str">
        <x:v>NEEDS_WINDOW_BINDING</x:v>
      </x:c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/>
      <x:c r="AC217" s="14"/>
      <x:c r="AD217" s="14"/>
      <x:c r="AE217" s="14"/>
      <x:c r="AF217" s="14"/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/>
      <x:c r="BC217" s="14"/>
      <x:c r="BD217" s="14"/>
      <x:c r="BE217" s="14"/>
      <x:c r="BF217" s="14"/>
      <x:c r="BG217" s="14"/>
      <x:c r="BH217" s="14"/>
      <x:c r="BI217" s="14"/>
      <x:c r="BJ217" s="14"/>
      <x:c r="BK217" s="14"/>
      <x:c r="BL217" s="14"/>
      <x:c r="BM217" s="14"/>
      <x:c r="BN217" s="14"/>
      <x:c r="BO217" s="14"/>
      <x:c r="BP217" s="14"/>
      <x:c r="BQ217" s="14"/>
      <x:c r="BR217" s="14"/>
      <x:c r="BS217" s="14"/>
      <x:c r="BT217" s="14"/>
      <x:c r="BU217" s="14"/>
      <x:c r="BV217" s="14"/>
      <x:c r="BW217" s="14"/>
      <x:c r="BX217" s="14"/>
      <x:c r="BY217" s="14"/>
      <x:c r="BZ217" s="14"/>
      <x:c r="CA217" s="14"/>
      <x:c r="CB217" s="14"/>
      <x:c r="CC217" s="14"/>
      <x:c r="CD217" s="14"/>
      <x:c r="CE217" s="14"/>
    </x:row>
    <x:row r="218">
      <x:c r="A218" s="14" t="n">
        <x:v>217</x:v>
      </x:c>
      <x:c r="B218" s="14"/>
      <x:c r="C218" s="14" t="str">
        <x:v>CHECKING_EVENT</x:v>
      </x:c>
      <x:c r="D218" s="14" t="str">
        <x:v>Exploratory_Checking_611_Positional_Surrogate.xlsx</x:v>
      </x:c>
      <x:c r="E218" s="14"/>
      <x:c r="F218" s="14"/>
      <x:c r="G218" s="14"/>
      <x:c r="H218" s="14"/>
      <x:c r="I218" s="14"/>
      <x:c r="J218" s="14"/>
      <x:c r="K218" s="14" t="str">
        <x:v>NEEDS_WINDOW_BINDING</x:v>
      </x:c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/>
      <x:c r="AC218" s="14"/>
      <x:c r="AD218" s="14"/>
      <x:c r="AE218" s="14"/>
      <x:c r="AF218" s="14"/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/>
      <x:c r="BC218" s="14"/>
      <x:c r="BD218" s="14"/>
      <x:c r="BE218" s="14"/>
      <x:c r="BF218" s="14"/>
      <x:c r="BG218" s="14"/>
      <x:c r="BH218" s="14"/>
      <x:c r="BI218" s="14"/>
      <x:c r="BJ218" s="14"/>
      <x:c r="BK218" s="14"/>
      <x:c r="BL218" s="14"/>
      <x:c r="BM218" s="14"/>
      <x:c r="BN218" s="14"/>
      <x:c r="BO218" s="14"/>
      <x:c r="BP218" s="14"/>
      <x:c r="BQ218" s="14"/>
      <x:c r="BR218" s="14"/>
      <x:c r="BS218" s="14"/>
      <x:c r="BT218" s="14"/>
      <x:c r="BU218" s="14"/>
      <x:c r="BV218" s="14"/>
      <x:c r="BW218" s="14"/>
      <x:c r="BX218" s="14"/>
      <x:c r="BY218" s="14"/>
      <x:c r="BZ218" s="14"/>
      <x:c r="CA218" s="14"/>
      <x:c r="CB218" s="14"/>
      <x:c r="CC218" s="14"/>
      <x:c r="CD218" s="14"/>
      <x:c r="CE218" s="14"/>
    </x:row>
    <x:row r="219">
      <x:c r="A219" s="14" t="n">
        <x:v>218</x:v>
      </x:c>
      <x:c r="B219" s="14"/>
      <x:c r="C219" s="14" t="str">
        <x:v>CHECKING_EVENT</x:v>
      </x:c>
      <x:c r="D219" s="14" t="str">
        <x:v>Exploratory_Checking_611_Positional_Surrogate.xlsx</x:v>
      </x:c>
      <x:c r="E219" s="14"/>
      <x:c r="F219" s="14"/>
      <x:c r="G219" s="14"/>
      <x:c r="H219" s="14"/>
      <x:c r="I219" s="14"/>
      <x:c r="J219" s="14"/>
      <x:c r="K219" s="14" t="str">
        <x:v>NEEDS_WINDOW_BINDING</x:v>
      </x:c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/>
      <x:c r="AC219" s="14"/>
      <x:c r="AD219" s="14"/>
      <x:c r="AE219" s="14"/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/>
      <x:c r="BC219" s="14"/>
      <x:c r="BD219" s="14"/>
      <x:c r="BE219" s="14"/>
      <x:c r="BF219" s="14"/>
      <x:c r="BG219" s="14"/>
      <x:c r="BH219" s="14"/>
      <x:c r="BI219" s="14"/>
      <x:c r="BJ219" s="14"/>
      <x:c r="BK219" s="14"/>
      <x:c r="BL219" s="14"/>
      <x:c r="BM219" s="14"/>
      <x:c r="BN219" s="14"/>
      <x:c r="BO219" s="14"/>
      <x:c r="BP219" s="14"/>
      <x:c r="BQ219" s="14"/>
      <x:c r="BR219" s="14"/>
      <x:c r="BS219" s="14"/>
      <x:c r="BT219" s="14"/>
      <x:c r="BU219" s="14"/>
      <x:c r="BV219" s="14"/>
      <x:c r="BW219" s="14"/>
      <x:c r="BX219" s="14"/>
      <x:c r="BY219" s="14"/>
      <x:c r="BZ219" s="14"/>
      <x:c r="CA219" s="14"/>
      <x:c r="CB219" s="14"/>
      <x:c r="CC219" s="14"/>
      <x:c r="CD219" s="14"/>
      <x:c r="CE219" s="14"/>
    </x:row>
    <x:row r="220">
      <x:c r="A220" s="14" t="n">
        <x:v>219</x:v>
      </x:c>
      <x:c r="B220" s="14"/>
      <x:c r="C220" s="14" t="str">
        <x:v>CHECKING_EVENT</x:v>
      </x:c>
      <x:c r="D220" s="14" t="str">
        <x:v>Exploratory_Checking_611_Positional_Surrogate.xlsx</x:v>
      </x:c>
      <x:c r="E220" s="14"/>
      <x:c r="F220" s="14"/>
      <x:c r="G220" s="14"/>
      <x:c r="H220" s="14"/>
      <x:c r="I220" s="14"/>
      <x:c r="J220" s="14"/>
      <x:c r="K220" s="14" t="str">
        <x:v>NEEDS_WINDOW_BINDING</x:v>
      </x:c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/>
      <x:c r="AC220" s="14"/>
      <x:c r="AD220" s="14"/>
      <x:c r="AE220" s="14"/>
      <x:c r="AF220" s="14"/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/>
      <x:c r="BC220" s="14"/>
      <x:c r="BD220" s="14"/>
      <x:c r="BE220" s="14"/>
      <x:c r="BF220" s="14"/>
      <x:c r="BG220" s="14"/>
      <x:c r="BH220" s="14"/>
      <x:c r="BI220" s="14"/>
      <x:c r="BJ220" s="14"/>
      <x:c r="BK220" s="14"/>
      <x:c r="BL220" s="14"/>
      <x:c r="BM220" s="14"/>
      <x:c r="BN220" s="14"/>
      <x:c r="BO220" s="14"/>
      <x:c r="BP220" s="14"/>
      <x:c r="BQ220" s="14"/>
      <x:c r="BR220" s="14"/>
      <x:c r="BS220" s="14"/>
      <x:c r="BT220" s="14"/>
      <x:c r="BU220" s="14"/>
      <x:c r="BV220" s="14"/>
      <x:c r="BW220" s="14"/>
      <x:c r="BX220" s="14"/>
      <x:c r="BY220" s="14"/>
      <x:c r="BZ220" s="14"/>
      <x:c r="CA220" s="14"/>
      <x:c r="CB220" s="14"/>
      <x:c r="CC220" s="14"/>
      <x:c r="CD220" s="14"/>
      <x:c r="CE220" s="14"/>
    </x:row>
    <x:row r="221">
      <x:c r="A221" s="14" t="n">
        <x:v>220</x:v>
      </x:c>
      <x:c r="B221" s="14"/>
      <x:c r="C221" s="14" t="str">
        <x:v>CHECKING_EVENT</x:v>
      </x:c>
      <x:c r="D221" s="14" t="str">
        <x:v>Exploratory_Checking_611_Positional_Surrogate.xlsx</x:v>
      </x:c>
      <x:c r="E221" s="14"/>
      <x:c r="F221" s="14"/>
      <x:c r="G221" s="14"/>
      <x:c r="H221" s="14"/>
      <x:c r="I221" s="14"/>
      <x:c r="J221" s="14"/>
      <x:c r="K221" s="14" t="str">
        <x:v>NEEDS_WINDOW_BINDING</x:v>
      </x:c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/>
      <x:c r="AC221" s="14"/>
      <x:c r="AD221" s="14"/>
      <x:c r="AE221" s="14"/>
      <x:c r="AF221" s="14"/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/>
      <x:c r="BC221" s="14"/>
      <x:c r="BD221" s="14"/>
      <x:c r="BE221" s="14"/>
      <x:c r="BF221" s="14"/>
      <x:c r="BG221" s="14"/>
      <x:c r="BH221" s="14"/>
      <x:c r="BI221" s="14"/>
      <x:c r="BJ221" s="14"/>
      <x:c r="BK221" s="14"/>
      <x:c r="BL221" s="14"/>
      <x:c r="BM221" s="14"/>
      <x:c r="BN221" s="14"/>
      <x:c r="BO221" s="14"/>
      <x:c r="BP221" s="14"/>
      <x:c r="BQ221" s="14"/>
      <x:c r="BR221" s="14"/>
      <x:c r="BS221" s="14"/>
      <x:c r="BT221" s="14"/>
      <x:c r="BU221" s="14"/>
      <x:c r="BV221" s="14"/>
      <x:c r="BW221" s="14"/>
      <x:c r="BX221" s="14"/>
      <x:c r="BY221" s="14"/>
      <x:c r="BZ221" s="14"/>
      <x:c r="CA221" s="14"/>
      <x:c r="CB221" s="14"/>
      <x:c r="CC221" s="14"/>
      <x:c r="CD221" s="14"/>
      <x:c r="CE221" s="14"/>
    </x:row>
    <x:row r="222">
      <x:c r="A222" s="14" t="n">
        <x:v>221</x:v>
      </x:c>
      <x:c r="B222" s="14"/>
      <x:c r="C222" s="14" t="str">
        <x:v>CHECKING_EVENT</x:v>
      </x:c>
      <x:c r="D222" s="14" t="str">
        <x:v>Exploratory_Checking_611_Positional_Surrogate.xlsx</x:v>
      </x:c>
      <x:c r="E222" s="14"/>
      <x:c r="F222" s="14"/>
      <x:c r="G222" s="14"/>
      <x:c r="H222" s="14"/>
      <x:c r="I222" s="14"/>
      <x:c r="J222" s="14"/>
      <x:c r="K222" s="14" t="str">
        <x:v>NEEDS_WINDOW_BINDING</x:v>
      </x:c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/>
      <x:c r="AC222" s="14"/>
      <x:c r="AD222" s="14"/>
      <x:c r="AE222" s="14"/>
      <x:c r="AF222" s="14"/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/>
      <x:c r="BC222" s="14"/>
      <x:c r="BD222" s="14"/>
      <x:c r="BE222" s="14"/>
      <x:c r="BF222" s="14"/>
      <x:c r="BG222" s="14"/>
      <x:c r="BH222" s="14"/>
      <x:c r="BI222" s="14"/>
      <x:c r="BJ222" s="14"/>
      <x:c r="BK222" s="14"/>
      <x:c r="BL222" s="14"/>
      <x:c r="BM222" s="14"/>
      <x:c r="BN222" s="14"/>
      <x:c r="BO222" s="14"/>
      <x:c r="BP222" s="14"/>
      <x:c r="BQ222" s="14"/>
      <x:c r="BR222" s="14"/>
      <x:c r="BS222" s="14"/>
      <x:c r="BT222" s="14"/>
      <x:c r="BU222" s="14"/>
      <x:c r="BV222" s="14"/>
      <x:c r="BW222" s="14"/>
      <x:c r="BX222" s="14"/>
      <x:c r="BY222" s="14"/>
      <x:c r="BZ222" s="14"/>
      <x:c r="CA222" s="14"/>
      <x:c r="CB222" s="14"/>
      <x:c r="CC222" s="14"/>
      <x:c r="CD222" s="14"/>
      <x:c r="CE222" s="14"/>
    </x:row>
    <x:row r="223">
      <x:c r="A223" s="14" t="n">
        <x:v>222</x:v>
      </x:c>
      <x:c r="B223" s="14"/>
      <x:c r="C223" s="14" t="str">
        <x:v>CHECKING_EVENT</x:v>
      </x:c>
      <x:c r="D223" s="14" t="str">
        <x:v>Exploratory_Checking_611_Positional_Surrogate.xlsx</x:v>
      </x:c>
      <x:c r="E223" s="14"/>
      <x:c r="F223" s="14"/>
      <x:c r="G223" s="14"/>
      <x:c r="H223" s="14"/>
      <x:c r="I223" s="14"/>
      <x:c r="J223" s="14"/>
      <x:c r="K223" s="14" t="str">
        <x:v>NEEDS_WINDOW_BINDING</x:v>
      </x:c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/>
      <x:c r="BC223" s="14"/>
      <x:c r="BD223" s="14"/>
      <x:c r="BE223" s="14"/>
      <x:c r="BF223" s="14"/>
      <x:c r="BG223" s="14"/>
      <x:c r="BH223" s="14"/>
      <x:c r="BI223" s="14"/>
      <x:c r="BJ223" s="14"/>
      <x:c r="BK223" s="14"/>
      <x:c r="BL223" s="14"/>
      <x:c r="BM223" s="14"/>
      <x:c r="BN223" s="14"/>
      <x:c r="BO223" s="14"/>
      <x:c r="BP223" s="14"/>
      <x:c r="BQ223" s="14"/>
      <x:c r="BR223" s="14"/>
      <x:c r="BS223" s="14"/>
      <x:c r="BT223" s="14"/>
      <x:c r="BU223" s="14"/>
      <x:c r="BV223" s="14"/>
      <x:c r="BW223" s="14"/>
      <x:c r="BX223" s="14"/>
      <x:c r="BY223" s="14"/>
      <x:c r="BZ223" s="14"/>
      <x:c r="CA223" s="14"/>
      <x:c r="CB223" s="14"/>
      <x:c r="CC223" s="14"/>
      <x:c r="CD223" s="14"/>
      <x:c r="CE223" s="14"/>
    </x:row>
    <x:row r="224">
      <x:c r="A224" s="14" t="n">
        <x:v>223</x:v>
      </x:c>
      <x:c r="B224" s="14"/>
      <x:c r="C224" s="14" t="str">
        <x:v>CHECKING_EVENT</x:v>
      </x:c>
      <x:c r="D224" s="14" t="str">
        <x:v>Exploratory_Checking_611_Positional_Surrogate.xlsx</x:v>
      </x:c>
      <x:c r="E224" s="14"/>
      <x:c r="F224" s="14"/>
      <x:c r="G224" s="14"/>
      <x:c r="H224" s="14"/>
      <x:c r="I224" s="14"/>
      <x:c r="J224" s="14"/>
      <x:c r="K224" s="14" t="str">
        <x:v>NEEDS_WINDOW_BINDING</x:v>
      </x:c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/>
      <x:c r="AC224" s="14"/>
      <x:c r="AD224" s="14"/>
      <x:c r="AE224" s="14"/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/>
      <x:c r="BC224" s="14"/>
      <x:c r="BD224" s="14"/>
      <x:c r="BE224" s="14"/>
      <x:c r="BF224" s="14"/>
      <x:c r="BG224" s="14"/>
      <x:c r="BH224" s="14"/>
      <x:c r="BI224" s="14"/>
      <x:c r="BJ224" s="14"/>
      <x:c r="BK224" s="14"/>
      <x:c r="BL224" s="14"/>
      <x:c r="BM224" s="14"/>
      <x:c r="BN224" s="14"/>
      <x:c r="BO224" s="14"/>
      <x:c r="BP224" s="14"/>
      <x:c r="BQ224" s="14"/>
      <x:c r="BR224" s="14"/>
      <x:c r="BS224" s="14"/>
      <x:c r="BT224" s="14"/>
      <x:c r="BU224" s="14"/>
      <x:c r="BV224" s="14"/>
      <x:c r="BW224" s="14"/>
      <x:c r="BX224" s="14"/>
      <x:c r="BY224" s="14"/>
      <x:c r="BZ224" s="14"/>
      <x:c r="CA224" s="14"/>
      <x:c r="CB224" s="14"/>
      <x:c r="CC224" s="14"/>
      <x:c r="CD224" s="14"/>
      <x:c r="CE224" s="14"/>
    </x:row>
    <x:row r="225">
      <x:c r="A225" s="14" t="n">
        <x:v>224</x:v>
      </x:c>
      <x:c r="B225" s="14"/>
      <x:c r="C225" s="14" t="str">
        <x:v>CHECKING_EVENT</x:v>
      </x:c>
      <x:c r="D225" s="14" t="str">
        <x:v>Exploratory_Checking_611_Positional_Surrogate.xlsx</x:v>
      </x:c>
      <x:c r="E225" s="14"/>
      <x:c r="F225" s="14"/>
      <x:c r="G225" s="14"/>
      <x:c r="H225" s="14"/>
      <x:c r="I225" s="14"/>
      <x:c r="J225" s="14"/>
      <x:c r="K225" s="14" t="str">
        <x:v>NEEDS_WINDOW_BINDING</x:v>
      </x:c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/>
      <x:c r="AC225" s="14"/>
      <x:c r="AD225" s="14"/>
      <x:c r="AE225" s="14"/>
      <x:c r="AF225" s="14"/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/>
      <x:c r="BC225" s="14"/>
      <x:c r="BD225" s="14"/>
      <x:c r="BE225" s="14"/>
      <x:c r="BF225" s="14"/>
      <x:c r="BG225" s="14"/>
      <x:c r="BH225" s="14"/>
      <x:c r="BI225" s="14"/>
      <x:c r="BJ225" s="14"/>
      <x:c r="BK225" s="14"/>
      <x:c r="BL225" s="14"/>
      <x:c r="BM225" s="14"/>
      <x:c r="BN225" s="14"/>
      <x:c r="BO225" s="14"/>
      <x:c r="BP225" s="14"/>
      <x:c r="BQ225" s="14"/>
      <x:c r="BR225" s="14"/>
      <x:c r="BS225" s="14"/>
      <x:c r="BT225" s="14"/>
      <x:c r="BU225" s="14"/>
      <x:c r="BV225" s="14"/>
      <x:c r="BW225" s="14"/>
      <x:c r="BX225" s="14"/>
      <x:c r="BY225" s="14"/>
      <x:c r="BZ225" s="14"/>
      <x:c r="CA225" s="14"/>
      <x:c r="CB225" s="14"/>
      <x:c r="CC225" s="14"/>
      <x:c r="CD225" s="14"/>
      <x:c r="CE225" s="14"/>
    </x:row>
    <x:row r="226">
      <x:c r="A226" s="14" t="n">
        <x:v>225</x:v>
      </x:c>
      <x:c r="B226" s="14"/>
      <x:c r="C226" s="14" t="str">
        <x:v>CHECKING_EVENT</x:v>
      </x:c>
      <x:c r="D226" s="14" t="str">
        <x:v>Exploratory_Checking_611_Positional_Surrogate.xlsx</x:v>
      </x:c>
      <x:c r="E226" s="14"/>
      <x:c r="F226" s="14"/>
      <x:c r="G226" s="14"/>
      <x:c r="H226" s="14"/>
      <x:c r="I226" s="14"/>
      <x:c r="J226" s="14"/>
      <x:c r="K226" s="14" t="str">
        <x:v>NEEDS_WINDOW_BINDING</x:v>
      </x:c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/>
      <x:c r="AC226" s="14"/>
      <x:c r="AD226" s="14"/>
      <x:c r="AE226" s="14"/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/>
      <x:c r="BC226" s="14"/>
      <x:c r="BD226" s="14"/>
      <x:c r="BE226" s="14"/>
      <x:c r="BF226" s="14"/>
      <x:c r="BG226" s="14"/>
      <x:c r="BH226" s="14"/>
      <x:c r="BI226" s="14"/>
      <x:c r="BJ226" s="14"/>
      <x:c r="BK226" s="14"/>
      <x:c r="BL226" s="14"/>
      <x:c r="BM226" s="14"/>
      <x:c r="BN226" s="14"/>
      <x:c r="BO226" s="14"/>
      <x:c r="BP226" s="14"/>
      <x:c r="BQ226" s="14"/>
      <x:c r="BR226" s="14"/>
      <x:c r="BS226" s="14"/>
      <x:c r="BT226" s="14"/>
      <x:c r="BU226" s="14"/>
      <x:c r="BV226" s="14"/>
      <x:c r="BW226" s="14"/>
      <x:c r="BX226" s="14"/>
      <x:c r="BY226" s="14"/>
      <x:c r="BZ226" s="14"/>
      <x:c r="CA226" s="14"/>
      <x:c r="CB226" s="14"/>
      <x:c r="CC226" s="14"/>
      <x:c r="CD226" s="14"/>
      <x:c r="CE226" s="14"/>
    </x:row>
    <x:row r="227">
      <x:c r="A227" s="14" t="n">
        <x:v>226</x:v>
      </x:c>
      <x:c r="B227" s="14"/>
      <x:c r="C227" s="14" t="str">
        <x:v>CHECKING_EVENT</x:v>
      </x:c>
      <x:c r="D227" s="14" t="str">
        <x:v>Exploratory_Checking_611_Positional_Surrogate.xlsx</x:v>
      </x:c>
      <x:c r="E227" s="14"/>
      <x:c r="F227" s="14"/>
      <x:c r="G227" s="14"/>
      <x:c r="H227" s="14"/>
      <x:c r="I227" s="14"/>
      <x:c r="J227" s="14"/>
      <x:c r="K227" s="14" t="str">
        <x:v>NEEDS_WINDOW_BINDING</x:v>
      </x:c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/>
      <x:c r="AC227" s="14"/>
      <x:c r="AD227" s="14"/>
      <x:c r="AE227" s="14"/>
      <x:c r="AF227" s="14"/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/>
      <x:c r="BC227" s="14"/>
      <x:c r="BD227" s="14"/>
      <x:c r="BE227" s="14"/>
      <x:c r="BF227" s="14"/>
      <x:c r="BG227" s="14"/>
      <x:c r="BH227" s="14"/>
      <x:c r="BI227" s="14"/>
      <x:c r="BJ227" s="14"/>
      <x:c r="BK227" s="14"/>
      <x:c r="BL227" s="14"/>
      <x:c r="BM227" s="14"/>
      <x:c r="BN227" s="14"/>
      <x:c r="BO227" s="14"/>
      <x:c r="BP227" s="14"/>
      <x:c r="BQ227" s="14"/>
      <x:c r="BR227" s="14"/>
      <x:c r="BS227" s="14"/>
      <x:c r="BT227" s="14"/>
      <x:c r="BU227" s="14"/>
      <x:c r="BV227" s="14"/>
      <x:c r="BW227" s="14"/>
      <x:c r="BX227" s="14"/>
      <x:c r="BY227" s="14"/>
      <x:c r="BZ227" s="14"/>
      <x:c r="CA227" s="14"/>
      <x:c r="CB227" s="14"/>
      <x:c r="CC227" s="14"/>
      <x:c r="CD227" s="14"/>
      <x:c r="CE227" s="14"/>
    </x:row>
    <x:row r="228">
      <x:c r="A228" s="14" t="n">
        <x:v>227</x:v>
      </x:c>
      <x:c r="B228" s="14"/>
      <x:c r="C228" s="14" t="str">
        <x:v>CHECKING_EVENT</x:v>
      </x:c>
      <x:c r="D228" s="14" t="str">
        <x:v>Exploratory_Checking_611_Positional_Surrogate.xlsx</x:v>
      </x:c>
      <x:c r="E228" s="14"/>
      <x:c r="F228" s="14"/>
      <x:c r="G228" s="14"/>
      <x:c r="H228" s="14"/>
      <x:c r="I228" s="14"/>
      <x:c r="J228" s="14"/>
      <x:c r="K228" s="14" t="str">
        <x:v>NEEDS_WINDOW_BINDING</x:v>
      </x:c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/>
      <x:c r="BC228" s="14"/>
      <x:c r="BD228" s="14"/>
      <x:c r="BE228" s="14"/>
      <x:c r="BF228" s="14"/>
      <x:c r="BG228" s="14"/>
      <x:c r="BH228" s="14"/>
      <x:c r="BI228" s="14"/>
      <x:c r="BJ228" s="14"/>
      <x:c r="BK228" s="14"/>
      <x:c r="BL228" s="14"/>
      <x:c r="BM228" s="14"/>
      <x:c r="BN228" s="14"/>
      <x:c r="BO228" s="14"/>
      <x:c r="BP228" s="14"/>
      <x:c r="BQ228" s="14"/>
      <x:c r="BR228" s="14"/>
      <x:c r="BS228" s="14"/>
      <x:c r="BT228" s="14"/>
      <x:c r="BU228" s="14"/>
      <x:c r="BV228" s="14"/>
      <x:c r="BW228" s="14"/>
      <x:c r="BX228" s="14"/>
      <x:c r="BY228" s="14"/>
      <x:c r="BZ228" s="14"/>
      <x:c r="CA228" s="14"/>
      <x:c r="CB228" s="14"/>
      <x:c r="CC228" s="14"/>
      <x:c r="CD228" s="14"/>
      <x:c r="CE228" s="14"/>
    </x:row>
    <x:row r="229">
      <x:c r="A229" s="14" t="n">
        <x:v>228</x:v>
      </x:c>
      <x:c r="B229" s="14"/>
      <x:c r="C229" s="14" t="str">
        <x:v>CHECKING_EVENT</x:v>
      </x:c>
      <x:c r="D229" s="14" t="str">
        <x:v>Exploratory_Checking_611_Positional_Surrogate.xlsx</x:v>
      </x:c>
      <x:c r="E229" s="14"/>
      <x:c r="F229" s="14"/>
      <x:c r="G229" s="14"/>
      <x:c r="H229" s="14"/>
      <x:c r="I229" s="14"/>
      <x:c r="J229" s="14"/>
      <x:c r="K229" s="14" t="str">
        <x:v>NEEDS_WINDOW_BINDING</x:v>
      </x:c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/>
      <x:c r="AC229" s="14"/>
      <x:c r="AD229" s="14"/>
      <x:c r="AE229" s="14"/>
      <x:c r="AF229" s="14"/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/>
      <x:c r="BC229" s="14"/>
      <x:c r="BD229" s="14"/>
      <x:c r="BE229" s="14"/>
      <x:c r="BF229" s="14"/>
      <x:c r="BG229" s="14"/>
      <x:c r="BH229" s="14"/>
      <x:c r="BI229" s="14"/>
      <x:c r="BJ229" s="14"/>
      <x:c r="BK229" s="14"/>
      <x:c r="BL229" s="14"/>
      <x:c r="BM229" s="14"/>
      <x:c r="BN229" s="14"/>
      <x:c r="BO229" s="14"/>
      <x:c r="BP229" s="14"/>
      <x:c r="BQ229" s="14"/>
      <x:c r="BR229" s="14"/>
      <x:c r="BS229" s="14"/>
      <x:c r="BT229" s="14"/>
      <x:c r="BU229" s="14"/>
      <x:c r="BV229" s="14"/>
      <x:c r="BW229" s="14"/>
      <x:c r="BX229" s="14"/>
      <x:c r="BY229" s="14"/>
      <x:c r="BZ229" s="14"/>
      <x:c r="CA229" s="14"/>
      <x:c r="CB229" s="14"/>
      <x:c r="CC229" s="14"/>
      <x:c r="CD229" s="14"/>
      <x:c r="CE229" s="14"/>
    </x:row>
    <x:row r="230">
      <x:c r="A230" s="14" t="n">
        <x:v>229</x:v>
      </x:c>
      <x:c r="B230" s="14"/>
      <x:c r="C230" s="14" t="str">
        <x:v>CHECKING_EVENT</x:v>
      </x:c>
      <x:c r="D230" s="14" t="str">
        <x:v>Exploratory_Checking_611_Positional_Surrogate.xlsx</x:v>
      </x:c>
      <x:c r="E230" s="14"/>
      <x:c r="F230" s="14"/>
      <x:c r="G230" s="14"/>
      <x:c r="H230" s="14"/>
      <x:c r="I230" s="14"/>
      <x:c r="J230" s="14"/>
      <x:c r="K230" s="14" t="str">
        <x:v>NEEDS_WINDOW_BINDING</x:v>
      </x:c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/>
      <x:c r="AC230" s="14"/>
      <x:c r="AD230" s="14"/>
      <x:c r="AE230" s="14"/>
      <x:c r="AF230" s="14"/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/>
      <x:c r="BC230" s="14"/>
      <x:c r="BD230" s="14"/>
      <x:c r="BE230" s="14"/>
      <x:c r="BF230" s="14"/>
      <x:c r="BG230" s="14"/>
      <x:c r="BH230" s="14"/>
      <x:c r="BI230" s="14"/>
      <x:c r="BJ230" s="14"/>
      <x:c r="BK230" s="14"/>
      <x:c r="BL230" s="14"/>
      <x:c r="BM230" s="14"/>
      <x:c r="BN230" s="14"/>
      <x:c r="BO230" s="14"/>
      <x:c r="BP230" s="14"/>
      <x:c r="BQ230" s="14"/>
      <x:c r="BR230" s="14"/>
      <x:c r="BS230" s="14"/>
      <x:c r="BT230" s="14"/>
      <x:c r="BU230" s="14"/>
      <x:c r="BV230" s="14"/>
      <x:c r="BW230" s="14"/>
      <x:c r="BX230" s="14"/>
      <x:c r="BY230" s="14"/>
      <x:c r="BZ230" s="14"/>
      <x:c r="CA230" s="14"/>
      <x:c r="CB230" s="14"/>
      <x:c r="CC230" s="14"/>
      <x:c r="CD230" s="14"/>
      <x:c r="CE230" s="14"/>
    </x:row>
    <x:row r="231">
      <x:c r="A231" s="14" t="n">
        <x:v>230</x:v>
      </x:c>
      <x:c r="B231" s="14"/>
      <x:c r="C231" s="14" t="str">
        <x:v>CHECKING_EVENT</x:v>
      </x:c>
      <x:c r="D231" s="14" t="str">
        <x:v>Exploratory_Checking_611_Positional_Surrogate.xlsx</x:v>
      </x:c>
      <x:c r="E231" s="14"/>
      <x:c r="F231" s="14"/>
      <x:c r="G231" s="14"/>
      <x:c r="H231" s="14"/>
      <x:c r="I231" s="14"/>
      <x:c r="J231" s="14"/>
      <x:c r="K231" s="14" t="str">
        <x:v>NEEDS_WINDOW_BINDING</x:v>
      </x:c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/>
      <x:c r="AC231" s="14"/>
      <x:c r="AD231" s="14"/>
      <x:c r="AE231" s="14"/>
      <x:c r="AF231" s="14"/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/>
      <x:c r="BC231" s="14"/>
      <x:c r="BD231" s="14"/>
      <x:c r="BE231" s="14"/>
      <x:c r="BF231" s="14"/>
      <x:c r="BG231" s="14"/>
      <x:c r="BH231" s="14"/>
      <x:c r="BI231" s="14"/>
      <x:c r="BJ231" s="14"/>
      <x:c r="BK231" s="14"/>
      <x:c r="BL231" s="14"/>
      <x:c r="BM231" s="14"/>
      <x:c r="BN231" s="14"/>
      <x:c r="BO231" s="14"/>
      <x:c r="BP231" s="14"/>
      <x:c r="BQ231" s="14"/>
      <x:c r="BR231" s="14"/>
      <x:c r="BS231" s="14"/>
      <x:c r="BT231" s="14"/>
      <x:c r="BU231" s="14"/>
      <x:c r="BV231" s="14"/>
      <x:c r="BW231" s="14"/>
      <x:c r="BX231" s="14"/>
      <x:c r="BY231" s="14"/>
      <x:c r="BZ231" s="14"/>
      <x:c r="CA231" s="14"/>
      <x:c r="CB231" s="14"/>
      <x:c r="CC231" s="14"/>
      <x:c r="CD231" s="14"/>
      <x:c r="CE231" s="14"/>
    </x:row>
    <x:row r="232">
      <x:c r="A232" s="14" t="n">
        <x:v>231</x:v>
      </x:c>
      <x:c r="B232" s="14"/>
      <x:c r="C232" s="14" t="str">
        <x:v>CHECKING_EVENT</x:v>
      </x:c>
      <x:c r="D232" s="14" t="str">
        <x:v>Exploratory_Checking_611_Positional_Surrogate.xlsx</x:v>
      </x:c>
      <x:c r="E232" s="14"/>
      <x:c r="F232" s="14"/>
      <x:c r="G232" s="14"/>
      <x:c r="H232" s="14"/>
      <x:c r="I232" s="14"/>
      <x:c r="J232" s="14"/>
      <x:c r="K232" s="14" t="str">
        <x:v>NEEDS_WINDOW_BINDING</x:v>
      </x:c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/>
      <x:c r="AC232" s="14"/>
      <x:c r="AD232" s="14"/>
      <x:c r="AE232" s="14"/>
      <x:c r="AF232" s="14"/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/>
      <x:c r="BC232" s="14"/>
      <x:c r="BD232" s="14"/>
      <x:c r="BE232" s="14"/>
      <x:c r="BF232" s="14"/>
      <x:c r="BG232" s="14"/>
      <x:c r="BH232" s="14"/>
      <x:c r="BI232" s="14"/>
      <x:c r="BJ232" s="14"/>
      <x:c r="BK232" s="14"/>
      <x:c r="BL232" s="14"/>
      <x:c r="BM232" s="14"/>
      <x:c r="BN232" s="14"/>
      <x:c r="BO232" s="14"/>
      <x:c r="BP232" s="14"/>
      <x:c r="BQ232" s="14"/>
      <x:c r="BR232" s="14"/>
      <x:c r="BS232" s="14"/>
      <x:c r="BT232" s="14"/>
      <x:c r="BU232" s="14"/>
      <x:c r="BV232" s="14"/>
      <x:c r="BW232" s="14"/>
      <x:c r="BX232" s="14"/>
      <x:c r="BY232" s="14"/>
      <x:c r="BZ232" s="14"/>
      <x:c r="CA232" s="14"/>
      <x:c r="CB232" s="14"/>
      <x:c r="CC232" s="14"/>
      <x:c r="CD232" s="14"/>
      <x:c r="CE232" s="14"/>
    </x:row>
    <x:row r="233">
      <x:c r="A233" s="14" t="n">
        <x:v>232</x:v>
      </x:c>
      <x:c r="B233" s="14"/>
      <x:c r="C233" s="14" t="str">
        <x:v>CHECKING_EVENT</x:v>
      </x:c>
      <x:c r="D233" s="14" t="str">
        <x:v>Exploratory_Checking_611_Positional_Surrogate.xlsx</x:v>
      </x:c>
      <x:c r="E233" s="14"/>
      <x:c r="F233" s="14"/>
      <x:c r="G233" s="14"/>
      <x:c r="H233" s="14"/>
      <x:c r="I233" s="14"/>
      <x:c r="J233" s="14"/>
      <x:c r="K233" s="14" t="str">
        <x:v>NEEDS_WINDOW_BINDING</x:v>
      </x:c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/>
      <x:c r="AC233" s="14"/>
      <x:c r="AD233" s="14"/>
      <x:c r="AE233" s="14"/>
      <x:c r="AF233" s="14"/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/>
      <x:c r="BC233" s="14"/>
      <x:c r="BD233" s="14"/>
      <x:c r="BE233" s="14"/>
      <x:c r="BF233" s="14"/>
      <x:c r="BG233" s="14"/>
      <x:c r="BH233" s="14"/>
      <x:c r="BI233" s="14"/>
      <x:c r="BJ233" s="14"/>
      <x:c r="BK233" s="14"/>
      <x:c r="BL233" s="14"/>
      <x:c r="BM233" s="14"/>
      <x:c r="BN233" s="14"/>
      <x:c r="BO233" s="14"/>
      <x:c r="BP233" s="14"/>
      <x:c r="BQ233" s="14"/>
      <x:c r="BR233" s="14"/>
      <x:c r="BS233" s="14"/>
      <x:c r="BT233" s="14"/>
      <x:c r="BU233" s="14"/>
      <x:c r="BV233" s="14"/>
      <x:c r="BW233" s="14"/>
      <x:c r="BX233" s="14"/>
      <x:c r="BY233" s="14"/>
      <x:c r="BZ233" s="14"/>
      <x:c r="CA233" s="14"/>
      <x:c r="CB233" s="14"/>
      <x:c r="CC233" s="14"/>
      <x:c r="CD233" s="14"/>
      <x:c r="CE233" s="14"/>
    </x:row>
    <x:row r="234">
      <x:c r="A234" s="14" t="n">
        <x:v>233</x:v>
      </x:c>
      <x:c r="B234" s="14"/>
      <x:c r="C234" s="14" t="str">
        <x:v>CHECKING_EVENT</x:v>
      </x:c>
      <x:c r="D234" s="14" t="str">
        <x:v>Exploratory_Checking_611_Positional_Surrogate.xlsx</x:v>
      </x:c>
      <x:c r="E234" s="14"/>
      <x:c r="F234" s="14"/>
      <x:c r="G234" s="14"/>
      <x:c r="H234" s="14"/>
      <x:c r="I234" s="14"/>
      <x:c r="J234" s="14"/>
      <x:c r="K234" s="14" t="str">
        <x:v>NEEDS_WINDOW_BINDING</x:v>
      </x:c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/>
      <x:c r="AC234" s="14"/>
      <x:c r="AD234" s="14"/>
      <x:c r="AE234" s="14"/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/>
      <x:c r="BC234" s="14"/>
      <x:c r="BD234" s="14"/>
      <x:c r="BE234" s="14"/>
      <x:c r="BF234" s="14"/>
      <x:c r="BG234" s="14"/>
      <x:c r="BH234" s="14"/>
      <x:c r="BI234" s="14"/>
      <x:c r="BJ234" s="14"/>
      <x:c r="BK234" s="14"/>
      <x:c r="BL234" s="14"/>
      <x:c r="BM234" s="14"/>
      <x:c r="BN234" s="14"/>
      <x:c r="BO234" s="14"/>
      <x:c r="BP234" s="14"/>
      <x:c r="BQ234" s="14"/>
      <x:c r="BR234" s="14"/>
      <x:c r="BS234" s="14"/>
      <x:c r="BT234" s="14"/>
      <x:c r="BU234" s="14"/>
      <x:c r="BV234" s="14"/>
      <x:c r="BW234" s="14"/>
      <x:c r="BX234" s="14"/>
      <x:c r="BY234" s="14"/>
      <x:c r="BZ234" s="14"/>
      <x:c r="CA234" s="14"/>
      <x:c r="CB234" s="14"/>
      <x:c r="CC234" s="14"/>
      <x:c r="CD234" s="14"/>
      <x:c r="CE234" s="14"/>
    </x:row>
    <x:row r="235">
      <x:c r="A235" s="14" t="n">
        <x:v>234</x:v>
      </x:c>
      <x:c r="B235" s="14"/>
      <x:c r="C235" s="14" t="str">
        <x:v>CHECKING_EVENT</x:v>
      </x:c>
      <x:c r="D235" s="14" t="str">
        <x:v>Exploratory_Checking_611_Positional_Surrogate.xlsx</x:v>
      </x:c>
      <x:c r="E235" s="14"/>
      <x:c r="F235" s="14"/>
      <x:c r="G235" s="14"/>
      <x:c r="H235" s="14"/>
      <x:c r="I235" s="14"/>
      <x:c r="J235" s="14"/>
      <x:c r="K235" s="14" t="str">
        <x:v>NEEDS_WINDOW_BINDING</x:v>
      </x:c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/>
      <x:c r="AC235" s="14"/>
      <x:c r="AD235" s="14"/>
      <x:c r="AE235" s="14"/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/>
      <x:c r="BC235" s="14"/>
      <x:c r="BD235" s="14"/>
      <x:c r="BE235" s="14"/>
      <x:c r="BF235" s="14"/>
      <x:c r="BG235" s="14"/>
      <x:c r="BH235" s="14"/>
      <x:c r="BI235" s="14"/>
      <x:c r="BJ235" s="14"/>
      <x:c r="BK235" s="14"/>
      <x:c r="BL235" s="14"/>
      <x:c r="BM235" s="14"/>
      <x:c r="BN235" s="14"/>
      <x:c r="BO235" s="14"/>
      <x:c r="BP235" s="14"/>
      <x:c r="BQ235" s="14"/>
      <x:c r="BR235" s="14"/>
      <x:c r="BS235" s="14"/>
      <x:c r="BT235" s="14"/>
      <x:c r="BU235" s="14"/>
      <x:c r="BV235" s="14"/>
      <x:c r="BW235" s="14"/>
      <x:c r="BX235" s="14"/>
      <x:c r="BY235" s="14"/>
      <x:c r="BZ235" s="14"/>
      <x:c r="CA235" s="14"/>
      <x:c r="CB235" s="14"/>
      <x:c r="CC235" s="14"/>
      <x:c r="CD235" s="14"/>
      <x:c r="CE235" s="14"/>
    </x:row>
    <x:row r="236">
      <x:c r="A236" s="14" t="n">
        <x:v>235</x:v>
      </x:c>
      <x:c r="B236" s="14"/>
      <x:c r="C236" s="14" t="str">
        <x:v>CHECKING_EVENT</x:v>
      </x:c>
      <x:c r="D236" s="14" t="str">
        <x:v>Exploratory_Checking_611_Positional_Surrogate.xlsx</x:v>
      </x:c>
      <x:c r="E236" s="14"/>
      <x:c r="F236" s="14"/>
      <x:c r="G236" s="14"/>
      <x:c r="H236" s="14"/>
      <x:c r="I236" s="14"/>
      <x:c r="J236" s="14"/>
      <x:c r="K236" s="14" t="str">
        <x:v>NEEDS_WINDOW_BINDING</x:v>
      </x:c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/>
      <x:c r="AC236" s="14"/>
      <x:c r="AD236" s="14"/>
      <x:c r="AE236" s="14"/>
      <x:c r="AF236" s="14"/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/>
      <x:c r="BC236" s="14"/>
      <x:c r="BD236" s="14"/>
      <x:c r="BE236" s="14"/>
      <x:c r="BF236" s="14"/>
      <x:c r="BG236" s="14"/>
      <x:c r="BH236" s="14"/>
      <x:c r="BI236" s="14"/>
      <x:c r="BJ236" s="14"/>
      <x:c r="BK236" s="14"/>
      <x:c r="BL236" s="14"/>
      <x:c r="BM236" s="14"/>
      <x:c r="BN236" s="14"/>
      <x:c r="BO236" s="14"/>
      <x:c r="BP236" s="14"/>
      <x:c r="BQ236" s="14"/>
      <x:c r="BR236" s="14"/>
      <x:c r="BS236" s="14"/>
      <x:c r="BT236" s="14"/>
      <x:c r="BU236" s="14"/>
      <x:c r="BV236" s="14"/>
      <x:c r="BW236" s="14"/>
      <x:c r="BX236" s="14"/>
      <x:c r="BY236" s="14"/>
      <x:c r="BZ236" s="14"/>
      <x:c r="CA236" s="14"/>
      <x:c r="CB236" s="14"/>
      <x:c r="CC236" s="14"/>
      <x:c r="CD236" s="14"/>
      <x:c r="CE236" s="14"/>
    </x:row>
    <x:row r="237">
      <x:c r="A237" s="14" t="n">
        <x:v>236</x:v>
      </x:c>
      <x:c r="B237" s="14"/>
      <x:c r="C237" s="14" t="str">
        <x:v>CHECKING_EVENT</x:v>
      </x:c>
      <x:c r="D237" s="14" t="str">
        <x:v>Exploratory_Checking_611_Positional_Surrogate.xlsx</x:v>
      </x:c>
      <x:c r="E237" s="14"/>
      <x:c r="F237" s="14"/>
      <x:c r="G237" s="14"/>
      <x:c r="H237" s="14"/>
      <x:c r="I237" s="14"/>
      <x:c r="J237" s="14"/>
      <x:c r="K237" s="14" t="str">
        <x:v>NEEDS_WINDOW_BINDING</x:v>
      </x:c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/>
      <x:c r="AC237" s="14"/>
      <x:c r="AD237" s="14"/>
      <x:c r="AE237" s="14"/>
      <x:c r="AF237" s="14"/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/>
      <x:c r="BC237" s="14"/>
      <x:c r="BD237" s="14"/>
      <x:c r="BE237" s="14"/>
      <x:c r="BF237" s="14"/>
      <x:c r="BG237" s="14"/>
      <x:c r="BH237" s="14"/>
      <x:c r="BI237" s="14"/>
      <x:c r="BJ237" s="14"/>
      <x:c r="BK237" s="14"/>
      <x:c r="BL237" s="14"/>
      <x:c r="BM237" s="14"/>
      <x:c r="BN237" s="14"/>
      <x:c r="BO237" s="14"/>
      <x:c r="BP237" s="14"/>
      <x:c r="BQ237" s="14"/>
      <x:c r="BR237" s="14"/>
      <x:c r="BS237" s="14"/>
      <x:c r="BT237" s="14"/>
      <x:c r="BU237" s="14"/>
      <x:c r="BV237" s="14"/>
      <x:c r="BW237" s="14"/>
      <x:c r="BX237" s="14"/>
      <x:c r="BY237" s="14"/>
      <x:c r="BZ237" s="14"/>
      <x:c r="CA237" s="14"/>
      <x:c r="CB237" s="14"/>
      <x:c r="CC237" s="14"/>
      <x:c r="CD237" s="14"/>
      <x:c r="CE237" s="14"/>
    </x:row>
    <x:row r="238">
      <x:c r="A238" s="14" t="n">
        <x:v>237</x:v>
      </x:c>
      <x:c r="B238" s="14"/>
      <x:c r="C238" s="14" t="str">
        <x:v>CHECKING_EVENT</x:v>
      </x:c>
      <x:c r="D238" s="14" t="str">
        <x:v>Exploratory_Checking_611_Positional_Surrogate.xlsx</x:v>
      </x:c>
      <x:c r="E238" s="14"/>
      <x:c r="F238" s="14"/>
      <x:c r="G238" s="14"/>
      <x:c r="H238" s="14"/>
      <x:c r="I238" s="14"/>
      <x:c r="J238" s="14"/>
      <x:c r="K238" s="14" t="str">
        <x:v>NEEDS_WINDOW_BINDING</x:v>
      </x:c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/>
      <x:c r="AC238" s="14"/>
      <x:c r="AD238" s="14"/>
      <x:c r="AE238" s="14"/>
      <x:c r="AF238" s="14"/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/>
      <x:c r="BC238" s="14"/>
      <x:c r="BD238" s="14"/>
      <x:c r="BE238" s="14"/>
      <x:c r="BF238" s="14"/>
      <x:c r="BG238" s="14"/>
      <x:c r="BH238" s="14"/>
      <x:c r="BI238" s="14"/>
      <x:c r="BJ238" s="14"/>
      <x:c r="BK238" s="14"/>
      <x:c r="BL238" s="14"/>
      <x:c r="BM238" s="14"/>
      <x:c r="BN238" s="14"/>
      <x:c r="BO238" s="14"/>
      <x:c r="BP238" s="14"/>
      <x:c r="BQ238" s="14"/>
      <x:c r="BR238" s="14"/>
      <x:c r="BS238" s="14"/>
      <x:c r="BT238" s="14"/>
      <x:c r="BU238" s="14"/>
      <x:c r="BV238" s="14"/>
      <x:c r="BW238" s="14"/>
      <x:c r="BX238" s="14"/>
      <x:c r="BY238" s="14"/>
      <x:c r="BZ238" s="14"/>
      <x:c r="CA238" s="14"/>
      <x:c r="CB238" s="14"/>
      <x:c r="CC238" s="14"/>
      <x:c r="CD238" s="14"/>
      <x:c r="CE238" s="14"/>
    </x:row>
    <x:row r="239">
      <x:c r="A239" s="14" t="n">
        <x:v>238</x:v>
      </x:c>
      <x:c r="B239" s="14"/>
      <x:c r="C239" s="14" t="str">
        <x:v>CHECKING_EVENT</x:v>
      </x:c>
      <x:c r="D239" s="14" t="str">
        <x:v>Exploratory_Checking_611_Positional_Surrogate.xlsx</x:v>
      </x:c>
      <x:c r="E239" s="14"/>
      <x:c r="F239" s="14"/>
      <x:c r="G239" s="14"/>
      <x:c r="H239" s="14"/>
      <x:c r="I239" s="14"/>
      <x:c r="J239" s="14"/>
      <x:c r="K239" s="14" t="str">
        <x:v>NEEDS_WINDOW_BINDING</x:v>
      </x:c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/>
      <x:c r="AC239" s="14"/>
      <x:c r="AD239" s="14"/>
      <x:c r="AE239" s="14"/>
      <x:c r="AF239" s="14"/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/>
      <x:c r="BC239" s="14"/>
      <x:c r="BD239" s="14"/>
      <x:c r="BE239" s="14"/>
      <x:c r="BF239" s="14"/>
      <x:c r="BG239" s="14"/>
      <x:c r="BH239" s="14"/>
      <x:c r="BI239" s="14"/>
      <x:c r="BJ239" s="14"/>
      <x:c r="BK239" s="14"/>
      <x:c r="BL239" s="14"/>
      <x:c r="BM239" s="14"/>
      <x:c r="BN239" s="14"/>
      <x:c r="BO239" s="14"/>
      <x:c r="BP239" s="14"/>
      <x:c r="BQ239" s="14"/>
      <x:c r="BR239" s="14"/>
      <x:c r="BS239" s="14"/>
      <x:c r="BT239" s="14"/>
      <x:c r="BU239" s="14"/>
      <x:c r="BV239" s="14"/>
      <x:c r="BW239" s="14"/>
      <x:c r="BX239" s="14"/>
      <x:c r="BY239" s="14"/>
      <x:c r="BZ239" s="14"/>
      <x:c r="CA239" s="14"/>
      <x:c r="CB239" s="14"/>
      <x:c r="CC239" s="14"/>
      <x:c r="CD239" s="14"/>
      <x:c r="CE239" s="14"/>
    </x:row>
    <x:row r="240">
      <x:c r="A240" s="14" t="n">
        <x:v>239</x:v>
      </x:c>
      <x:c r="B240" s="14"/>
      <x:c r="C240" s="14" t="str">
        <x:v>CHECKING_EVENT</x:v>
      </x:c>
      <x:c r="D240" s="14" t="str">
        <x:v>Exploratory_Checking_611_Positional_Surrogate.xlsx</x:v>
      </x:c>
      <x:c r="E240" s="14"/>
      <x:c r="F240" s="14"/>
      <x:c r="G240" s="14"/>
      <x:c r="H240" s="14"/>
      <x:c r="I240" s="14"/>
      <x:c r="J240" s="14"/>
      <x:c r="K240" s="14" t="str">
        <x:v>NEEDS_WINDOW_BINDING</x:v>
      </x:c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/>
      <x:c r="AC240" s="14"/>
      <x:c r="AD240" s="14"/>
      <x:c r="AE240" s="14"/>
      <x:c r="AF240" s="14"/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/>
      <x:c r="BC240" s="14"/>
      <x:c r="BD240" s="14"/>
      <x:c r="BE240" s="14"/>
      <x:c r="BF240" s="14"/>
      <x:c r="BG240" s="14"/>
      <x:c r="BH240" s="14"/>
      <x:c r="BI240" s="14"/>
      <x:c r="BJ240" s="14"/>
      <x:c r="BK240" s="14"/>
      <x:c r="BL240" s="14"/>
      <x:c r="BM240" s="14"/>
      <x:c r="BN240" s="14"/>
      <x:c r="BO240" s="14"/>
      <x:c r="BP240" s="14"/>
      <x:c r="BQ240" s="14"/>
      <x:c r="BR240" s="14"/>
      <x:c r="BS240" s="14"/>
      <x:c r="BT240" s="14"/>
      <x:c r="BU240" s="14"/>
      <x:c r="BV240" s="14"/>
      <x:c r="BW240" s="14"/>
      <x:c r="BX240" s="14"/>
      <x:c r="BY240" s="14"/>
      <x:c r="BZ240" s="14"/>
      <x:c r="CA240" s="14"/>
      <x:c r="CB240" s="14"/>
      <x:c r="CC240" s="14"/>
      <x:c r="CD240" s="14"/>
      <x:c r="CE240" s="14"/>
    </x:row>
    <x:row r="241">
      <x:c r="A241" s="14" t="n">
        <x:v>240</x:v>
      </x:c>
      <x:c r="B241" s="14"/>
      <x:c r="C241" s="14" t="str">
        <x:v>CHECKING_EVENT</x:v>
      </x:c>
      <x:c r="D241" s="14" t="str">
        <x:v>Exploratory_Checking_611_Positional_Surrogate.xlsx</x:v>
      </x:c>
      <x:c r="E241" s="14"/>
      <x:c r="F241" s="14"/>
      <x:c r="G241" s="14"/>
      <x:c r="H241" s="14"/>
      <x:c r="I241" s="14"/>
      <x:c r="J241" s="14"/>
      <x:c r="K241" s="14" t="str">
        <x:v>NEEDS_WINDOW_BINDING</x:v>
      </x:c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/>
      <x:c r="AC241" s="14"/>
      <x:c r="AD241" s="14"/>
      <x:c r="AE241" s="14"/>
      <x:c r="AF241" s="14"/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/>
      <x:c r="BC241" s="14"/>
      <x:c r="BD241" s="14"/>
      <x:c r="BE241" s="14"/>
      <x:c r="BF241" s="14"/>
      <x:c r="BG241" s="14"/>
      <x:c r="BH241" s="14"/>
      <x:c r="BI241" s="14"/>
      <x:c r="BJ241" s="14"/>
      <x:c r="BK241" s="14"/>
      <x:c r="BL241" s="14"/>
      <x:c r="BM241" s="14"/>
      <x:c r="BN241" s="14"/>
      <x:c r="BO241" s="14"/>
      <x:c r="BP241" s="14"/>
      <x:c r="BQ241" s="14"/>
      <x:c r="BR241" s="14"/>
      <x:c r="BS241" s="14"/>
      <x:c r="BT241" s="14"/>
      <x:c r="BU241" s="14"/>
      <x:c r="BV241" s="14"/>
      <x:c r="BW241" s="14"/>
      <x:c r="BX241" s="14"/>
      <x:c r="BY241" s="14"/>
      <x:c r="BZ241" s="14"/>
      <x:c r="CA241" s="14"/>
      <x:c r="CB241" s="14"/>
      <x:c r="CC241" s="14"/>
      <x:c r="CD241" s="14"/>
      <x:c r="CE241" s="14"/>
    </x:row>
    <x:row r="242">
      <x:c r="A242" s="14" t="n">
        <x:v>241</x:v>
      </x:c>
      <x:c r="B242" s="14"/>
      <x:c r="C242" s="14" t="str">
        <x:v>CHECKING_EVENT</x:v>
      </x:c>
      <x:c r="D242" s="14" t="str">
        <x:v>Exploratory_Checking_611_Positional_Surrogate.xlsx</x:v>
      </x:c>
      <x:c r="E242" s="14"/>
      <x:c r="F242" s="14"/>
      <x:c r="G242" s="14"/>
      <x:c r="H242" s="14"/>
      <x:c r="I242" s="14"/>
      <x:c r="J242" s="14"/>
      <x:c r="K242" s="14" t="str">
        <x:v>NEEDS_WINDOW_BINDING</x:v>
      </x:c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/>
      <x:c r="AC242" s="14"/>
      <x:c r="AD242" s="14"/>
      <x:c r="AE242" s="14"/>
      <x:c r="AF242" s="14"/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/>
      <x:c r="BC242" s="14"/>
      <x:c r="BD242" s="14"/>
      <x:c r="BE242" s="14"/>
      <x:c r="BF242" s="14"/>
      <x:c r="BG242" s="14"/>
      <x:c r="BH242" s="14"/>
      <x:c r="BI242" s="14"/>
      <x:c r="BJ242" s="14"/>
      <x:c r="BK242" s="14"/>
      <x:c r="BL242" s="14"/>
      <x:c r="BM242" s="14"/>
      <x:c r="BN242" s="14"/>
      <x:c r="BO242" s="14"/>
      <x:c r="BP242" s="14"/>
      <x:c r="BQ242" s="14"/>
      <x:c r="BR242" s="14"/>
      <x:c r="BS242" s="14"/>
      <x:c r="BT242" s="14"/>
      <x:c r="BU242" s="14"/>
      <x:c r="BV242" s="14"/>
      <x:c r="BW242" s="14"/>
      <x:c r="BX242" s="14"/>
      <x:c r="BY242" s="14"/>
      <x:c r="BZ242" s="14"/>
      <x:c r="CA242" s="14"/>
      <x:c r="CB242" s="14"/>
      <x:c r="CC242" s="14"/>
      <x:c r="CD242" s="14"/>
      <x:c r="CE242" s="14"/>
    </x:row>
    <x:row r="243">
      <x:c r="A243" s="14" t="n">
        <x:v>242</x:v>
      </x:c>
      <x:c r="B243" s="14"/>
      <x:c r="C243" s="14" t="str">
        <x:v>CHECKING_EVENT</x:v>
      </x:c>
      <x:c r="D243" s="14" t="str">
        <x:v>Exploratory_Checking_611_Positional_Surrogate.xlsx</x:v>
      </x:c>
      <x:c r="E243" s="14"/>
      <x:c r="F243" s="14"/>
      <x:c r="G243" s="14"/>
      <x:c r="H243" s="14"/>
      <x:c r="I243" s="14"/>
      <x:c r="J243" s="14"/>
      <x:c r="K243" s="14" t="str">
        <x:v>NEEDS_WINDOW_BINDING</x:v>
      </x:c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/>
      <x:c r="AC243" s="14"/>
      <x:c r="AD243" s="14"/>
      <x:c r="AE243" s="14"/>
      <x:c r="AF243" s="14"/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/>
      <x:c r="BC243" s="14"/>
      <x:c r="BD243" s="14"/>
      <x:c r="BE243" s="14"/>
      <x:c r="BF243" s="14"/>
      <x:c r="BG243" s="14"/>
      <x:c r="BH243" s="14"/>
      <x:c r="BI243" s="14"/>
      <x:c r="BJ243" s="14"/>
      <x:c r="BK243" s="14"/>
      <x:c r="BL243" s="14"/>
      <x:c r="BM243" s="14"/>
      <x:c r="BN243" s="14"/>
      <x:c r="BO243" s="14"/>
      <x:c r="BP243" s="14"/>
      <x:c r="BQ243" s="14"/>
      <x:c r="BR243" s="14"/>
      <x:c r="BS243" s="14"/>
      <x:c r="BT243" s="14"/>
      <x:c r="BU243" s="14"/>
      <x:c r="BV243" s="14"/>
      <x:c r="BW243" s="14"/>
      <x:c r="BX243" s="14"/>
      <x:c r="BY243" s="14"/>
      <x:c r="BZ243" s="14"/>
      <x:c r="CA243" s="14"/>
      <x:c r="CB243" s="14"/>
      <x:c r="CC243" s="14"/>
      <x:c r="CD243" s="14"/>
      <x:c r="CE243" s="14"/>
    </x:row>
    <x:row r="244">
      <x:c r="A244" s="14" t="n">
        <x:v>243</x:v>
      </x:c>
      <x:c r="B244" s="14"/>
      <x:c r="C244" s="14" t="str">
        <x:v>CHECKING_EVENT</x:v>
      </x:c>
      <x:c r="D244" s="14" t="str">
        <x:v>Exploratory_Checking_611_Positional_Surrogate.xlsx</x:v>
      </x:c>
      <x:c r="E244" s="14"/>
      <x:c r="F244" s="14"/>
      <x:c r="G244" s="14"/>
      <x:c r="H244" s="14"/>
      <x:c r="I244" s="14"/>
      <x:c r="J244" s="14"/>
      <x:c r="K244" s="14" t="str">
        <x:v>NEEDS_WINDOW_BINDING</x:v>
      </x:c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/>
      <x:c r="AC244" s="14"/>
      <x:c r="AD244" s="14"/>
      <x:c r="AE244" s="14"/>
      <x:c r="AF244" s="14"/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/>
      <x:c r="BC244" s="14"/>
      <x:c r="BD244" s="14"/>
      <x:c r="BE244" s="14"/>
      <x:c r="BF244" s="14"/>
      <x:c r="BG244" s="14"/>
      <x:c r="BH244" s="14"/>
      <x:c r="BI244" s="14"/>
      <x:c r="BJ244" s="14"/>
      <x:c r="BK244" s="14"/>
      <x:c r="BL244" s="14"/>
      <x:c r="BM244" s="14"/>
      <x:c r="BN244" s="14"/>
      <x:c r="BO244" s="14"/>
      <x:c r="BP244" s="14"/>
      <x:c r="BQ244" s="14"/>
      <x:c r="BR244" s="14"/>
      <x:c r="BS244" s="14"/>
      <x:c r="BT244" s="14"/>
      <x:c r="BU244" s="14"/>
      <x:c r="BV244" s="14"/>
      <x:c r="BW244" s="14"/>
      <x:c r="BX244" s="14"/>
      <x:c r="BY244" s="14"/>
      <x:c r="BZ244" s="14"/>
      <x:c r="CA244" s="14"/>
      <x:c r="CB244" s="14"/>
      <x:c r="CC244" s="14"/>
      <x:c r="CD244" s="14"/>
      <x:c r="CE244" s="14"/>
    </x:row>
    <x:row r="245">
      <x:c r="A245" s="14" t="n">
        <x:v>244</x:v>
      </x:c>
      <x:c r="B245" s="14"/>
      <x:c r="C245" s="14" t="str">
        <x:v>CHECKING_EVENT</x:v>
      </x:c>
      <x:c r="D245" s="14" t="str">
        <x:v>Exploratory_Checking_611_Positional_Surrogate.xlsx</x:v>
      </x:c>
      <x:c r="E245" s="14"/>
      <x:c r="F245" s="14"/>
      <x:c r="G245" s="14"/>
      <x:c r="H245" s="14"/>
      <x:c r="I245" s="14"/>
      <x:c r="J245" s="14"/>
      <x:c r="K245" s="14" t="str">
        <x:v>NEEDS_WINDOW_BINDING</x:v>
      </x:c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/>
      <x:c r="AC245" s="14"/>
      <x:c r="AD245" s="14"/>
      <x:c r="AE245" s="14"/>
      <x:c r="AF245" s="14"/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/>
      <x:c r="BC245" s="14"/>
      <x:c r="BD245" s="14"/>
      <x:c r="BE245" s="14"/>
      <x:c r="BF245" s="14"/>
      <x:c r="BG245" s="14"/>
      <x:c r="BH245" s="14"/>
      <x:c r="BI245" s="14"/>
      <x:c r="BJ245" s="14"/>
      <x:c r="BK245" s="14"/>
      <x:c r="BL245" s="14"/>
      <x:c r="BM245" s="14"/>
      <x:c r="BN245" s="14"/>
      <x:c r="BO245" s="14"/>
      <x:c r="BP245" s="14"/>
      <x:c r="BQ245" s="14"/>
      <x:c r="BR245" s="14"/>
      <x:c r="BS245" s="14"/>
      <x:c r="BT245" s="14"/>
      <x:c r="BU245" s="14"/>
      <x:c r="BV245" s="14"/>
      <x:c r="BW245" s="14"/>
      <x:c r="BX245" s="14"/>
      <x:c r="BY245" s="14"/>
      <x:c r="BZ245" s="14"/>
      <x:c r="CA245" s="14"/>
      <x:c r="CB245" s="14"/>
      <x:c r="CC245" s="14"/>
      <x:c r="CD245" s="14"/>
      <x:c r="CE245" s="14"/>
    </x:row>
    <x:row r="246">
      <x:c r="A246" s="14" t="n">
        <x:v>245</x:v>
      </x:c>
      <x:c r="B246" s="14"/>
      <x:c r="C246" s="14" t="str">
        <x:v>CHECKING_EVENT</x:v>
      </x:c>
      <x:c r="D246" s="14" t="str">
        <x:v>Exploratory_Checking_611_Positional_Surrogate.xlsx</x:v>
      </x:c>
      <x:c r="E246" s="14"/>
      <x:c r="F246" s="14"/>
      <x:c r="G246" s="14"/>
      <x:c r="H246" s="14"/>
      <x:c r="I246" s="14"/>
      <x:c r="J246" s="14"/>
      <x:c r="K246" s="14" t="str">
        <x:v>NEEDS_WINDOW_BINDING</x:v>
      </x:c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/>
      <x:c r="BC246" s="14"/>
      <x:c r="BD246" s="14"/>
      <x:c r="BE246" s="14"/>
      <x:c r="BF246" s="14"/>
      <x:c r="BG246" s="14"/>
      <x:c r="BH246" s="14"/>
      <x:c r="BI246" s="14"/>
      <x:c r="BJ246" s="14"/>
      <x:c r="BK246" s="14"/>
      <x:c r="BL246" s="14"/>
      <x:c r="BM246" s="14"/>
      <x:c r="BN246" s="14"/>
      <x:c r="BO246" s="14"/>
      <x:c r="BP246" s="14"/>
      <x:c r="BQ246" s="14"/>
      <x:c r="BR246" s="14"/>
      <x:c r="BS246" s="14"/>
      <x:c r="BT246" s="14"/>
      <x:c r="BU246" s="14"/>
      <x:c r="BV246" s="14"/>
      <x:c r="BW246" s="14"/>
      <x:c r="BX246" s="14"/>
      <x:c r="BY246" s="14"/>
      <x:c r="BZ246" s="14"/>
      <x:c r="CA246" s="14"/>
      <x:c r="CB246" s="14"/>
      <x:c r="CC246" s="14"/>
      <x:c r="CD246" s="14"/>
      <x:c r="CE246" s="14"/>
    </x:row>
    <x:row r="247">
      <x:c r="A247" s="14" t="n">
        <x:v>246</x:v>
      </x:c>
      <x:c r="B247" s="14"/>
      <x:c r="C247" s="14" t="str">
        <x:v>CHECKING_EVENT</x:v>
      </x:c>
      <x:c r="D247" s="14" t="str">
        <x:v>Exploratory_Checking_611_Positional_Surrogate.xlsx</x:v>
      </x:c>
      <x:c r="E247" s="14"/>
      <x:c r="F247" s="14"/>
      <x:c r="G247" s="14"/>
      <x:c r="H247" s="14"/>
      <x:c r="I247" s="14"/>
      <x:c r="J247" s="14"/>
      <x:c r="K247" s="14" t="str">
        <x:v>NEEDS_WINDOW_BINDING</x:v>
      </x:c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/>
      <x:c r="AC247" s="14"/>
      <x:c r="AD247" s="14"/>
      <x:c r="AE247" s="14"/>
      <x:c r="AF247" s="14"/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/>
      <x:c r="BC247" s="14"/>
      <x:c r="BD247" s="14"/>
      <x:c r="BE247" s="14"/>
      <x:c r="BF247" s="14"/>
      <x:c r="BG247" s="14"/>
      <x:c r="BH247" s="14"/>
      <x:c r="BI247" s="14"/>
      <x:c r="BJ247" s="14"/>
      <x:c r="BK247" s="14"/>
      <x:c r="BL247" s="14"/>
      <x:c r="BM247" s="14"/>
      <x:c r="BN247" s="14"/>
      <x:c r="BO247" s="14"/>
      <x:c r="BP247" s="14"/>
      <x:c r="BQ247" s="14"/>
      <x:c r="BR247" s="14"/>
      <x:c r="BS247" s="14"/>
      <x:c r="BT247" s="14"/>
      <x:c r="BU247" s="14"/>
      <x:c r="BV247" s="14"/>
      <x:c r="BW247" s="14"/>
      <x:c r="BX247" s="14"/>
      <x:c r="BY247" s="14"/>
      <x:c r="BZ247" s="14"/>
      <x:c r="CA247" s="14"/>
      <x:c r="CB247" s="14"/>
      <x:c r="CC247" s="14"/>
      <x:c r="CD247" s="14"/>
      <x:c r="CE247" s="14"/>
    </x:row>
    <x:row r="248">
      <x:c r="A248" s="14" t="n">
        <x:v>247</x:v>
      </x:c>
      <x:c r="B248" s="14"/>
      <x:c r="C248" s="14" t="str">
        <x:v>CHECKING_EVENT</x:v>
      </x:c>
      <x:c r="D248" s="14" t="str">
        <x:v>Exploratory_Checking_611_Positional_Surrogate.xlsx</x:v>
      </x:c>
      <x:c r="E248" s="14"/>
      <x:c r="F248" s="14"/>
      <x:c r="G248" s="14"/>
      <x:c r="H248" s="14"/>
      <x:c r="I248" s="14"/>
      <x:c r="J248" s="14"/>
      <x:c r="K248" s="14" t="str">
        <x:v>NEEDS_WINDOW_BINDING</x:v>
      </x:c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/>
      <x:c r="BC248" s="14"/>
      <x:c r="BD248" s="14"/>
      <x:c r="BE248" s="14"/>
      <x:c r="BF248" s="14"/>
      <x:c r="BG248" s="14"/>
      <x:c r="BH248" s="14"/>
      <x:c r="BI248" s="14"/>
      <x:c r="BJ248" s="14"/>
      <x:c r="BK248" s="14"/>
      <x:c r="BL248" s="14"/>
      <x:c r="BM248" s="14"/>
      <x:c r="BN248" s="14"/>
      <x:c r="BO248" s="14"/>
      <x:c r="BP248" s="14"/>
      <x:c r="BQ248" s="14"/>
      <x:c r="BR248" s="14"/>
      <x:c r="BS248" s="14"/>
      <x:c r="BT248" s="14"/>
      <x:c r="BU248" s="14"/>
      <x:c r="BV248" s="14"/>
      <x:c r="BW248" s="14"/>
      <x:c r="BX248" s="14"/>
      <x:c r="BY248" s="14"/>
      <x:c r="BZ248" s="14"/>
      <x:c r="CA248" s="14"/>
      <x:c r="CB248" s="14"/>
      <x:c r="CC248" s="14"/>
      <x:c r="CD248" s="14"/>
      <x:c r="CE248" s="14"/>
    </x:row>
    <x:row r="249">
      <x:c r="A249" s="14" t="n">
        <x:v>248</x:v>
      </x:c>
      <x:c r="B249" s="14"/>
      <x:c r="C249" s="14" t="str">
        <x:v>CHECKING_EVENT</x:v>
      </x:c>
      <x:c r="D249" s="14" t="str">
        <x:v>Exploratory_Checking_611_Positional_Surrogate.xlsx</x:v>
      </x:c>
      <x:c r="E249" s="14"/>
      <x:c r="F249" s="14"/>
      <x:c r="G249" s="14"/>
      <x:c r="H249" s="14"/>
      <x:c r="I249" s="14"/>
      <x:c r="J249" s="14"/>
      <x:c r="K249" s="14" t="str">
        <x:v>NEEDS_WINDOW_BINDING</x:v>
      </x:c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/>
      <x:c r="AC249" s="14"/>
      <x:c r="AD249" s="14"/>
      <x:c r="AE249" s="14"/>
      <x:c r="AF249" s="14"/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/>
      <x:c r="BC249" s="14"/>
      <x:c r="BD249" s="14"/>
      <x:c r="BE249" s="14"/>
      <x:c r="BF249" s="14"/>
      <x:c r="BG249" s="14"/>
      <x:c r="BH249" s="14"/>
      <x:c r="BI249" s="14"/>
      <x:c r="BJ249" s="14"/>
      <x:c r="BK249" s="14"/>
      <x:c r="BL249" s="14"/>
      <x:c r="BM249" s="14"/>
      <x:c r="BN249" s="14"/>
      <x:c r="BO249" s="14"/>
      <x:c r="BP249" s="14"/>
      <x:c r="BQ249" s="14"/>
      <x:c r="BR249" s="14"/>
      <x:c r="BS249" s="14"/>
      <x:c r="BT249" s="14"/>
      <x:c r="BU249" s="14"/>
      <x:c r="BV249" s="14"/>
      <x:c r="BW249" s="14"/>
      <x:c r="BX249" s="14"/>
      <x:c r="BY249" s="14"/>
      <x:c r="BZ249" s="14"/>
      <x:c r="CA249" s="14"/>
      <x:c r="CB249" s="14"/>
      <x:c r="CC249" s="14"/>
      <x:c r="CD249" s="14"/>
      <x:c r="CE249" s="14"/>
    </x:row>
    <x:row r="250">
      <x:c r="A250" s="14" t="n">
        <x:v>249</x:v>
      </x:c>
      <x:c r="B250" s="14"/>
      <x:c r="C250" s="14" t="str">
        <x:v>CHECKING_EVENT</x:v>
      </x:c>
      <x:c r="D250" s="14" t="str">
        <x:v>Exploratory_Checking_611_Positional_Surrogate.xlsx</x:v>
      </x:c>
      <x:c r="E250" s="14"/>
      <x:c r="F250" s="14"/>
      <x:c r="G250" s="14"/>
      <x:c r="H250" s="14"/>
      <x:c r="I250" s="14"/>
      <x:c r="J250" s="14"/>
      <x:c r="K250" s="14" t="str">
        <x:v>NEEDS_WINDOW_BINDING</x:v>
      </x:c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/>
      <x:c r="BC250" s="14"/>
      <x:c r="BD250" s="14"/>
      <x:c r="BE250" s="14"/>
      <x:c r="BF250" s="14"/>
      <x:c r="BG250" s="14"/>
      <x:c r="BH250" s="14"/>
      <x:c r="BI250" s="14"/>
      <x:c r="BJ250" s="14"/>
      <x:c r="BK250" s="14"/>
      <x:c r="BL250" s="14"/>
      <x:c r="BM250" s="14"/>
      <x:c r="BN250" s="14"/>
      <x:c r="BO250" s="14"/>
      <x:c r="BP250" s="14"/>
      <x:c r="BQ250" s="14"/>
      <x:c r="BR250" s="14"/>
      <x:c r="BS250" s="14"/>
      <x:c r="BT250" s="14"/>
      <x:c r="BU250" s="14"/>
      <x:c r="BV250" s="14"/>
      <x:c r="BW250" s="14"/>
      <x:c r="BX250" s="14"/>
      <x:c r="BY250" s="14"/>
      <x:c r="BZ250" s="14"/>
      <x:c r="CA250" s="14"/>
      <x:c r="CB250" s="14"/>
      <x:c r="CC250" s="14"/>
      <x:c r="CD250" s="14"/>
      <x:c r="CE250" s="14"/>
    </x:row>
    <x:row r="251">
      <x:c r="A251" s="14" t="n">
        <x:v>250</x:v>
      </x:c>
      <x:c r="B251" s="14"/>
      <x:c r="C251" s="14" t="str">
        <x:v>CHECKING_EVENT</x:v>
      </x:c>
      <x:c r="D251" s="14" t="str">
        <x:v>Exploratory_Checking_611_Positional_Surrogate.xlsx</x:v>
      </x:c>
      <x:c r="E251" s="14"/>
      <x:c r="F251" s="14"/>
      <x:c r="G251" s="14"/>
      <x:c r="H251" s="14"/>
      <x:c r="I251" s="14"/>
      <x:c r="J251" s="14"/>
      <x:c r="K251" s="14" t="str">
        <x:v>NEEDS_WINDOW_BINDING</x:v>
      </x:c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/>
      <x:c r="AC251" s="14"/>
      <x:c r="AD251" s="14"/>
      <x:c r="AE251" s="14"/>
      <x:c r="AF251" s="14"/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/>
      <x:c r="BC251" s="14"/>
      <x:c r="BD251" s="14"/>
      <x:c r="BE251" s="14"/>
      <x:c r="BF251" s="14"/>
      <x:c r="BG251" s="14"/>
      <x:c r="BH251" s="14"/>
      <x:c r="BI251" s="14"/>
      <x:c r="BJ251" s="14"/>
      <x:c r="BK251" s="14"/>
      <x:c r="BL251" s="14"/>
      <x:c r="BM251" s="14"/>
      <x:c r="BN251" s="14"/>
      <x:c r="BO251" s="14"/>
      <x:c r="BP251" s="14"/>
      <x:c r="BQ251" s="14"/>
      <x:c r="BR251" s="14"/>
      <x:c r="BS251" s="14"/>
      <x:c r="BT251" s="14"/>
      <x:c r="BU251" s="14"/>
      <x:c r="BV251" s="14"/>
      <x:c r="BW251" s="14"/>
      <x:c r="BX251" s="14"/>
      <x:c r="BY251" s="14"/>
      <x:c r="BZ251" s="14"/>
      <x:c r="CA251" s="14"/>
      <x:c r="CB251" s="14"/>
      <x:c r="CC251" s="14"/>
      <x:c r="CD251" s="14"/>
      <x:c r="CE251" s="14"/>
    </x:row>
    <x:row r="252">
      <x:c r="A252" s="14" t="n">
        <x:v>251</x:v>
      </x:c>
      <x:c r="B252" s="14"/>
      <x:c r="C252" s="14" t="str">
        <x:v>CHECKING_EVENT</x:v>
      </x:c>
      <x:c r="D252" s="14" t="str">
        <x:v>Exploratory_Checking_611_Positional_Surrogate.xlsx</x:v>
      </x:c>
      <x:c r="E252" s="14"/>
      <x:c r="F252" s="14"/>
      <x:c r="G252" s="14"/>
      <x:c r="H252" s="14"/>
      <x:c r="I252" s="14"/>
      <x:c r="J252" s="14"/>
      <x:c r="K252" s="14" t="str">
        <x:v>NEEDS_WINDOW_BINDING</x:v>
      </x:c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/>
      <x:c r="AC252" s="14"/>
      <x:c r="AD252" s="14"/>
      <x:c r="AE252" s="14"/>
      <x:c r="AF252" s="14"/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/>
      <x:c r="BC252" s="14"/>
      <x:c r="BD252" s="14"/>
      <x:c r="BE252" s="14"/>
      <x:c r="BF252" s="14"/>
      <x:c r="BG252" s="14"/>
      <x:c r="BH252" s="14"/>
      <x:c r="BI252" s="14"/>
      <x:c r="BJ252" s="14"/>
      <x:c r="BK252" s="14"/>
      <x:c r="BL252" s="14"/>
      <x:c r="BM252" s="14"/>
      <x:c r="BN252" s="14"/>
      <x:c r="BO252" s="14"/>
      <x:c r="BP252" s="14"/>
      <x:c r="BQ252" s="14"/>
      <x:c r="BR252" s="14"/>
      <x:c r="BS252" s="14"/>
      <x:c r="BT252" s="14"/>
      <x:c r="BU252" s="14"/>
      <x:c r="BV252" s="14"/>
      <x:c r="BW252" s="14"/>
      <x:c r="BX252" s="14"/>
      <x:c r="BY252" s="14"/>
      <x:c r="BZ252" s="14"/>
      <x:c r="CA252" s="14"/>
      <x:c r="CB252" s="14"/>
      <x:c r="CC252" s="14"/>
      <x:c r="CD252" s="14"/>
      <x:c r="CE252" s="14"/>
    </x:row>
    <x:row r="253">
      <x:c r="A253" s="14" t="n">
        <x:v>252</x:v>
      </x:c>
      <x:c r="B253" s="14"/>
      <x:c r="C253" s="14" t="str">
        <x:v>CHECKING_EVENT</x:v>
      </x:c>
      <x:c r="D253" s="14" t="str">
        <x:v>Exploratory_Checking_611_Positional_Surrogate.xlsx</x:v>
      </x:c>
      <x:c r="E253" s="14"/>
      <x:c r="F253" s="14"/>
      <x:c r="G253" s="14"/>
      <x:c r="H253" s="14"/>
      <x:c r="I253" s="14"/>
      <x:c r="J253" s="14"/>
      <x:c r="K253" s="14" t="str">
        <x:v>NEEDS_WINDOW_BINDING</x:v>
      </x:c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/>
      <x:c r="BC253" s="14"/>
      <x:c r="BD253" s="14"/>
      <x:c r="BE253" s="14"/>
      <x:c r="BF253" s="14"/>
      <x:c r="BG253" s="14"/>
      <x:c r="BH253" s="14"/>
      <x:c r="BI253" s="14"/>
      <x:c r="BJ253" s="14"/>
      <x:c r="BK253" s="14"/>
      <x:c r="BL253" s="14"/>
      <x:c r="BM253" s="14"/>
      <x:c r="BN253" s="14"/>
      <x:c r="BO253" s="14"/>
      <x:c r="BP253" s="14"/>
      <x:c r="BQ253" s="14"/>
      <x:c r="BR253" s="14"/>
      <x:c r="BS253" s="14"/>
      <x:c r="BT253" s="14"/>
      <x:c r="BU253" s="14"/>
      <x:c r="BV253" s="14"/>
      <x:c r="BW253" s="14"/>
      <x:c r="BX253" s="14"/>
      <x:c r="BY253" s="14"/>
      <x:c r="BZ253" s="14"/>
      <x:c r="CA253" s="14"/>
      <x:c r="CB253" s="14"/>
      <x:c r="CC253" s="14"/>
      <x:c r="CD253" s="14"/>
      <x:c r="CE253" s="14"/>
    </x:row>
    <x:row r="254">
      <x:c r="A254" s="14" t="n">
        <x:v>253</x:v>
      </x:c>
      <x:c r="B254" s="14"/>
      <x:c r="C254" s="14" t="str">
        <x:v>CHECKING_EVENT</x:v>
      </x:c>
      <x:c r="D254" s="14" t="str">
        <x:v>Exploratory_Checking_611_Positional_Surrogate.xlsx</x:v>
      </x:c>
      <x:c r="E254" s="14"/>
      <x:c r="F254" s="14"/>
      <x:c r="G254" s="14"/>
      <x:c r="H254" s="14"/>
      <x:c r="I254" s="14"/>
      <x:c r="J254" s="14"/>
      <x:c r="K254" s="14" t="str">
        <x:v>NEEDS_WINDOW_BINDING</x:v>
      </x:c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/>
      <x:c r="AC254" s="14"/>
      <x:c r="AD254" s="14"/>
      <x:c r="AE254" s="14"/>
      <x:c r="AF254" s="14"/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/>
      <x:c r="BC254" s="14"/>
      <x:c r="BD254" s="14"/>
      <x:c r="BE254" s="14"/>
      <x:c r="BF254" s="14"/>
      <x:c r="BG254" s="14"/>
      <x:c r="BH254" s="14"/>
      <x:c r="BI254" s="14"/>
      <x:c r="BJ254" s="14"/>
      <x:c r="BK254" s="14"/>
      <x:c r="BL254" s="14"/>
      <x:c r="BM254" s="14"/>
      <x:c r="BN254" s="14"/>
      <x:c r="BO254" s="14"/>
      <x:c r="BP254" s="14"/>
      <x:c r="BQ254" s="14"/>
      <x:c r="BR254" s="14"/>
      <x:c r="BS254" s="14"/>
      <x:c r="BT254" s="14"/>
      <x:c r="BU254" s="14"/>
      <x:c r="BV254" s="14"/>
      <x:c r="BW254" s="14"/>
      <x:c r="BX254" s="14"/>
      <x:c r="BY254" s="14"/>
      <x:c r="BZ254" s="14"/>
      <x:c r="CA254" s="14"/>
      <x:c r="CB254" s="14"/>
      <x:c r="CC254" s="14"/>
      <x:c r="CD254" s="14"/>
      <x:c r="CE254" s="14"/>
    </x:row>
    <x:row r="255">
      <x:c r="A255" s="14" t="n">
        <x:v>254</x:v>
      </x:c>
      <x:c r="B255" s="14"/>
      <x:c r="C255" s="14" t="str">
        <x:v>CHECKING_EVENT</x:v>
      </x:c>
      <x:c r="D255" s="14" t="str">
        <x:v>Exploratory_Checking_611_Positional_Surrogate.xlsx</x:v>
      </x:c>
      <x:c r="E255" s="14"/>
      <x:c r="F255" s="14"/>
      <x:c r="G255" s="14"/>
      <x:c r="H255" s="14"/>
      <x:c r="I255" s="14"/>
      <x:c r="J255" s="14"/>
      <x:c r="K255" s="14" t="str">
        <x:v>NEEDS_WINDOW_BINDING</x:v>
      </x:c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/>
      <x:c r="AC255" s="14"/>
      <x:c r="AD255" s="14"/>
      <x:c r="AE255" s="14"/>
      <x:c r="AF255" s="14"/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/>
      <x:c r="BC255" s="14"/>
      <x:c r="BD255" s="14"/>
      <x:c r="BE255" s="14"/>
      <x:c r="BF255" s="14"/>
      <x:c r="BG255" s="14"/>
      <x:c r="BH255" s="14"/>
      <x:c r="BI255" s="14"/>
      <x:c r="BJ255" s="14"/>
      <x:c r="BK255" s="14"/>
      <x:c r="BL255" s="14"/>
      <x:c r="BM255" s="14"/>
      <x:c r="BN255" s="14"/>
      <x:c r="BO255" s="14"/>
      <x:c r="BP255" s="14"/>
      <x:c r="BQ255" s="14"/>
      <x:c r="BR255" s="14"/>
      <x:c r="BS255" s="14"/>
      <x:c r="BT255" s="14"/>
      <x:c r="BU255" s="14"/>
      <x:c r="BV255" s="14"/>
      <x:c r="BW255" s="14"/>
      <x:c r="BX255" s="14"/>
      <x:c r="BY255" s="14"/>
      <x:c r="BZ255" s="14"/>
      <x:c r="CA255" s="14"/>
      <x:c r="CB255" s="14"/>
      <x:c r="CC255" s="14"/>
      <x:c r="CD255" s="14"/>
      <x:c r="CE255" s="14"/>
    </x:row>
    <x:row r="256">
      <x:c r="A256" s="14" t="n">
        <x:v>255</x:v>
      </x:c>
      <x:c r="B256" s="14"/>
      <x:c r="C256" s="14" t="str">
        <x:v>CHECKING_EVENT</x:v>
      </x:c>
      <x:c r="D256" s="14" t="str">
        <x:v>Exploratory_Checking_611_Positional_Surrogate.xlsx</x:v>
      </x:c>
      <x:c r="E256" s="14"/>
      <x:c r="F256" s="14"/>
      <x:c r="G256" s="14"/>
      <x:c r="H256" s="14"/>
      <x:c r="I256" s="14"/>
      <x:c r="J256" s="14"/>
      <x:c r="K256" s="14" t="str">
        <x:v>NEEDS_WINDOW_BINDING</x:v>
      </x:c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/>
      <x:c r="BC256" s="14"/>
      <x:c r="BD256" s="14"/>
      <x:c r="BE256" s="14"/>
      <x:c r="BF256" s="14"/>
      <x:c r="BG256" s="14"/>
      <x:c r="BH256" s="14"/>
      <x:c r="BI256" s="14"/>
      <x:c r="BJ256" s="14"/>
      <x:c r="BK256" s="14"/>
      <x:c r="BL256" s="14"/>
      <x:c r="BM256" s="14"/>
      <x:c r="BN256" s="14"/>
      <x:c r="BO256" s="14"/>
      <x:c r="BP256" s="14"/>
      <x:c r="BQ256" s="14"/>
      <x:c r="BR256" s="14"/>
      <x:c r="BS256" s="14"/>
      <x:c r="BT256" s="14"/>
      <x:c r="BU256" s="14"/>
      <x:c r="BV256" s="14"/>
      <x:c r="BW256" s="14"/>
      <x:c r="BX256" s="14"/>
      <x:c r="BY256" s="14"/>
      <x:c r="BZ256" s="14"/>
      <x:c r="CA256" s="14"/>
      <x:c r="CB256" s="14"/>
      <x:c r="CC256" s="14"/>
      <x:c r="CD256" s="14"/>
      <x:c r="CE256" s="14"/>
    </x:row>
    <x:row r="257">
      <x:c r="A257" s="14" t="n">
        <x:v>256</x:v>
      </x:c>
      <x:c r="B257" s="14"/>
      <x:c r="C257" s="14" t="str">
        <x:v>CHECKING_EVENT</x:v>
      </x:c>
      <x:c r="D257" s="14" t="str">
        <x:v>Exploratory_Checking_611_Positional_Surrogate.xlsx</x:v>
      </x:c>
      <x:c r="E257" s="14"/>
      <x:c r="F257" s="14"/>
      <x:c r="G257" s="14"/>
      <x:c r="H257" s="14"/>
      <x:c r="I257" s="14"/>
      <x:c r="J257" s="14"/>
      <x:c r="K257" s="14" t="str">
        <x:v>NEEDS_WINDOW_BINDING</x:v>
      </x:c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/>
      <x:c r="AC257" s="14"/>
      <x:c r="AD257" s="14"/>
      <x:c r="AE257" s="14"/>
      <x:c r="AF257" s="14"/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/>
      <x:c r="BC257" s="14"/>
      <x:c r="BD257" s="14"/>
      <x:c r="BE257" s="14"/>
      <x:c r="BF257" s="14"/>
      <x:c r="BG257" s="14"/>
      <x:c r="BH257" s="14"/>
      <x:c r="BI257" s="14"/>
      <x:c r="BJ257" s="14"/>
      <x:c r="BK257" s="14"/>
      <x:c r="BL257" s="14"/>
      <x:c r="BM257" s="14"/>
      <x:c r="BN257" s="14"/>
      <x:c r="BO257" s="14"/>
      <x:c r="BP257" s="14"/>
      <x:c r="BQ257" s="14"/>
      <x:c r="BR257" s="14"/>
      <x:c r="BS257" s="14"/>
      <x:c r="BT257" s="14"/>
      <x:c r="BU257" s="14"/>
      <x:c r="BV257" s="14"/>
      <x:c r="BW257" s="14"/>
      <x:c r="BX257" s="14"/>
      <x:c r="BY257" s="14"/>
      <x:c r="BZ257" s="14"/>
      <x:c r="CA257" s="14"/>
      <x:c r="CB257" s="14"/>
      <x:c r="CC257" s="14"/>
      <x:c r="CD257" s="14"/>
      <x:c r="CE257" s="14"/>
    </x:row>
    <x:row r="258">
      <x:c r="A258" s="14" t="n">
        <x:v>257</x:v>
      </x:c>
      <x:c r="B258" s="14"/>
      <x:c r="C258" s="14" t="str">
        <x:v>CHECKING_EVENT</x:v>
      </x:c>
      <x:c r="D258" s="14" t="str">
        <x:v>Exploratory_Checking_611_Positional_Surrogate.xlsx</x:v>
      </x:c>
      <x:c r="E258" s="14"/>
      <x:c r="F258" s="14"/>
      <x:c r="G258" s="14"/>
      <x:c r="H258" s="14"/>
      <x:c r="I258" s="14"/>
      <x:c r="J258" s="14"/>
      <x:c r="K258" s="14" t="str">
        <x:v>NEEDS_WINDOW_BINDING</x:v>
      </x:c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/>
      <x:c r="AC258" s="14"/>
      <x:c r="AD258" s="14"/>
      <x:c r="AE258" s="14"/>
      <x:c r="AF258" s="14"/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/>
      <x:c r="BC258" s="14"/>
      <x:c r="BD258" s="14"/>
      <x:c r="BE258" s="14"/>
      <x:c r="BF258" s="14"/>
      <x:c r="BG258" s="14"/>
      <x:c r="BH258" s="14"/>
      <x:c r="BI258" s="14"/>
      <x:c r="BJ258" s="14"/>
      <x:c r="BK258" s="14"/>
      <x:c r="BL258" s="14"/>
      <x:c r="BM258" s="14"/>
      <x:c r="BN258" s="14"/>
      <x:c r="BO258" s="14"/>
      <x:c r="BP258" s="14"/>
      <x:c r="BQ258" s="14"/>
      <x:c r="BR258" s="14"/>
      <x:c r="BS258" s="14"/>
      <x:c r="BT258" s="14"/>
      <x:c r="BU258" s="14"/>
      <x:c r="BV258" s="14"/>
      <x:c r="BW258" s="14"/>
      <x:c r="BX258" s="14"/>
      <x:c r="BY258" s="14"/>
      <x:c r="BZ258" s="14"/>
      <x:c r="CA258" s="14"/>
      <x:c r="CB258" s="14"/>
      <x:c r="CC258" s="14"/>
      <x:c r="CD258" s="14"/>
      <x:c r="CE258" s="14"/>
    </x:row>
    <x:row r="259">
      <x:c r="A259" s="14" t="n">
        <x:v>258</x:v>
      </x:c>
      <x:c r="B259" s="14"/>
      <x:c r="C259" s="14" t="str">
        <x:v>CHECKING_EVENT</x:v>
      </x:c>
      <x:c r="D259" s="14" t="str">
        <x:v>Exploratory_Checking_611_Positional_Surrogate.xlsx</x:v>
      </x:c>
      <x:c r="E259" s="14"/>
      <x:c r="F259" s="14"/>
      <x:c r="G259" s="14"/>
      <x:c r="H259" s="14"/>
      <x:c r="I259" s="14"/>
      <x:c r="J259" s="14"/>
      <x:c r="K259" s="14" t="str">
        <x:v>NEEDS_WINDOW_BINDING</x:v>
      </x:c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/>
      <x:c r="BC259" s="14"/>
      <x:c r="BD259" s="14"/>
      <x:c r="BE259" s="14"/>
      <x:c r="BF259" s="14"/>
      <x:c r="BG259" s="14"/>
      <x:c r="BH259" s="14"/>
      <x:c r="BI259" s="14"/>
      <x:c r="BJ259" s="14"/>
      <x:c r="BK259" s="14"/>
      <x:c r="BL259" s="14"/>
      <x:c r="BM259" s="14"/>
      <x:c r="BN259" s="14"/>
      <x:c r="BO259" s="14"/>
      <x:c r="BP259" s="14"/>
      <x:c r="BQ259" s="14"/>
      <x:c r="BR259" s="14"/>
      <x:c r="BS259" s="14"/>
      <x:c r="BT259" s="14"/>
      <x:c r="BU259" s="14"/>
      <x:c r="BV259" s="14"/>
      <x:c r="BW259" s="14"/>
      <x:c r="BX259" s="14"/>
      <x:c r="BY259" s="14"/>
      <x:c r="BZ259" s="14"/>
      <x:c r="CA259" s="14"/>
      <x:c r="CB259" s="14"/>
      <x:c r="CC259" s="14"/>
      <x:c r="CD259" s="14"/>
      <x:c r="CE259" s="14"/>
    </x:row>
    <x:row r="260">
      <x:c r="A260" s="14" t="n">
        <x:v>259</x:v>
      </x:c>
      <x:c r="B260" s="14"/>
      <x:c r="C260" s="14" t="str">
        <x:v>CHECKING_EVENT</x:v>
      </x:c>
      <x:c r="D260" s="14" t="str">
        <x:v>Exploratory_Checking_611_Positional_Surrogate.xlsx</x:v>
      </x:c>
      <x:c r="E260" s="14"/>
      <x:c r="F260" s="14"/>
      <x:c r="G260" s="14"/>
      <x:c r="H260" s="14"/>
      <x:c r="I260" s="14"/>
      <x:c r="J260" s="14"/>
      <x:c r="K260" s="14" t="str">
        <x:v>NEEDS_WINDOW_BINDING</x:v>
      </x:c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/>
      <x:c r="BC260" s="14"/>
      <x:c r="BD260" s="14"/>
      <x:c r="BE260" s="14"/>
      <x:c r="BF260" s="14"/>
      <x:c r="BG260" s="14"/>
      <x:c r="BH260" s="14"/>
      <x:c r="BI260" s="14"/>
      <x:c r="BJ260" s="14"/>
      <x:c r="BK260" s="14"/>
      <x:c r="BL260" s="14"/>
      <x:c r="BM260" s="14"/>
      <x:c r="BN260" s="14"/>
      <x:c r="BO260" s="14"/>
      <x:c r="BP260" s="14"/>
      <x:c r="BQ260" s="14"/>
      <x:c r="BR260" s="14"/>
      <x:c r="BS260" s="14"/>
      <x:c r="BT260" s="14"/>
      <x:c r="BU260" s="14"/>
      <x:c r="BV260" s="14"/>
      <x:c r="BW260" s="14"/>
      <x:c r="BX260" s="14"/>
      <x:c r="BY260" s="14"/>
      <x:c r="BZ260" s="14"/>
      <x:c r="CA260" s="14"/>
      <x:c r="CB260" s="14"/>
      <x:c r="CC260" s="14"/>
      <x:c r="CD260" s="14"/>
      <x:c r="CE260" s="14"/>
    </x:row>
    <x:row r="261">
      <x:c r="A261" s="14" t="n">
        <x:v>260</x:v>
      </x:c>
      <x:c r="B261" s="14"/>
      <x:c r="C261" s="14" t="str">
        <x:v>CHECKING_EVENT</x:v>
      </x:c>
      <x:c r="D261" s="14" t="str">
        <x:v>Exploratory_Checking_611_Positional_Surrogate.xlsx</x:v>
      </x:c>
      <x:c r="E261" s="14"/>
      <x:c r="F261" s="14"/>
      <x:c r="G261" s="14"/>
      <x:c r="H261" s="14"/>
      <x:c r="I261" s="14"/>
      <x:c r="J261" s="14"/>
      <x:c r="K261" s="14" t="str">
        <x:v>NEEDS_WINDOW_BINDING</x:v>
      </x:c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/>
      <x:c r="AC261" s="14"/>
      <x:c r="AD261" s="14"/>
      <x:c r="AE261" s="14"/>
      <x:c r="AF261" s="14"/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/>
      <x:c r="BC261" s="14"/>
      <x:c r="BD261" s="14"/>
      <x:c r="BE261" s="14"/>
      <x:c r="BF261" s="14"/>
      <x:c r="BG261" s="14"/>
      <x:c r="BH261" s="14"/>
      <x:c r="BI261" s="14"/>
      <x:c r="BJ261" s="14"/>
      <x:c r="BK261" s="14"/>
      <x:c r="BL261" s="14"/>
      <x:c r="BM261" s="14"/>
      <x:c r="BN261" s="14"/>
      <x:c r="BO261" s="14"/>
      <x:c r="BP261" s="14"/>
      <x:c r="BQ261" s="14"/>
      <x:c r="BR261" s="14"/>
      <x:c r="BS261" s="14"/>
      <x:c r="BT261" s="14"/>
      <x:c r="BU261" s="14"/>
      <x:c r="BV261" s="14"/>
      <x:c r="BW261" s="14"/>
      <x:c r="BX261" s="14"/>
      <x:c r="BY261" s="14"/>
      <x:c r="BZ261" s="14"/>
      <x:c r="CA261" s="14"/>
      <x:c r="CB261" s="14"/>
      <x:c r="CC261" s="14"/>
      <x:c r="CD261" s="14"/>
      <x:c r="CE261" s="14"/>
    </x:row>
    <x:row r="262">
      <x:c r="A262" s="14" t="n">
        <x:v>261</x:v>
      </x:c>
      <x:c r="B262" s="14"/>
      <x:c r="C262" s="14" t="str">
        <x:v>CHECKING_EVENT</x:v>
      </x:c>
      <x:c r="D262" s="14" t="str">
        <x:v>Exploratory_Checking_611_Positional_Surrogate.xlsx</x:v>
      </x:c>
      <x:c r="E262" s="14"/>
      <x:c r="F262" s="14"/>
      <x:c r="G262" s="14"/>
      <x:c r="H262" s="14"/>
      <x:c r="I262" s="14"/>
      <x:c r="J262" s="14"/>
      <x:c r="K262" s="14" t="str">
        <x:v>NEEDS_WINDOW_BINDING</x:v>
      </x:c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/>
      <x:c r="AC262" s="14"/>
      <x:c r="AD262" s="14"/>
      <x:c r="AE262" s="14"/>
      <x:c r="AF262" s="14"/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/>
      <x:c r="BC262" s="14"/>
      <x:c r="BD262" s="14"/>
      <x:c r="BE262" s="14"/>
      <x:c r="BF262" s="14"/>
      <x:c r="BG262" s="14"/>
      <x:c r="BH262" s="14"/>
      <x:c r="BI262" s="14"/>
      <x:c r="BJ262" s="14"/>
      <x:c r="BK262" s="14"/>
      <x:c r="BL262" s="14"/>
      <x:c r="BM262" s="14"/>
      <x:c r="BN262" s="14"/>
      <x:c r="BO262" s="14"/>
      <x:c r="BP262" s="14"/>
      <x:c r="BQ262" s="14"/>
      <x:c r="BR262" s="14"/>
      <x:c r="BS262" s="14"/>
      <x:c r="BT262" s="14"/>
      <x:c r="BU262" s="14"/>
      <x:c r="BV262" s="14"/>
      <x:c r="BW262" s="14"/>
      <x:c r="BX262" s="14"/>
      <x:c r="BY262" s="14"/>
      <x:c r="BZ262" s="14"/>
      <x:c r="CA262" s="14"/>
      <x:c r="CB262" s="14"/>
      <x:c r="CC262" s="14"/>
      <x:c r="CD262" s="14"/>
      <x:c r="CE262" s="14"/>
    </x:row>
    <x:row r="263">
      <x:c r="A263" s="14" t="n">
        <x:v>262</x:v>
      </x:c>
      <x:c r="B263" s="14"/>
      <x:c r="C263" s="14" t="str">
        <x:v>CHECKING_EVENT</x:v>
      </x:c>
      <x:c r="D263" s="14" t="str">
        <x:v>Exploratory_Checking_611_Positional_Surrogate.xlsx</x:v>
      </x:c>
      <x:c r="E263" s="14"/>
      <x:c r="F263" s="14"/>
      <x:c r="G263" s="14"/>
      <x:c r="H263" s="14"/>
      <x:c r="I263" s="14"/>
      <x:c r="J263" s="14"/>
      <x:c r="K263" s="14" t="str">
        <x:v>NEEDS_WINDOW_BINDING</x:v>
      </x:c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/>
      <x:c r="AC263" s="14"/>
      <x:c r="AD263" s="14"/>
      <x:c r="AE263" s="14"/>
      <x:c r="AF263" s="14"/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/>
      <x:c r="BC263" s="14"/>
      <x:c r="BD263" s="14"/>
      <x:c r="BE263" s="14"/>
      <x:c r="BF263" s="14"/>
      <x:c r="BG263" s="14"/>
      <x:c r="BH263" s="14"/>
      <x:c r="BI263" s="14"/>
      <x:c r="BJ263" s="14"/>
      <x:c r="BK263" s="14"/>
      <x:c r="BL263" s="14"/>
      <x:c r="BM263" s="14"/>
      <x:c r="BN263" s="14"/>
      <x:c r="BO263" s="14"/>
      <x:c r="BP263" s="14"/>
      <x:c r="BQ263" s="14"/>
      <x:c r="BR263" s="14"/>
      <x:c r="BS263" s="14"/>
      <x:c r="BT263" s="14"/>
      <x:c r="BU263" s="14"/>
      <x:c r="BV263" s="14"/>
      <x:c r="BW263" s="14"/>
      <x:c r="BX263" s="14"/>
      <x:c r="BY263" s="14"/>
      <x:c r="BZ263" s="14"/>
      <x:c r="CA263" s="14"/>
      <x:c r="CB263" s="14"/>
      <x:c r="CC263" s="14"/>
      <x:c r="CD263" s="14"/>
      <x:c r="CE263" s="14"/>
    </x:row>
    <x:row r="264">
      <x:c r="A264" s="14" t="n">
        <x:v>263</x:v>
      </x:c>
      <x:c r="B264" s="14"/>
      <x:c r="C264" s="14" t="str">
        <x:v>CHECKING_EVENT</x:v>
      </x:c>
      <x:c r="D264" s="14" t="str">
        <x:v>Exploratory_Checking_611_Positional_Surrogate.xlsx</x:v>
      </x:c>
      <x:c r="E264" s="14"/>
      <x:c r="F264" s="14"/>
      <x:c r="G264" s="14"/>
      <x:c r="H264" s="14"/>
      <x:c r="I264" s="14"/>
      <x:c r="J264" s="14"/>
      <x:c r="K264" s="14" t="str">
        <x:v>NEEDS_WINDOW_BINDING</x:v>
      </x:c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/>
      <x:c r="AC264" s="14"/>
      <x:c r="AD264" s="14"/>
      <x:c r="AE264" s="14"/>
      <x:c r="AF264" s="14"/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/>
      <x:c r="BC264" s="14"/>
      <x:c r="BD264" s="14"/>
      <x:c r="BE264" s="14"/>
      <x:c r="BF264" s="14"/>
      <x:c r="BG264" s="14"/>
      <x:c r="BH264" s="14"/>
      <x:c r="BI264" s="14"/>
      <x:c r="BJ264" s="14"/>
      <x:c r="BK264" s="14"/>
      <x:c r="BL264" s="14"/>
      <x:c r="BM264" s="14"/>
      <x:c r="BN264" s="14"/>
      <x:c r="BO264" s="14"/>
      <x:c r="BP264" s="14"/>
      <x:c r="BQ264" s="14"/>
      <x:c r="BR264" s="14"/>
      <x:c r="BS264" s="14"/>
      <x:c r="BT264" s="14"/>
      <x:c r="BU264" s="14"/>
      <x:c r="BV264" s="14"/>
      <x:c r="BW264" s="14"/>
      <x:c r="BX264" s="14"/>
      <x:c r="BY264" s="14"/>
      <x:c r="BZ264" s="14"/>
      <x:c r="CA264" s="14"/>
      <x:c r="CB264" s="14"/>
      <x:c r="CC264" s="14"/>
      <x:c r="CD264" s="14"/>
      <x:c r="CE264" s="14"/>
    </x:row>
    <x:row r="265">
      <x:c r="A265" s="14" t="n">
        <x:v>264</x:v>
      </x:c>
      <x:c r="B265" s="14"/>
      <x:c r="C265" s="14" t="str">
        <x:v>CHECKING_EVENT</x:v>
      </x:c>
      <x:c r="D265" s="14" t="str">
        <x:v>Exploratory_Checking_611_Positional_Surrogate.xlsx</x:v>
      </x:c>
      <x:c r="E265" s="14"/>
      <x:c r="F265" s="14"/>
      <x:c r="G265" s="14"/>
      <x:c r="H265" s="14"/>
      <x:c r="I265" s="14"/>
      <x:c r="J265" s="14"/>
      <x:c r="K265" s="14" t="str">
        <x:v>NEEDS_WINDOW_BINDING</x:v>
      </x:c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/>
      <x:c r="BC265" s="14"/>
      <x:c r="BD265" s="14"/>
      <x:c r="BE265" s="14"/>
      <x:c r="BF265" s="14"/>
      <x:c r="BG265" s="14"/>
      <x:c r="BH265" s="14"/>
      <x:c r="BI265" s="14"/>
      <x:c r="BJ265" s="14"/>
      <x:c r="BK265" s="14"/>
      <x:c r="BL265" s="14"/>
      <x:c r="BM265" s="14"/>
      <x:c r="BN265" s="14"/>
      <x:c r="BO265" s="14"/>
      <x:c r="BP265" s="14"/>
      <x:c r="BQ265" s="14"/>
      <x:c r="BR265" s="14"/>
      <x:c r="BS265" s="14"/>
      <x:c r="BT265" s="14"/>
      <x:c r="BU265" s="14"/>
      <x:c r="BV265" s="14"/>
      <x:c r="BW265" s="14"/>
      <x:c r="BX265" s="14"/>
      <x:c r="BY265" s="14"/>
      <x:c r="BZ265" s="14"/>
      <x:c r="CA265" s="14"/>
      <x:c r="CB265" s="14"/>
      <x:c r="CC265" s="14"/>
      <x:c r="CD265" s="14"/>
      <x:c r="CE265" s="14"/>
    </x:row>
    <x:row r="266">
      <x:c r="A266" s="14" t="n">
        <x:v>265</x:v>
      </x:c>
      <x:c r="B266" s="14"/>
      <x:c r="C266" s="14" t="str">
        <x:v>CHECKING_EVENT</x:v>
      </x:c>
      <x:c r="D266" s="14" t="str">
        <x:v>Exploratory_Checking_611_Positional_Surrogate.xlsx</x:v>
      </x:c>
      <x:c r="E266" s="14"/>
      <x:c r="F266" s="14"/>
      <x:c r="G266" s="14"/>
      <x:c r="H266" s="14"/>
      <x:c r="I266" s="14"/>
      <x:c r="J266" s="14"/>
      <x:c r="K266" s="14" t="str">
        <x:v>NEEDS_WINDOW_BINDING</x:v>
      </x:c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/>
      <x:c r="AC266" s="14"/>
      <x:c r="AD266" s="14"/>
      <x:c r="AE266" s="14"/>
      <x:c r="AF266" s="14"/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/>
      <x:c r="BC266" s="14"/>
      <x:c r="BD266" s="14"/>
      <x:c r="BE266" s="14"/>
      <x:c r="BF266" s="14"/>
      <x:c r="BG266" s="14"/>
      <x:c r="BH266" s="14"/>
      <x:c r="BI266" s="14"/>
      <x:c r="BJ266" s="14"/>
      <x:c r="BK266" s="14"/>
      <x:c r="BL266" s="14"/>
      <x:c r="BM266" s="14"/>
      <x:c r="BN266" s="14"/>
      <x:c r="BO266" s="14"/>
      <x:c r="BP266" s="14"/>
      <x:c r="BQ266" s="14"/>
      <x:c r="BR266" s="14"/>
      <x:c r="BS266" s="14"/>
      <x:c r="BT266" s="14"/>
      <x:c r="BU266" s="14"/>
      <x:c r="BV266" s="14"/>
      <x:c r="BW266" s="14"/>
      <x:c r="BX266" s="14"/>
      <x:c r="BY266" s="14"/>
      <x:c r="BZ266" s="14"/>
      <x:c r="CA266" s="14"/>
      <x:c r="CB266" s="14"/>
      <x:c r="CC266" s="14"/>
      <x:c r="CD266" s="14"/>
      <x:c r="CE266" s="14"/>
    </x:row>
    <x:row r="267">
      <x:c r="A267" s="14" t="n">
        <x:v>266</x:v>
      </x:c>
      <x:c r="B267" s="14"/>
      <x:c r="C267" s="14" t="str">
        <x:v>CHECKING_EVENT</x:v>
      </x:c>
      <x:c r="D267" s="14" t="str">
        <x:v>Exploratory_Checking_611_Positional_Surrogate.xlsx</x:v>
      </x:c>
      <x:c r="E267" s="14"/>
      <x:c r="F267" s="14"/>
      <x:c r="G267" s="14"/>
      <x:c r="H267" s="14"/>
      <x:c r="I267" s="14"/>
      <x:c r="J267" s="14"/>
      <x:c r="K267" s="14" t="str">
        <x:v>NEEDS_WINDOW_BINDING</x:v>
      </x:c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/>
      <x:c r="BC267" s="14"/>
      <x:c r="BD267" s="14"/>
      <x:c r="BE267" s="14"/>
      <x:c r="BF267" s="14"/>
      <x:c r="BG267" s="14"/>
      <x:c r="BH267" s="14"/>
      <x:c r="BI267" s="14"/>
      <x:c r="BJ267" s="14"/>
      <x:c r="BK267" s="14"/>
      <x:c r="BL267" s="14"/>
      <x:c r="BM267" s="14"/>
      <x:c r="BN267" s="14"/>
      <x:c r="BO267" s="14"/>
      <x:c r="BP267" s="14"/>
      <x:c r="BQ267" s="14"/>
      <x:c r="BR267" s="14"/>
      <x:c r="BS267" s="14"/>
      <x:c r="BT267" s="14"/>
      <x:c r="BU267" s="14"/>
      <x:c r="BV267" s="14"/>
      <x:c r="BW267" s="14"/>
      <x:c r="BX267" s="14"/>
      <x:c r="BY267" s="14"/>
      <x:c r="BZ267" s="14"/>
      <x:c r="CA267" s="14"/>
      <x:c r="CB267" s="14"/>
      <x:c r="CC267" s="14"/>
      <x:c r="CD267" s="14"/>
      <x:c r="CE267" s="14"/>
    </x:row>
    <x:row r="268">
      <x:c r="A268" s="14" t="n">
        <x:v>267</x:v>
      </x:c>
      <x:c r="B268" s="14"/>
      <x:c r="C268" s="14" t="str">
        <x:v>CHECKING_EVENT</x:v>
      </x:c>
      <x:c r="D268" s="14" t="str">
        <x:v>Exploratory_Checking_611_Positional_Surrogate.xlsx</x:v>
      </x:c>
      <x:c r="E268" s="14"/>
      <x:c r="F268" s="14"/>
      <x:c r="G268" s="14"/>
      <x:c r="H268" s="14"/>
      <x:c r="I268" s="14"/>
      <x:c r="J268" s="14"/>
      <x:c r="K268" s="14" t="str">
        <x:v>NEEDS_WINDOW_BINDING</x:v>
      </x:c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/>
      <x:c r="AC268" s="14"/>
      <x:c r="AD268" s="14"/>
      <x:c r="AE268" s="14"/>
      <x:c r="AF268" s="14"/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/>
      <x:c r="BC268" s="14"/>
      <x:c r="BD268" s="14"/>
      <x:c r="BE268" s="14"/>
      <x:c r="BF268" s="14"/>
      <x:c r="BG268" s="14"/>
      <x:c r="BH268" s="14"/>
      <x:c r="BI268" s="14"/>
      <x:c r="BJ268" s="14"/>
      <x:c r="BK268" s="14"/>
      <x:c r="BL268" s="14"/>
      <x:c r="BM268" s="14"/>
      <x:c r="BN268" s="14"/>
      <x:c r="BO268" s="14"/>
      <x:c r="BP268" s="14"/>
      <x:c r="BQ268" s="14"/>
      <x:c r="BR268" s="14"/>
      <x:c r="BS268" s="14"/>
      <x:c r="BT268" s="14"/>
      <x:c r="BU268" s="14"/>
      <x:c r="BV268" s="14"/>
      <x:c r="BW268" s="14"/>
      <x:c r="BX268" s="14"/>
      <x:c r="BY268" s="14"/>
      <x:c r="BZ268" s="14"/>
      <x:c r="CA268" s="14"/>
      <x:c r="CB268" s="14"/>
      <x:c r="CC268" s="14"/>
      <x:c r="CD268" s="14"/>
      <x:c r="CE268" s="14"/>
    </x:row>
    <x:row r="269">
      <x:c r="A269" s="14" t="n">
        <x:v>268</x:v>
      </x:c>
      <x:c r="B269" s="14"/>
      <x:c r="C269" s="14" t="str">
        <x:v>CHECKING_EVENT</x:v>
      </x:c>
      <x:c r="D269" s="14" t="str">
        <x:v>Exploratory_Checking_611_Positional_Surrogate.xlsx</x:v>
      </x:c>
      <x:c r="E269" s="14"/>
      <x:c r="F269" s="14"/>
      <x:c r="G269" s="14"/>
      <x:c r="H269" s="14"/>
      <x:c r="I269" s="14"/>
      <x:c r="J269" s="14"/>
      <x:c r="K269" s="14" t="str">
        <x:v>NEEDS_WINDOW_BINDING</x:v>
      </x:c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/>
      <x:c r="AC269" s="14"/>
      <x:c r="AD269" s="14"/>
      <x:c r="AE269" s="14"/>
      <x:c r="AF269" s="14"/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/>
      <x:c r="BC269" s="14"/>
      <x:c r="BD269" s="14"/>
      <x:c r="BE269" s="14"/>
      <x:c r="BF269" s="14"/>
      <x:c r="BG269" s="14"/>
      <x:c r="BH269" s="14"/>
      <x:c r="BI269" s="14"/>
      <x:c r="BJ269" s="14"/>
      <x:c r="BK269" s="14"/>
      <x:c r="BL269" s="14"/>
      <x:c r="BM269" s="14"/>
      <x:c r="BN269" s="14"/>
      <x:c r="BO269" s="14"/>
      <x:c r="BP269" s="14"/>
      <x:c r="BQ269" s="14"/>
      <x:c r="BR269" s="14"/>
      <x:c r="BS269" s="14"/>
      <x:c r="BT269" s="14"/>
      <x:c r="BU269" s="14"/>
      <x:c r="BV269" s="14"/>
      <x:c r="BW269" s="14"/>
      <x:c r="BX269" s="14"/>
      <x:c r="BY269" s="14"/>
      <x:c r="BZ269" s="14"/>
      <x:c r="CA269" s="14"/>
      <x:c r="CB269" s="14"/>
      <x:c r="CC269" s="14"/>
      <x:c r="CD269" s="14"/>
      <x:c r="CE269" s="14"/>
    </x:row>
    <x:row r="270">
      <x:c r="A270" s="14" t="n">
        <x:v>269</x:v>
      </x:c>
      <x:c r="B270" s="14"/>
      <x:c r="C270" s="14" t="str">
        <x:v>CHECKING_EVENT</x:v>
      </x:c>
      <x:c r="D270" s="14" t="str">
        <x:v>Exploratory_Checking_611_Positional_Surrogate.xlsx</x:v>
      </x:c>
      <x:c r="E270" s="14"/>
      <x:c r="F270" s="14"/>
      <x:c r="G270" s="14"/>
      <x:c r="H270" s="14"/>
      <x:c r="I270" s="14"/>
      <x:c r="J270" s="14"/>
      <x:c r="K270" s="14" t="str">
        <x:v>NEEDS_WINDOW_BINDING</x:v>
      </x:c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/>
      <x:c r="BC270" s="14"/>
      <x:c r="BD270" s="14"/>
      <x:c r="BE270" s="14"/>
      <x:c r="BF270" s="14"/>
      <x:c r="BG270" s="14"/>
      <x:c r="BH270" s="14"/>
      <x:c r="BI270" s="14"/>
      <x:c r="BJ270" s="14"/>
      <x:c r="BK270" s="14"/>
      <x:c r="BL270" s="14"/>
      <x:c r="BM270" s="14"/>
      <x:c r="BN270" s="14"/>
      <x:c r="BO270" s="14"/>
      <x:c r="BP270" s="14"/>
      <x:c r="BQ270" s="14"/>
      <x:c r="BR270" s="14"/>
      <x:c r="BS270" s="14"/>
      <x:c r="BT270" s="14"/>
      <x:c r="BU270" s="14"/>
      <x:c r="BV270" s="14"/>
      <x:c r="BW270" s="14"/>
      <x:c r="BX270" s="14"/>
      <x:c r="BY270" s="14"/>
      <x:c r="BZ270" s="14"/>
      <x:c r="CA270" s="14"/>
      <x:c r="CB270" s="14"/>
      <x:c r="CC270" s="14"/>
      <x:c r="CD270" s="14"/>
      <x:c r="CE270" s="14"/>
    </x:row>
    <x:row r="271">
      <x:c r="A271" s="14" t="n">
        <x:v>270</x:v>
      </x:c>
      <x:c r="B271" s="14"/>
      <x:c r="C271" s="14" t="str">
        <x:v>CHECKING_EVENT</x:v>
      </x:c>
      <x:c r="D271" s="14" t="str">
        <x:v>Exploratory_Checking_611_Positional_Surrogate.xlsx</x:v>
      </x:c>
      <x:c r="E271" s="14"/>
      <x:c r="F271" s="14"/>
      <x:c r="G271" s="14"/>
      <x:c r="H271" s="14"/>
      <x:c r="I271" s="14"/>
      <x:c r="J271" s="14"/>
      <x:c r="K271" s="14" t="str">
        <x:v>NEEDS_WINDOW_BINDING</x:v>
      </x:c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/>
      <x:c r="AC271" s="14"/>
      <x:c r="AD271" s="14"/>
      <x:c r="AE271" s="14"/>
      <x:c r="AF271" s="14"/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/>
      <x:c r="BC271" s="14"/>
      <x:c r="BD271" s="14"/>
      <x:c r="BE271" s="14"/>
      <x:c r="BF271" s="14"/>
      <x:c r="BG271" s="14"/>
      <x:c r="BH271" s="14"/>
      <x:c r="BI271" s="14"/>
      <x:c r="BJ271" s="14"/>
      <x:c r="BK271" s="14"/>
      <x:c r="BL271" s="14"/>
      <x:c r="BM271" s="14"/>
      <x:c r="BN271" s="14"/>
      <x:c r="BO271" s="14"/>
      <x:c r="BP271" s="14"/>
      <x:c r="BQ271" s="14"/>
      <x:c r="BR271" s="14"/>
      <x:c r="BS271" s="14"/>
      <x:c r="BT271" s="14"/>
      <x:c r="BU271" s="14"/>
      <x:c r="BV271" s="14"/>
      <x:c r="BW271" s="14"/>
      <x:c r="BX271" s="14"/>
      <x:c r="BY271" s="14"/>
      <x:c r="BZ271" s="14"/>
      <x:c r="CA271" s="14"/>
      <x:c r="CB271" s="14"/>
      <x:c r="CC271" s="14"/>
      <x:c r="CD271" s="14"/>
      <x:c r="CE271" s="14"/>
    </x:row>
    <x:row r="272">
      <x:c r="A272" s="14" t="n">
        <x:v>271</x:v>
      </x:c>
      <x:c r="B272" s="14"/>
      <x:c r="C272" s="14" t="str">
        <x:v>CHECKING_EVENT</x:v>
      </x:c>
      <x:c r="D272" s="14" t="str">
        <x:v>Exploratory_Checking_611_Positional_Surrogate.xlsx</x:v>
      </x:c>
      <x:c r="E272" s="14"/>
      <x:c r="F272" s="14"/>
      <x:c r="G272" s="14"/>
      <x:c r="H272" s="14"/>
      <x:c r="I272" s="14"/>
      <x:c r="J272" s="14"/>
      <x:c r="K272" s="14" t="str">
        <x:v>NEEDS_WINDOW_BINDING</x:v>
      </x:c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/>
      <x:c r="AC272" s="14"/>
      <x:c r="AD272" s="14"/>
      <x:c r="AE272" s="14"/>
      <x:c r="AF272" s="14"/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/>
      <x:c r="BC272" s="14"/>
      <x:c r="BD272" s="14"/>
      <x:c r="BE272" s="14"/>
      <x:c r="BF272" s="14"/>
      <x:c r="BG272" s="14"/>
      <x:c r="BH272" s="14"/>
      <x:c r="BI272" s="14"/>
      <x:c r="BJ272" s="14"/>
      <x:c r="BK272" s="14"/>
      <x:c r="BL272" s="14"/>
      <x:c r="BM272" s="14"/>
      <x:c r="BN272" s="14"/>
      <x:c r="BO272" s="14"/>
      <x:c r="BP272" s="14"/>
      <x:c r="BQ272" s="14"/>
      <x:c r="BR272" s="14"/>
      <x:c r="BS272" s="14"/>
      <x:c r="BT272" s="14"/>
      <x:c r="BU272" s="14"/>
      <x:c r="BV272" s="14"/>
      <x:c r="BW272" s="14"/>
      <x:c r="BX272" s="14"/>
      <x:c r="BY272" s="14"/>
      <x:c r="BZ272" s="14"/>
      <x:c r="CA272" s="14"/>
      <x:c r="CB272" s="14"/>
      <x:c r="CC272" s="14"/>
      <x:c r="CD272" s="14"/>
      <x:c r="CE272" s="14"/>
    </x:row>
    <x:row r="273">
      <x:c r="A273" s="14" t="n">
        <x:v>272</x:v>
      </x:c>
      <x:c r="B273" s="14"/>
      <x:c r="C273" s="14" t="str">
        <x:v>CHECKING_EVENT</x:v>
      </x:c>
      <x:c r="D273" s="14" t="str">
        <x:v>Exploratory_Checking_611_Positional_Surrogate.xlsx</x:v>
      </x:c>
      <x:c r="E273" s="14"/>
      <x:c r="F273" s="14"/>
      <x:c r="G273" s="14"/>
      <x:c r="H273" s="14"/>
      <x:c r="I273" s="14"/>
      <x:c r="J273" s="14"/>
      <x:c r="K273" s="14" t="str">
        <x:v>NEEDS_WINDOW_BINDING</x:v>
      </x:c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/>
      <x:c r="AC273" s="14"/>
      <x:c r="AD273" s="14"/>
      <x:c r="AE273" s="14"/>
      <x:c r="AF273" s="14"/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/>
      <x:c r="BC273" s="14"/>
      <x:c r="BD273" s="14"/>
      <x:c r="BE273" s="14"/>
      <x:c r="BF273" s="14"/>
      <x:c r="BG273" s="14"/>
      <x:c r="BH273" s="14"/>
      <x:c r="BI273" s="14"/>
      <x:c r="BJ273" s="14"/>
      <x:c r="BK273" s="14"/>
      <x:c r="BL273" s="14"/>
      <x:c r="BM273" s="14"/>
      <x:c r="BN273" s="14"/>
      <x:c r="BO273" s="14"/>
      <x:c r="BP273" s="14"/>
      <x:c r="BQ273" s="14"/>
      <x:c r="BR273" s="14"/>
      <x:c r="BS273" s="14"/>
      <x:c r="BT273" s="14"/>
      <x:c r="BU273" s="14"/>
      <x:c r="BV273" s="14"/>
      <x:c r="BW273" s="14"/>
      <x:c r="BX273" s="14"/>
      <x:c r="BY273" s="14"/>
      <x:c r="BZ273" s="14"/>
      <x:c r="CA273" s="14"/>
      <x:c r="CB273" s="14"/>
      <x:c r="CC273" s="14"/>
      <x:c r="CD273" s="14"/>
      <x:c r="CE273" s="14"/>
    </x:row>
    <x:row r="274">
      <x:c r="A274" s="14" t="n">
        <x:v>273</x:v>
      </x:c>
      <x:c r="B274" s="14"/>
      <x:c r="C274" s="14" t="str">
        <x:v>CHECKING_EVENT</x:v>
      </x:c>
      <x:c r="D274" s="14" t="str">
        <x:v>Exploratory_Checking_611_Positional_Surrogate.xlsx</x:v>
      </x:c>
      <x:c r="E274" s="14"/>
      <x:c r="F274" s="14"/>
      <x:c r="G274" s="14"/>
      <x:c r="H274" s="14"/>
      <x:c r="I274" s="14"/>
      <x:c r="J274" s="14"/>
      <x:c r="K274" s="14" t="str">
        <x:v>NEEDS_WINDOW_BINDING</x:v>
      </x:c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/>
      <x:c r="AC274" s="14"/>
      <x:c r="AD274" s="14"/>
      <x:c r="AE274" s="14"/>
      <x:c r="AF274" s="14"/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/>
      <x:c r="BC274" s="14"/>
      <x:c r="BD274" s="14"/>
      <x:c r="BE274" s="14"/>
      <x:c r="BF274" s="14"/>
      <x:c r="BG274" s="14"/>
      <x:c r="BH274" s="14"/>
      <x:c r="BI274" s="14"/>
      <x:c r="BJ274" s="14"/>
      <x:c r="BK274" s="14"/>
      <x:c r="BL274" s="14"/>
      <x:c r="BM274" s="14"/>
      <x:c r="BN274" s="14"/>
      <x:c r="BO274" s="14"/>
      <x:c r="BP274" s="14"/>
      <x:c r="BQ274" s="14"/>
      <x:c r="BR274" s="14"/>
      <x:c r="BS274" s="14"/>
      <x:c r="BT274" s="14"/>
      <x:c r="BU274" s="14"/>
      <x:c r="BV274" s="14"/>
      <x:c r="BW274" s="14"/>
      <x:c r="BX274" s="14"/>
      <x:c r="BY274" s="14"/>
      <x:c r="BZ274" s="14"/>
      <x:c r="CA274" s="14"/>
      <x:c r="CB274" s="14"/>
      <x:c r="CC274" s="14"/>
      <x:c r="CD274" s="14"/>
      <x:c r="CE274" s="14"/>
    </x:row>
    <x:row r="275">
      <x:c r="A275" s="14" t="n">
        <x:v>274</x:v>
      </x:c>
      <x:c r="B275" s="14"/>
      <x:c r="C275" s="14" t="str">
        <x:v>CHECKING_EVENT</x:v>
      </x:c>
      <x:c r="D275" s="14" t="str">
        <x:v>Exploratory_Checking_611_Positional_Surrogate.xlsx</x:v>
      </x:c>
      <x:c r="E275" s="14"/>
      <x:c r="F275" s="14"/>
      <x:c r="G275" s="14"/>
      <x:c r="H275" s="14"/>
      <x:c r="I275" s="14"/>
      <x:c r="J275" s="14"/>
      <x:c r="K275" s="14" t="str">
        <x:v>NEEDS_WINDOW_BINDING</x:v>
      </x:c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/>
      <x:c r="AC275" s="14"/>
      <x:c r="AD275" s="14"/>
      <x:c r="AE275" s="14"/>
      <x:c r="AF275" s="14"/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/>
      <x:c r="BC275" s="14"/>
      <x:c r="BD275" s="14"/>
      <x:c r="BE275" s="14"/>
      <x:c r="BF275" s="14"/>
      <x:c r="BG275" s="14"/>
      <x:c r="BH275" s="14"/>
      <x:c r="BI275" s="14"/>
      <x:c r="BJ275" s="14"/>
      <x:c r="BK275" s="14"/>
      <x:c r="BL275" s="14"/>
      <x:c r="BM275" s="14"/>
      <x:c r="BN275" s="14"/>
      <x:c r="BO275" s="14"/>
      <x:c r="BP275" s="14"/>
      <x:c r="BQ275" s="14"/>
      <x:c r="BR275" s="14"/>
      <x:c r="BS275" s="14"/>
      <x:c r="BT275" s="14"/>
      <x:c r="BU275" s="14"/>
      <x:c r="BV275" s="14"/>
      <x:c r="BW275" s="14"/>
      <x:c r="BX275" s="14"/>
      <x:c r="BY275" s="14"/>
      <x:c r="BZ275" s="14"/>
      <x:c r="CA275" s="14"/>
      <x:c r="CB275" s="14"/>
      <x:c r="CC275" s="14"/>
      <x:c r="CD275" s="14"/>
      <x:c r="CE275" s="14"/>
    </x:row>
    <x:row r="276">
      <x:c r="A276" s="14" t="n">
        <x:v>275</x:v>
      </x:c>
      <x:c r="B276" s="14"/>
      <x:c r="C276" s="14" t="str">
        <x:v>CHECKING_EVENT</x:v>
      </x:c>
      <x:c r="D276" s="14" t="str">
        <x:v>Exploratory_Checking_611_Positional_Surrogate.xlsx</x:v>
      </x:c>
      <x:c r="E276" s="14"/>
      <x:c r="F276" s="14"/>
      <x:c r="G276" s="14"/>
      <x:c r="H276" s="14"/>
      <x:c r="I276" s="14"/>
      <x:c r="J276" s="14"/>
      <x:c r="K276" s="14" t="str">
        <x:v>NEEDS_WINDOW_BINDING</x:v>
      </x:c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/>
      <x:c r="AC276" s="14"/>
      <x:c r="AD276" s="14"/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/>
      <x:c r="BC276" s="14"/>
      <x:c r="BD276" s="14"/>
      <x:c r="BE276" s="14"/>
      <x:c r="BF276" s="14"/>
      <x:c r="BG276" s="14"/>
      <x:c r="BH276" s="14"/>
      <x:c r="BI276" s="14"/>
      <x:c r="BJ276" s="14"/>
      <x:c r="BK276" s="14"/>
      <x:c r="BL276" s="14"/>
      <x:c r="BM276" s="14"/>
      <x:c r="BN276" s="14"/>
      <x:c r="BO276" s="14"/>
      <x:c r="BP276" s="14"/>
      <x:c r="BQ276" s="14"/>
      <x:c r="BR276" s="14"/>
      <x:c r="BS276" s="14"/>
      <x:c r="BT276" s="14"/>
      <x:c r="BU276" s="14"/>
      <x:c r="BV276" s="14"/>
      <x:c r="BW276" s="14"/>
      <x:c r="BX276" s="14"/>
      <x:c r="BY276" s="14"/>
      <x:c r="BZ276" s="14"/>
      <x:c r="CA276" s="14"/>
      <x:c r="CB276" s="14"/>
      <x:c r="CC276" s="14"/>
      <x:c r="CD276" s="14"/>
      <x:c r="CE276" s="14"/>
    </x:row>
    <x:row r="277">
      <x:c r="A277" s="14" t="n">
        <x:v>276</x:v>
      </x:c>
      <x:c r="B277" s="14"/>
      <x:c r="C277" s="14" t="str">
        <x:v>CHECKING_EVENT</x:v>
      </x:c>
      <x:c r="D277" s="14" t="str">
        <x:v>Exploratory_Checking_611_Positional_Surrogate.xlsx</x:v>
      </x:c>
      <x:c r="E277" s="14"/>
      <x:c r="F277" s="14"/>
      <x:c r="G277" s="14"/>
      <x:c r="H277" s="14"/>
      <x:c r="I277" s="14"/>
      <x:c r="J277" s="14"/>
      <x:c r="K277" s="14" t="str">
        <x:v>NEEDS_WINDOW_BINDING</x:v>
      </x:c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/>
      <x:c r="AC277" s="14"/>
      <x:c r="AD277" s="14"/>
      <x:c r="AE277" s="14"/>
      <x:c r="AF277" s="14"/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/>
      <x:c r="BC277" s="14"/>
      <x:c r="BD277" s="14"/>
      <x:c r="BE277" s="14"/>
      <x:c r="BF277" s="14"/>
      <x:c r="BG277" s="14"/>
      <x:c r="BH277" s="14"/>
      <x:c r="BI277" s="14"/>
      <x:c r="BJ277" s="14"/>
      <x:c r="BK277" s="14"/>
      <x:c r="BL277" s="14"/>
      <x:c r="BM277" s="14"/>
      <x:c r="BN277" s="14"/>
      <x:c r="BO277" s="14"/>
      <x:c r="BP277" s="14"/>
      <x:c r="BQ277" s="14"/>
      <x:c r="BR277" s="14"/>
      <x:c r="BS277" s="14"/>
      <x:c r="BT277" s="14"/>
      <x:c r="BU277" s="14"/>
      <x:c r="BV277" s="14"/>
      <x:c r="BW277" s="14"/>
      <x:c r="BX277" s="14"/>
      <x:c r="BY277" s="14"/>
      <x:c r="BZ277" s="14"/>
      <x:c r="CA277" s="14"/>
      <x:c r="CB277" s="14"/>
      <x:c r="CC277" s="14"/>
      <x:c r="CD277" s="14"/>
      <x:c r="CE277" s="14"/>
    </x:row>
    <x:row r="278">
      <x:c r="A278" s="14" t="n">
        <x:v>277</x:v>
      </x:c>
      <x:c r="B278" s="14"/>
      <x:c r="C278" s="14" t="str">
        <x:v>CHECKING_EVENT</x:v>
      </x:c>
      <x:c r="D278" s="14" t="str">
        <x:v>Exploratory_Checking_611_Positional_Surrogate.xlsx</x:v>
      </x:c>
      <x:c r="E278" s="14"/>
      <x:c r="F278" s="14"/>
      <x:c r="G278" s="14"/>
      <x:c r="H278" s="14"/>
      <x:c r="I278" s="14"/>
      <x:c r="J278" s="14"/>
      <x:c r="K278" s="14" t="str">
        <x:v>NEEDS_WINDOW_BINDING</x:v>
      </x:c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4"/>
      <x:c r="AB278" s="14"/>
      <x:c r="AC278" s="14"/>
      <x:c r="AD278" s="14"/>
      <x:c r="AE278" s="14"/>
      <x:c r="AF278" s="14"/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/>
      <x:c r="BC278" s="14"/>
      <x:c r="BD278" s="14"/>
      <x:c r="BE278" s="14"/>
      <x:c r="BF278" s="14"/>
      <x:c r="BG278" s="14"/>
      <x:c r="BH278" s="14"/>
      <x:c r="BI278" s="14"/>
      <x:c r="BJ278" s="14"/>
      <x:c r="BK278" s="14"/>
      <x:c r="BL278" s="14"/>
      <x:c r="BM278" s="14"/>
      <x:c r="BN278" s="14"/>
      <x:c r="BO278" s="14"/>
      <x:c r="BP278" s="14"/>
      <x:c r="BQ278" s="14"/>
      <x:c r="BR278" s="14"/>
      <x:c r="BS278" s="14"/>
      <x:c r="BT278" s="14"/>
      <x:c r="BU278" s="14"/>
      <x:c r="BV278" s="14"/>
      <x:c r="BW278" s="14"/>
      <x:c r="BX278" s="14"/>
      <x:c r="BY278" s="14"/>
      <x:c r="BZ278" s="14"/>
      <x:c r="CA278" s="14"/>
      <x:c r="CB278" s="14"/>
      <x:c r="CC278" s="14"/>
      <x:c r="CD278" s="14"/>
      <x:c r="CE278" s="14"/>
    </x:row>
    <x:row r="279">
      <x:c r="A279" s="14" t="n">
        <x:v>278</x:v>
      </x:c>
      <x:c r="B279" s="14"/>
      <x:c r="C279" s="14" t="str">
        <x:v>CHECKING_EVENT</x:v>
      </x:c>
      <x:c r="D279" s="14" t="str">
        <x:v>Exploratory_Checking_611_Positional_Surrogate.xlsx</x:v>
      </x:c>
      <x:c r="E279" s="14"/>
      <x:c r="F279" s="14"/>
      <x:c r="G279" s="14"/>
      <x:c r="H279" s="14"/>
      <x:c r="I279" s="14"/>
      <x:c r="J279" s="14"/>
      <x:c r="K279" s="14" t="str">
        <x:v>NEEDS_WINDOW_BINDING</x:v>
      </x:c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  <x:c r="AA279" s="14"/>
      <x:c r="AB279" s="14"/>
      <x:c r="AC279" s="14"/>
      <x:c r="AD279" s="14"/>
      <x:c r="AE279" s="14"/>
      <x:c r="AF279" s="14"/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/>
      <x:c r="BC279" s="14"/>
      <x:c r="BD279" s="14"/>
      <x:c r="BE279" s="14"/>
      <x:c r="BF279" s="14"/>
      <x:c r="BG279" s="14"/>
      <x:c r="BH279" s="14"/>
      <x:c r="BI279" s="14"/>
      <x:c r="BJ279" s="14"/>
      <x:c r="BK279" s="14"/>
      <x:c r="BL279" s="14"/>
      <x:c r="BM279" s="14"/>
      <x:c r="BN279" s="14"/>
      <x:c r="BO279" s="14"/>
      <x:c r="BP279" s="14"/>
      <x:c r="BQ279" s="14"/>
      <x:c r="BR279" s="14"/>
      <x:c r="BS279" s="14"/>
      <x:c r="BT279" s="14"/>
      <x:c r="BU279" s="14"/>
      <x:c r="BV279" s="14"/>
      <x:c r="BW279" s="14"/>
      <x:c r="BX279" s="14"/>
      <x:c r="BY279" s="14"/>
      <x:c r="BZ279" s="14"/>
      <x:c r="CA279" s="14"/>
      <x:c r="CB279" s="14"/>
      <x:c r="CC279" s="14"/>
      <x:c r="CD279" s="14"/>
      <x:c r="CE279" s="14"/>
    </x:row>
    <x:row r="280">
      <x:c r="A280" s="14" t="n">
        <x:v>279</x:v>
      </x:c>
      <x:c r="B280" s="14"/>
      <x:c r="C280" s="14" t="str">
        <x:v>CHECKING_EVENT</x:v>
      </x:c>
      <x:c r="D280" s="14" t="str">
        <x:v>Exploratory_Checking_611_Positional_Surrogate.xlsx</x:v>
      </x:c>
      <x:c r="E280" s="14"/>
      <x:c r="F280" s="14"/>
      <x:c r="G280" s="14"/>
      <x:c r="H280" s="14"/>
      <x:c r="I280" s="14"/>
      <x:c r="J280" s="14"/>
      <x:c r="K280" s="14" t="str">
        <x:v>NEEDS_WINDOW_BINDING</x:v>
      </x:c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  <x:c r="AA280" s="14"/>
      <x:c r="AB280" s="14"/>
      <x:c r="AC280" s="14"/>
      <x:c r="AD280" s="14"/>
      <x:c r="AE280" s="14"/>
      <x:c r="AF280" s="14"/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/>
      <x:c r="BC280" s="14"/>
      <x:c r="BD280" s="14"/>
      <x:c r="BE280" s="14"/>
      <x:c r="BF280" s="14"/>
      <x:c r="BG280" s="14"/>
      <x:c r="BH280" s="14"/>
      <x:c r="BI280" s="14"/>
      <x:c r="BJ280" s="14"/>
      <x:c r="BK280" s="14"/>
      <x:c r="BL280" s="14"/>
      <x:c r="BM280" s="14"/>
      <x:c r="BN280" s="14"/>
      <x:c r="BO280" s="14"/>
      <x:c r="BP280" s="14"/>
      <x:c r="BQ280" s="14"/>
      <x:c r="BR280" s="14"/>
      <x:c r="BS280" s="14"/>
      <x:c r="BT280" s="14"/>
      <x:c r="BU280" s="14"/>
      <x:c r="BV280" s="14"/>
      <x:c r="BW280" s="14"/>
      <x:c r="BX280" s="14"/>
      <x:c r="BY280" s="14"/>
      <x:c r="BZ280" s="14"/>
      <x:c r="CA280" s="14"/>
      <x:c r="CB280" s="14"/>
      <x:c r="CC280" s="14"/>
      <x:c r="CD280" s="14"/>
      <x:c r="CE280" s="14"/>
    </x:row>
    <x:row r="281">
      <x:c r="A281" s="14" t="n">
        <x:v>280</x:v>
      </x:c>
      <x:c r="B281" s="14"/>
      <x:c r="C281" s="14" t="str">
        <x:v>CHECKING_EVENT</x:v>
      </x:c>
      <x:c r="D281" s="14" t="str">
        <x:v>Exploratory_Checking_611_Positional_Surrogate.xlsx</x:v>
      </x:c>
      <x:c r="E281" s="14"/>
      <x:c r="F281" s="14"/>
      <x:c r="G281" s="14"/>
      <x:c r="H281" s="14"/>
      <x:c r="I281" s="14"/>
      <x:c r="J281" s="14"/>
      <x:c r="K281" s="14" t="str">
        <x:v>NEEDS_WINDOW_BINDING</x:v>
      </x:c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  <x:c r="AA281" s="14"/>
      <x:c r="AB281" s="14"/>
      <x:c r="AC281" s="14"/>
      <x:c r="AD281" s="14"/>
      <x:c r="AE281" s="14"/>
      <x:c r="AF281" s="14"/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/>
      <x:c r="BC281" s="14"/>
      <x:c r="BD281" s="14"/>
      <x:c r="BE281" s="14"/>
      <x:c r="BF281" s="14"/>
      <x:c r="BG281" s="14"/>
      <x:c r="BH281" s="14"/>
      <x:c r="BI281" s="14"/>
      <x:c r="BJ281" s="14"/>
      <x:c r="BK281" s="14"/>
      <x:c r="BL281" s="14"/>
      <x:c r="BM281" s="14"/>
      <x:c r="BN281" s="14"/>
      <x:c r="BO281" s="14"/>
      <x:c r="BP281" s="14"/>
      <x:c r="BQ281" s="14"/>
      <x:c r="BR281" s="14"/>
      <x:c r="BS281" s="14"/>
      <x:c r="BT281" s="14"/>
      <x:c r="BU281" s="14"/>
      <x:c r="BV281" s="14"/>
      <x:c r="BW281" s="14"/>
      <x:c r="BX281" s="14"/>
      <x:c r="BY281" s="14"/>
      <x:c r="BZ281" s="14"/>
      <x:c r="CA281" s="14"/>
      <x:c r="CB281" s="14"/>
      <x:c r="CC281" s="14"/>
      <x:c r="CD281" s="14"/>
      <x:c r="CE281" s="14"/>
    </x:row>
    <x:row r="282">
      <x:c r="A282" s="14" t="n">
        <x:v>281</x:v>
      </x:c>
      <x:c r="B282" s="14"/>
      <x:c r="C282" s="14" t="str">
        <x:v>CHECKING_EVENT</x:v>
      </x:c>
      <x:c r="D282" s="14" t="str">
        <x:v>Exploratory_Checking_611_Positional_Surrogate.xlsx</x:v>
      </x:c>
      <x:c r="E282" s="14"/>
      <x:c r="F282" s="14"/>
      <x:c r="G282" s="14"/>
      <x:c r="H282" s="14"/>
      <x:c r="I282" s="14"/>
      <x:c r="J282" s="14"/>
      <x:c r="K282" s="14" t="str">
        <x:v>NEEDS_WINDOW_BINDING</x:v>
      </x:c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  <x:c r="AA282" s="14"/>
      <x:c r="AB282" s="14"/>
      <x:c r="AC282" s="14"/>
      <x:c r="AD282" s="14"/>
      <x:c r="AE282" s="14"/>
      <x:c r="AF282" s="14"/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/>
      <x:c r="BC282" s="14"/>
      <x:c r="BD282" s="14"/>
      <x:c r="BE282" s="14"/>
      <x:c r="BF282" s="14"/>
      <x:c r="BG282" s="14"/>
      <x:c r="BH282" s="14"/>
      <x:c r="BI282" s="14"/>
      <x:c r="BJ282" s="14"/>
      <x:c r="BK282" s="14"/>
      <x:c r="BL282" s="14"/>
      <x:c r="BM282" s="14"/>
      <x:c r="BN282" s="14"/>
      <x:c r="BO282" s="14"/>
      <x:c r="BP282" s="14"/>
      <x:c r="BQ282" s="14"/>
      <x:c r="BR282" s="14"/>
      <x:c r="BS282" s="14"/>
      <x:c r="BT282" s="14"/>
      <x:c r="BU282" s="14"/>
      <x:c r="BV282" s="14"/>
      <x:c r="BW282" s="14"/>
      <x:c r="BX282" s="14"/>
      <x:c r="BY282" s="14"/>
      <x:c r="BZ282" s="14"/>
      <x:c r="CA282" s="14"/>
      <x:c r="CB282" s="14"/>
      <x:c r="CC282" s="14"/>
      <x:c r="CD282" s="14"/>
      <x:c r="CE282" s="14"/>
    </x:row>
    <x:row r="283">
      <x:c r="A283" s="14" t="n">
        <x:v>282</x:v>
      </x:c>
      <x:c r="B283" s="14"/>
      <x:c r="C283" s="14" t="str">
        <x:v>CHECKING_EVENT</x:v>
      </x:c>
      <x:c r="D283" s="14" t="str">
        <x:v>Exploratory_Checking_611_Positional_Surrogate.xlsx</x:v>
      </x:c>
      <x:c r="E283" s="14"/>
      <x:c r="F283" s="14"/>
      <x:c r="G283" s="14"/>
      <x:c r="H283" s="14"/>
      <x:c r="I283" s="14"/>
      <x:c r="J283" s="14"/>
      <x:c r="K283" s="14" t="str">
        <x:v>NEEDS_WINDOW_BINDING</x:v>
      </x:c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4"/>
      <x:c r="AC283" s="14"/>
      <x:c r="AD283" s="14"/>
      <x:c r="AE283" s="14"/>
      <x:c r="AF283" s="14"/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/>
      <x:c r="BC283" s="14"/>
      <x:c r="BD283" s="14"/>
      <x:c r="BE283" s="14"/>
      <x:c r="BF283" s="14"/>
      <x:c r="BG283" s="14"/>
      <x:c r="BH283" s="14"/>
      <x:c r="BI283" s="14"/>
      <x:c r="BJ283" s="14"/>
      <x:c r="BK283" s="14"/>
      <x:c r="BL283" s="14"/>
      <x:c r="BM283" s="14"/>
      <x:c r="BN283" s="14"/>
      <x:c r="BO283" s="14"/>
      <x:c r="BP283" s="14"/>
      <x:c r="BQ283" s="14"/>
      <x:c r="BR283" s="14"/>
      <x:c r="BS283" s="14"/>
      <x:c r="BT283" s="14"/>
      <x:c r="BU283" s="14"/>
      <x:c r="BV283" s="14"/>
      <x:c r="BW283" s="14"/>
      <x:c r="BX283" s="14"/>
      <x:c r="BY283" s="14"/>
      <x:c r="BZ283" s="14"/>
      <x:c r="CA283" s="14"/>
      <x:c r="CB283" s="14"/>
      <x:c r="CC283" s="14"/>
      <x:c r="CD283" s="14"/>
      <x:c r="CE283" s="14"/>
    </x:row>
    <x:row r="284">
      <x:c r="A284" s="14" t="n">
        <x:v>283</x:v>
      </x:c>
      <x:c r="B284" s="14"/>
      <x:c r="C284" s="14" t="str">
        <x:v>CHECKING_EVENT</x:v>
      </x:c>
      <x:c r="D284" s="14" t="str">
        <x:v>Exploratory_Checking_611_Positional_Surrogate.xlsx</x:v>
      </x:c>
      <x:c r="E284" s="14"/>
      <x:c r="F284" s="14"/>
      <x:c r="G284" s="14"/>
      <x:c r="H284" s="14"/>
      <x:c r="I284" s="14"/>
      <x:c r="J284" s="14"/>
      <x:c r="K284" s="14" t="str">
        <x:v>NEEDS_WINDOW_BINDING</x:v>
      </x:c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  <x:c r="AB284" s="14"/>
      <x:c r="AC284" s="14"/>
      <x:c r="AD284" s="14"/>
      <x:c r="AE284" s="14"/>
      <x:c r="AF284" s="14"/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/>
      <x:c r="BC284" s="14"/>
      <x:c r="BD284" s="14"/>
      <x:c r="BE284" s="14"/>
      <x:c r="BF284" s="14"/>
      <x:c r="BG284" s="14"/>
      <x:c r="BH284" s="14"/>
      <x:c r="BI284" s="14"/>
      <x:c r="BJ284" s="14"/>
      <x:c r="BK284" s="14"/>
      <x:c r="BL284" s="14"/>
      <x:c r="BM284" s="14"/>
      <x:c r="BN284" s="14"/>
      <x:c r="BO284" s="14"/>
      <x:c r="BP284" s="14"/>
      <x:c r="BQ284" s="14"/>
      <x:c r="BR284" s="14"/>
      <x:c r="BS284" s="14"/>
      <x:c r="BT284" s="14"/>
      <x:c r="BU284" s="14"/>
      <x:c r="BV284" s="14"/>
      <x:c r="BW284" s="14"/>
      <x:c r="BX284" s="14"/>
      <x:c r="BY284" s="14"/>
      <x:c r="BZ284" s="14"/>
      <x:c r="CA284" s="14"/>
      <x:c r="CB284" s="14"/>
      <x:c r="CC284" s="14"/>
      <x:c r="CD284" s="14"/>
      <x:c r="CE284" s="14"/>
    </x:row>
    <x:row r="285">
      <x:c r="A285" s="14" t="n">
        <x:v>284</x:v>
      </x:c>
      <x:c r="B285" s="14"/>
      <x:c r="C285" s="14" t="str">
        <x:v>CHECKING_EVENT</x:v>
      </x:c>
      <x:c r="D285" s="14" t="str">
        <x:v>Exploratory_Checking_611_Positional_Surrogate.xlsx</x:v>
      </x:c>
      <x:c r="E285" s="14"/>
      <x:c r="F285" s="14"/>
      <x:c r="G285" s="14"/>
      <x:c r="H285" s="14"/>
      <x:c r="I285" s="14"/>
      <x:c r="J285" s="14"/>
      <x:c r="K285" s="14" t="str">
        <x:v>NEEDS_WINDOW_BINDING</x:v>
      </x:c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  <x:c r="AB285" s="14"/>
      <x:c r="AC285" s="14"/>
      <x:c r="AD285" s="14"/>
      <x:c r="AE285" s="14"/>
      <x:c r="AF285" s="14"/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/>
      <x:c r="BC285" s="14"/>
      <x:c r="BD285" s="14"/>
      <x:c r="BE285" s="14"/>
      <x:c r="BF285" s="14"/>
      <x:c r="BG285" s="14"/>
      <x:c r="BH285" s="14"/>
      <x:c r="BI285" s="14"/>
      <x:c r="BJ285" s="14"/>
      <x:c r="BK285" s="14"/>
      <x:c r="BL285" s="14"/>
      <x:c r="BM285" s="14"/>
      <x:c r="BN285" s="14"/>
      <x:c r="BO285" s="14"/>
      <x:c r="BP285" s="14"/>
      <x:c r="BQ285" s="14"/>
      <x:c r="BR285" s="14"/>
      <x:c r="BS285" s="14"/>
      <x:c r="BT285" s="14"/>
      <x:c r="BU285" s="14"/>
      <x:c r="BV285" s="14"/>
      <x:c r="BW285" s="14"/>
      <x:c r="BX285" s="14"/>
      <x:c r="BY285" s="14"/>
      <x:c r="BZ285" s="14"/>
      <x:c r="CA285" s="14"/>
      <x:c r="CB285" s="14"/>
      <x:c r="CC285" s="14"/>
      <x:c r="CD285" s="14"/>
      <x:c r="CE285" s="14"/>
    </x:row>
    <x:row r="286">
      <x:c r="A286" s="14" t="n">
        <x:v>285</x:v>
      </x:c>
      <x:c r="B286" s="14"/>
      <x:c r="C286" s="14" t="str">
        <x:v>CHECKING_EVENT</x:v>
      </x:c>
      <x:c r="D286" s="14" t="str">
        <x:v>Exploratory_Checking_611_Positional_Surrogate.xlsx</x:v>
      </x:c>
      <x:c r="E286" s="14"/>
      <x:c r="F286" s="14"/>
      <x:c r="G286" s="14"/>
      <x:c r="H286" s="14"/>
      <x:c r="I286" s="14"/>
      <x:c r="J286" s="14"/>
      <x:c r="K286" s="14" t="str">
        <x:v>NEEDS_WINDOW_BINDING</x:v>
      </x:c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/>
      <x:c r="BC286" s="14"/>
      <x:c r="BD286" s="14"/>
      <x:c r="BE286" s="14"/>
      <x:c r="BF286" s="14"/>
      <x:c r="BG286" s="14"/>
      <x:c r="BH286" s="14"/>
      <x:c r="BI286" s="14"/>
      <x:c r="BJ286" s="14"/>
      <x:c r="BK286" s="14"/>
      <x:c r="BL286" s="14"/>
      <x:c r="BM286" s="14"/>
      <x:c r="BN286" s="14"/>
      <x:c r="BO286" s="14"/>
      <x:c r="BP286" s="14"/>
      <x:c r="BQ286" s="14"/>
      <x:c r="BR286" s="14"/>
      <x:c r="BS286" s="14"/>
      <x:c r="BT286" s="14"/>
      <x:c r="BU286" s="14"/>
      <x:c r="BV286" s="14"/>
      <x:c r="BW286" s="14"/>
      <x:c r="BX286" s="14"/>
      <x:c r="BY286" s="14"/>
      <x:c r="BZ286" s="14"/>
      <x:c r="CA286" s="14"/>
      <x:c r="CB286" s="14"/>
      <x:c r="CC286" s="14"/>
      <x:c r="CD286" s="14"/>
      <x:c r="CE286" s="14"/>
    </x:row>
    <x:row r="287">
      <x:c r="A287" s="14" t="n">
        <x:v>286</x:v>
      </x:c>
      <x:c r="B287" s="14"/>
      <x:c r="C287" s="14" t="str">
        <x:v>CHECKING_EVENT</x:v>
      </x:c>
      <x:c r="D287" s="14" t="str">
        <x:v>Exploratory_Checking_611_Positional_Surrogate.xlsx</x:v>
      </x:c>
      <x:c r="E287" s="14"/>
      <x:c r="F287" s="14"/>
      <x:c r="G287" s="14"/>
      <x:c r="H287" s="14"/>
      <x:c r="I287" s="14"/>
      <x:c r="J287" s="14"/>
      <x:c r="K287" s="14" t="str">
        <x:v>NEEDS_WINDOW_BINDING</x:v>
      </x:c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  <x:c r="AA287" s="14"/>
      <x:c r="AB287" s="14"/>
      <x:c r="AC287" s="14"/>
      <x:c r="AD287" s="14"/>
      <x:c r="AE287" s="14"/>
      <x:c r="AF287" s="14"/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/>
      <x:c r="BC287" s="14"/>
      <x:c r="BD287" s="14"/>
      <x:c r="BE287" s="14"/>
      <x:c r="BF287" s="14"/>
      <x:c r="BG287" s="14"/>
      <x:c r="BH287" s="14"/>
      <x:c r="BI287" s="14"/>
      <x:c r="BJ287" s="14"/>
      <x:c r="BK287" s="14"/>
      <x:c r="BL287" s="14"/>
      <x:c r="BM287" s="14"/>
      <x:c r="BN287" s="14"/>
      <x:c r="BO287" s="14"/>
      <x:c r="BP287" s="14"/>
      <x:c r="BQ287" s="14"/>
      <x:c r="BR287" s="14"/>
      <x:c r="BS287" s="14"/>
      <x:c r="BT287" s="14"/>
      <x:c r="BU287" s="14"/>
      <x:c r="BV287" s="14"/>
      <x:c r="BW287" s="14"/>
      <x:c r="BX287" s="14"/>
      <x:c r="BY287" s="14"/>
      <x:c r="BZ287" s="14"/>
      <x:c r="CA287" s="14"/>
      <x:c r="CB287" s="14"/>
      <x:c r="CC287" s="14"/>
      <x:c r="CD287" s="14"/>
      <x:c r="CE287" s="14"/>
    </x:row>
    <x:row r="288">
      <x:c r="A288" s="14" t="n">
        <x:v>287</x:v>
      </x:c>
      <x:c r="B288" s="14"/>
      <x:c r="C288" s="14" t="str">
        <x:v>CHECKING_EVENT</x:v>
      </x:c>
      <x:c r="D288" s="14" t="str">
        <x:v>Exploratory_Checking_611_Positional_Surrogate.xlsx</x:v>
      </x:c>
      <x:c r="E288" s="14"/>
      <x:c r="F288" s="14"/>
      <x:c r="G288" s="14"/>
      <x:c r="H288" s="14"/>
      <x:c r="I288" s="14"/>
      <x:c r="J288" s="14"/>
      <x:c r="K288" s="14" t="str">
        <x:v>NEEDS_WINDOW_BINDING</x:v>
      </x:c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4"/>
      <x:c r="AB288" s="14"/>
      <x:c r="AC288" s="14"/>
      <x:c r="AD288" s="14"/>
      <x:c r="AE288" s="14"/>
      <x:c r="AF288" s="14"/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/>
      <x:c r="BC288" s="14"/>
      <x:c r="BD288" s="14"/>
      <x:c r="BE288" s="14"/>
      <x:c r="BF288" s="14"/>
      <x:c r="BG288" s="14"/>
      <x:c r="BH288" s="14"/>
      <x:c r="BI288" s="14"/>
      <x:c r="BJ288" s="14"/>
      <x:c r="BK288" s="14"/>
      <x:c r="BL288" s="14"/>
      <x:c r="BM288" s="14"/>
      <x:c r="BN288" s="14"/>
      <x:c r="BO288" s="14"/>
      <x:c r="BP288" s="14"/>
      <x:c r="BQ288" s="14"/>
      <x:c r="BR288" s="14"/>
      <x:c r="BS288" s="14"/>
      <x:c r="BT288" s="14"/>
      <x:c r="BU288" s="14"/>
      <x:c r="BV288" s="14"/>
      <x:c r="BW288" s="14"/>
      <x:c r="BX288" s="14"/>
      <x:c r="BY288" s="14"/>
      <x:c r="BZ288" s="14"/>
      <x:c r="CA288" s="14"/>
      <x:c r="CB288" s="14"/>
      <x:c r="CC288" s="14"/>
      <x:c r="CD288" s="14"/>
      <x:c r="CE288" s="14"/>
    </x:row>
    <x:row r="289">
      <x:c r="A289" s="14" t="n">
        <x:v>288</x:v>
      </x:c>
      <x:c r="B289" s="14"/>
      <x:c r="C289" s="14" t="str">
        <x:v>CHECKING_EVENT</x:v>
      </x:c>
      <x:c r="D289" s="14" t="str">
        <x:v>Exploratory_Checking_611_Positional_Surrogate.xlsx</x:v>
      </x:c>
      <x:c r="E289" s="14"/>
      <x:c r="F289" s="14"/>
      <x:c r="G289" s="14"/>
      <x:c r="H289" s="14"/>
      <x:c r="I289" s="14"/>
      <x:c r="J289" s="14"/>
      <x:c r="K289" s="14" t="str">
        <x:v>NEEDS_WINDOW_BINDING</x:v>
      </x:c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  <x:c r="AA289" s="14"/>
      <x:c r="AB289" s="14"/>
      <x:c r="AC289" s="14"/>
      <x:c r="AD289" s="14"/>
      <x:c r="AE289" s="14"/>
      <x:c r="AF289" s="14"/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/>
      <x:c r="BC289" s="14"/>
      <x:c r="BD289" s="14"/>
      <x:c r="BE289" s="14"/>
      <x:c r="BF289" s="14"/>
      <x:c r="BG289" s="14"/>
      <x:c r="BH289" s="14"/>
      <x:c r="BI289" s="14"/>
      <x:c r="BJ289" s="14"/>
      <x:c r="BK289" s="14"/>
      <x:c r="BL289" s="14"/>
      <x:c r="BM289" s="14"/>
      <x:c r="BN289" s="14"/>
      <x:c r="BO289" s="14"/>
      <x:c r="BP289" s="14"/>
      <x:c r="BQ289" s="14"/>
      <x:c r="BR289" s="14"/>
      <x:c r="BS289" s="14"/>
      <x:c r="BT289" s="14"/>
      <x:c r="BU289" s="14"/>
      <x:c r="BV289" s="14"/>
      <x:c r="BW289" s="14"/>
      <x:c r="BX289" s="14"/>
      <x:c r="BY289" s="14"/>
      <x:c r="BZ289" s="14"/>
      <x:c r="CA289" s="14"/>
      <x:c r="CB289" s="14"/>
      <x:c r="CC289" s="14"/>
      <x:c r="CD289" s="14"/>
      <x:c r="CE289" s="14"/>
    </x:row>
    <x:row r="290">
      <x:c r="A290" s="14" t="n">
        <x:v>289</x:v>
      </x:c>
      <x:c r="B290" s="14"/>
      <x:c r="C290" s="14" t="str">
        <x:v>CHECKING_EVENT</x:v>
      </x:c>
      <x:c r="D290" s="14" t="str">
        <x:v>Exploratory_Checking_611_Positional_Surrogate.xlsx</x:v>
      </x:c>
      <x:c r="E290" s="14"/>
      <x:c r="F290" s="14"/>
      <x:c r="G290" s="14"/>
      <x:c r="H290" s="14"/>
      <x:c r="I290" s="14"/>
      <x:c r="J290" s="14"/>
      <x:c r="K290" s="14" t="str">
        <x:v>NEEDS_WINDOW_BINDING</x:v>
      </x:c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4"/>
      <x:c r="AB290" s="14"/>
      <x:c r="AC290" s="14"/>
      <x:c r="AD290" s="14"/>
      <x:c r="AE290" s="14"/>
      <x:c r="AF290" s="14"/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/>
      <x:c r="BC290" s="14"/>
      <x:c r="BD290" s="14"/>
      <x:c r="BE290" s="14"/>
      <x:c r="BF290" s="14"/>
      <x:c r="BG290" s="14"/>
      <x:c r="BH290" s="14"/>
      <x:c r="BI290" s="14"/>
      <x:c r="BJ290" s="14"/>
      <x:c r="BK290" s="14"/>
      <x:c r="BL290" s="14"/>
      <x:c r="BM290" s="14"/>
      <x:c r="BN290" s="14"/>
      <x:c r="BO290" s="14"/>
      <x:c r="BP290" s="14"/>
      <x:c r="BQ290" s="14"/>
      <x:c r="BR290" s="14"/>
      <x:c r="BS290" s="14"/>
      <x:c r="BT290" s="14"/>
      <x:c r="BU290" s="14"/>
      <x:c r="BV290" s="14"/>
      <x:c r="BW290" s="14"/>
      <x:c r="BX290" s="14"/>
      <x:c r="BY290" s="14"/>
      <x:c r="BZ290" s="14"/>
      <x:c r="CA290" s="14"/>
      <x:c r="CB290" s="14"/>
      <x:c r="CC290" s="14"/>
      <x:c r="CD290" s="14"/>
      <x:c r="CE290" s="14"/>
    </x:row>
    <x:row r="291">
      <x:c r="A291" s="14" t="n">
        <x:v>290</x:v>
      </x:c>
      <x:c r="B291" s="14"/>
      <x:c r="C291" s="14" t="str">
        <x:v>CHECKING_EVENT</x:v>
      </x:c>
      <x:c r="D291" s="14" t="str">
        <x:v>Exploratory_Checking_611_Positional_Surrogate.xlsx</x:v>
      </x:c>
      <x:c r="E291" s="14"/>
      <x:c r="F291" s="14"/>
      <x:c r="G291" s="14"/>
      <x:c r="H291" s="14"/>
      <x:c r="I291" s="14"/>
      <x:c r="J291" s="14"/>
      <x:c r="K291" s="14" t="str">
        <x:v>NEEDS_WINDOW_BINDING</x:v>
      </x:c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  <x:c r="AA291" s="14"/>
      <x:c r="AB291" s="14"/>
      <x:c r="AC291" s="14"/>
      <x:c r="AD291" s="14"/>
      <x:c r="AE291" s="14"/>
      <x:c r="AF291" s="14"/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/>
      <x:c r="BC291" s="14"/>
      <x:c r="BD291" s="14"/>
      <x:c r="BE291" s="14"/>
      <x:c r="BF291" s="14"/>
      <x:c r="BG291" s="14"/>
      <x:c r="BH291" s="14"/>
      <x:c r="BI291" s="14"/>
      <x:c r="BJ291" s="14"/>
      <x:c r="BK291" s="14"/>
      <x:c r="BL291" s="14"/>
      <x:c r="BM291" s="14"/>
      <x:c r="BN291" s="14"/>
      <x:c r="BO291" s="14"/>
      <x:c r="BP291" s="14"/>
      <x:c r="BQ291" s="14"/>
      <x:c r="BR291" s="14"/>
      <x:c r="BS291" s="14"/>
      <x:c r="BT291" s="14"/>
      <x:c r="BU291" s="14"/>
      <x:c r="BV291" s="14"/>
      <x:c r="BW291" s="14"/>
      <x:c r="BX291" s="14"/>
      <x:c r="BY291" s="14"/>
      <x:c r="BZ291" s="14"/>
      <x:c r="CA291" s="14"/>
      <x:c r="CB291" s="14"/>
      <x:c r="CC291" s="14"/>
      <x:c r="CD291" s="14"/>
      <x:c r="CE291" s="14"/>
    </x:row>
    <x:row r="292">
      <x:c r="A292" s="14" t="n">
        <x:v>291</x:v>
      </x:c>
      <x:c r="B292" s="14"/>
      <x:c r="C292" s="14" t="str">
        <x:v>CHECKING_EVENT</x:v>
      </x:c>
      <x:c r="D292" s="14" t="str">
        <x:v>Exploratory_Checking_611_Positional_Surrogate.xlsx</x:v>
      </x:c>
      <x:c r="E292" s="14"/>
      <x:c r="F292" s="14"/>
      <x:c r="G292" s="14"/>
      <x:c r="H292" s="14"/>
      <x:c r="I292" s="14"/>
      <x:c r="J292" s="14"/>
      <x:c r="K292" s="14" t="str">
        <x:v>NEEDS_WINDOW_BINDING</x:v>
      </x:c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  <x:c r="AB292" s="14"/>
      <x:c r="AC292" s="14"/>
      <x:c r="AD292" s="14"/>
      <x:c r="AE292" s="14"/>
      <x:c r="AF292" s="14"/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/>
      <x:c r="BC292" s="14"/>
      <x:c r="BD292" s="14"/>
      <x:c r="BE292" s="14"/>
      <x:c r="BF292" s="14"/>
      <x:c r="BG292" s="14"/>
      <x:c r="BH292" s="14"/>
      <x:c r="BI292" s="14"/>
      <x:c r="BJ292" s="14"/>
      <x:c r="BK292" s="14"/>
      <x:c r="BL292" s="14"/>
      <x:c r="BM292" s="14"/>
      <x:c r="BN292" s="14"/>
      <x:c r="BO292" s="14"/>
      <x:c r="BP292" s="14"/>
      <x:c r="BQ292" s="14"/>
      <x:c r="BR292" s="14"/>
      <x:c r="BS292" s="14"/>
      <x:c r="BT292" s="14"/>
      <x:c r="BU292" s="14"/>
      <x:c r="BV292" s="14"/>
      <x:c r="BW292" s="14"/>
      <x:c r="BX292" s="14"/>
      <x:c r="BY292" s="14"/>
      <x:c r="BZ292" s="14"/>
      <x:c r="CA292" s="14"/>
      <x:c r="CB292" s="14"/>
      <x:c r="CC292" s="14"/>
      <x:c r="CD292" s="14"/>
      <x:c r="CE292" s="14"/>
    </x:row>
    <x:row r="293">
      <x:c r="A293" s="14" t="n">
        <x:v>292</x:v>
      </x:c>
      <x:c r="B293" s="14"/>
      <x:c r="C293" s="14" t="str">
        <x:v>CHECKING_EVENT</x:v>
      </x:c>
      <x:c r="D293" s="14" t="str">
        <x:v>Exploratory_Checking_611_Positional_Surrogate.xlsx</x:v>
      </x:c>
      <x:c r="E293" s="14"/>
      <x:c r="F293" s="14"/>
      <x:c r="G293" s="14"/>
      <x:c r="H293" s="14"/>
      <x:c r="I293" s="14"/>
      <x:c r="J293" s="14"/>
      <x:c r="K293" s="14" t="str">
        <x:v>NEEDS_WINDOW_BINDING</x:v>
      </x:c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  <x:c r="AA293" s="14"/>
      <x:c r="AB293" s="14"/>
      <x:c r="AC293" s="14"/>
      <x:c r="AD293" s="14"/>
      <x:c r="AE293" s="14"/>
      <x:c r="AF293" s="14"/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/>
      <x:c r="BC293" s="14"/>
      <x:c r="BD293" s="14"/>
      <x:c r="BE293" s="14"/>
      <x:c r="BF293" s="14"/>
      <x:c r="BG293" s="14"/>
      <x:c r="BH293" s="14"/>
      <x:c r="BI293" s="14"/>
      <x:c r="BJ293" s="14"/>
      <x:c r="BK293" s="14"/>
      <x:c r="BL293" s="14"/>
      <x:c r="BM293" s="14"/>
      <x:c r="BN293" s="14"/>
      <x:c r="BO293" s="14"/>
      <x:c r="BP293" s="14"/>
      <x:c r="BQ293" s="14"/>
      <x:c r="BR293" s="14"/>
      <x:c r="BS293" s="14"/>
      <x:c r="BT293" s="14"/>
      <x:c r="BU293" s="14"/>
      <x:c r="BV293" s="14"/>
      <x:c r="BW293" s="14"/>
      <x:c r="BX293" s="14"/>
      <x:c r="BY293" s="14"/>
      <x:c r="BZ293" s="14"/>
      <x:c r="CA293" s="14"/>
      <x:c r="CB293" s="14"/>
      <x:c r="CC293" s="14"/>
      <x:c r="CD293" s="14"/>
      <x:c r="CE293" s="14"/>
    </x:row>
    <x:row r="294">
      <x:c r="A294" s="14" t="n">
        <x:v>293</x:v>
      </x:c>
      <x:c r="B294" s="14"/>
      <x:c r="C294" s="14" t="str">
        <x:v>CHECKING_EVENT</x:v>
      </x:c>
      <x:c r="D294" s="14" t="str">
        <x:v>Exploratory_Checking_611_Positional_Surrogate.xlsx</x:v>
      </x:c>
      <x:c r="E294" s="14"/>
      <x:c r="F294" s="14"/>
      <x:c r="G294" s="14"/>
      <x:c r="H294" s="14"/>
      <x:c r="I294" s="14"/>
      <x:c r="J294" s="14"/>
      <x:c r="K294" s="14" t="str">
        <x:v>NEEDS_WINDOW_BINDING</x:v>
      </x:c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  <x:c r="AA294" s="14"/>
      <x:c r="AB294" s="14"/>
      <x:c r="AC294" s="14"/>
      <x:c r="AD294" s="14"/>
      <x:c r="AE294" s="14"/>
      <x:c r="AF294" s="14"/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/>
      <x:c r="BC294" s="14"/>
      <x:c r="BD294" s="14"/>
      <x:c r="BE294" s="14"/>
      <x:c r="BF294" s="14"/>
      <x:c r="BG294" s="14"/>
      <x:c r="BH294" s="14"/>
      <x:c r="BI294" s="14"/>
      <x:c r="BJ294" s="14"/>
      <x:c r="BK294" s="14"/>
      <x:c r="BL294" s="14"/>
      <x:c r="BM294" s="14"/>
      <x:c r="BN294" s="14"/>
      <x:c r="BO294" s="14"/>
      <x:c r="BP294" s="14"/>
      <x:c r="BQ294" s="14"/>
      <x:c r="BR294" s="14"/>
      <x:c r="BS294" s="14"/>
      <x:c r="BT294" s="14"/>
      <x:c r="BU294" s="14"/>
      <x:c r="BV294" s="14"/>
      <x:c r="BW294" s="14"/>
      <x:c r="BX294" s="14"/>
      <x:c r="BY294" s="14"/>
      <x:c r="BZ294" s="14"/>
      <x:c r="CA294" s="14"/>
      <x:c r="CB294" s="14"/>
      <x:c r="CC294" s="14"/>
      <x:c r="CD294" s="14"/>
      <x:c r="CE294" s="14"/>
    </x:row>
    <x:row r="295">
      <x:c r="A295" s="14" t="n">
        <x:v>294</x:v>
      </x:c>
      <x:c r="B295" s="14"/>
      <x:c r="C295" s="14" t="str">
        <x:v>CHECKING_EVENT</x:v>
      </x:c>
      <x:c r="D295" s="14" t="str">
        <x:v>Exploratory_Checking_611_Positional_Surrogate.xlsx</x:v>
      </x:c>
      <x:c r="E295" s="14"/>
      <x:c r="F295" s="14"/>
      <x:c r="G295" s="14"/>
      <x:c r="H295" s="14"/>
      <x:c r="I295" s="14"/>
      <x:c r="J295" s="14"/>
      <x:c r="K295" s="14" t="str">
        <x:v>NEEDS_WINDOW_BINDING</x:v>
      </x:c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  <x:c r="AA295" s="14"/>
      <x:c r="AB295" s="14"/>
      <x:c r="AC295" s="14"/>
      <x:c r="AD295" s="14"/>
      <x:c r="AE295" s="14"/>
      <x:c r="AF295" s="14"/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/>
      <x:c r="BC295" s="14"/>
      <x:c r="BD295" s="14"/>
      <x:c r="BE295" s="14"/>
      <x:c r="BF295" s="14"/>
      <x:c r="BG295" s="14"/>
      <x:c r="BH295" s="14"/>
      <x:c r="BI295" s="14"/>
      <x:c r="BJ295" s="14"/>
      <x:c r="BK295" s="14"/>
      <x:c r="BL295" s="14"/>
      <x:c r="BM295" s="14"/>
      <x:c r="BN295" s="14"/>
      <x:c r="BO295" s="14"/>
      <x:c r="BP295" s="14"/>
      <x:c r="BQ295" s="14"/>
      <x:c r="BR295" s="14"/>
      <x:c r="BS295" s="14"/>
      <x:c r="BT295" s="14"/>
      <x:c r="BU295" s="14"/>
      <x:c r="BV295" s="14"/>
      <x:c r="BW295" s="14"/>
      <x:c r="BX295" s="14"/>
      <x:c r="BY295" s="14"/>
      <x:c r="BZ295" s="14"/>
      <x:c r="CA295" s="14"/>
      <x:c r="CB295" s="14"/>
      <x:c r="CC295" s="14"/>
      <x:c r="CD295" s="14"/>
      <x:c r="CE295" s="14"/>
    </x:row>
    <x:row r="296">
      <x:c r="A296" s="14" t="n">
        <x:v>295</x:v>
      </x:c>
      <x:c r="B296" s="14"/>
      <x:c r="C296" s="14" t="str">
        <x:v>CHECKING_EVENT</x:v>
      </x:c>
      <x:c r="D296" s="14" t="str">
        <x:v>Exploratory_Checking_611_Positional_Surrogate.xlsx</x:v>
      </x:c>
      <x:c r="E296" s="14"/>
      <x:c r="F296" s="14"/>
      <x:c r="G296" s="14"/>
      <x:c r="H296" s="14"/>
      <x:c r="I296" s="14"/>
      <x:c r="J296" s="14"/>
      <x:c r="K296" s="14" t="str">
        <x:v>NEEDS_WINDOW_BINDING</x:v>
      </x:c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  <x:c r="AA296" s="14"/>
      <x:c r="AB296" s="14"/>
      <x:c r="AC296" s="14"/>
      <x:c r="AD296" s="14"/>
      <x:c r="AE296" s="14"/>
      <x:c r="AF296" s="14"/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/>
      <x:c r="BC296" s="14"/>
      <x:c r="BD296" s="14"/>
      <x:c r="BE296" s="14"/>
      <x:c r="BF296" s="14"/>
      <x:c r="BG296" s="14"/>
      <x:c r="BH296" s="14"/>
      <x:c r="BI296" s="14"/>
      <x:c r="BJ296" s="14"/>
      <x:c r="BK296" s="14"/>
      <x:c r="BL296" s="14"/>
      <x:c r="BM296" s="14"/>
      <x:c r="BN296" s="14"/>
      <x:c r="BO296" s="14"/>
      <x:c r="BP296" s="14"/>
      <x:c r="BQ296" s="14"/>
      <x:c r="BR296" s="14"/>
      <x:c r="BS296" s="14"/>
      <x:c r="BT296" s="14"/>
      <x:c r="BU296" s="14"/>
      <x:c r="BV296" s="14"/>
      <x:c r="BW296" s="14"/>
      <x:c r="BX296" s="14"/>
      <x:c r="BY296" s="14"/>
      <x:c r="BZ296" s="14"/>
      <x:c r="CA296" s="14"/>
      <x:c r="CB296" s="14"/>
      <x:c r="CC296" s="14"/>
      <x:c r="CD296" s="14"/>
      <x:c r="CE296" s="14"/>
    </x:row>
    <x:row r="297">
      <x:c r="A297" s="14" t="n">
        <x:v>296</x:v>
      </x:c>
      <x:c r="B297" s="14"/>
      <x:c r="C297" s="14" t="str">
        <x:v>CHECKING_EVENT</x:v>
      </x:c>
      <x:c r="D297" s="14" t="str">
        <x:v>Exploratory_Checking_611_Positional_Surrogate.xlsx</x:v>
      </x:c>
      <x:c r="E297" s="14"/>
      <x:c r="F297" s="14"/>
      <x:c r="G297" s="14"/>
      <x:c r="H297" s="14"/>
      <x:c r="I297" s="14"/>
      <x:c r="J297" s="14"/>
      <x:c r="K297" s="14" t="str">
        <x:v>NEEDS_WINDOW_BINDING</x:v>
      </x:c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  <x:c r="AA297" s="14"/>
      <x:c r="AB297" s="14"/>
      <x:c r="AC297" s="14"/>
      <x:c r="AD297" s="14"/>
      <x:c r="AE297" s="14"/>
      <x:c r="AF297" s="14"/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/>
      <x:c r="BC297" s="14"/>
      <x:c r="BD297" s="14"/>
      <x:c r="BE297" s="14"/>
      <x:c r="BF297" s="14"/>
      <x:c r="BG297" s="14"/>
      <x:c r="BH297" s="14"/>
      <x:c r="BI297" s="14"/>
      <x:c r="BJ297" s="14"/>
      <x:c r="BK297" s="14"/>
      <x:c r="BL297" s="14"/>
      <x:c r="BM297" s="14"/>
      <x:c r="BN297" s="14"/>
      <x:c r="BO297" s="14"/>
      <x:c r="BP297" s="14"/>
      <x:c r="BQ297" s="14"/>
      <x:c r="BR297" s="14"/>
      <x:c r="BS297" s="14"/>
      <x:c r="BT297" s="14"/>
      <x:c r="BU297" s="14"/>
      <x:c r="BV297" s="14"/>
      <x:c r="BW297" s="14"/>
      <x:c r="BX297" s="14"/>
      <x:c r="BY297" s="14"/>
      <x:c r="BZ297" s="14"/>
      <x:c r="CA297" s="14"/>
      <x:c r="CB297" s="14"/>
      <x:c r="CC297" s="14"/>
      <x:c r="CD297" s="14"/>
      <x:c r="CE297" s="14"/>
    </x:row>
    <x:row r="298">
      <x:c r="A298" s="14" t="n">
        <x:v>297</x:v>
      </x:c>
      <x:c r="B298" s="14"/>
      <x:c r="C298" s="14" t="str">
        <x:v>CHECKING_EVENT</x:v>
      </x:c>
      <x:c r="D298" s="14" t="str">
        <x:v>Exploratory_Checking_611_Positional_Surrogate.xlsx</x:v>
      </x:c>
      <x:c r="E298" s="14"/>
      <x:c r="F298" s="14"/>
      <x:c r="G298" s="14"/>
      <x:c r="H298" s="14"/>
      <x:c r="I298" s="14"/>
      <x:c r="J298" s="14"/>
      <x:c r="K298" s="14" t="str">
        <x:v>NEEDS_WINDOW_BINDING</x:v>
      </x:c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  <x:c r="AB298" s="14"/>
      <x:c r="AC298" s="14"/>
      <x:c r="AD298" s="14"/>
      <x:c r="AE298" s="14"/>
      <x:c r="AF298" s="14"/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/>
      <x:c r="BC298" s="14"/>
      <x:c r="BD298" s="14"/>
      <x:c r="BE298" s="14"/>
      <x:c r="BF298" s="14"/>
      <x:c r="BG298" s="14"/>
      <x:c r="BH298" s="14"/>
      <x:c r="BI298" s="14"/>
      <x:c r="BJ298" s="14"/>
      <x:c r="BK298" s="14"/>
      <x:c r="BL298" s="14"/>
      <x:c r="BM298" s="14"/>
      <x:c r="BN298" s="14"/>
      <x:c r="BO298" s="14"/>
      <x:c r="BP298" s="14"/>
      <x:c r="BQ298" s="14"/>
      <x:c r="BR298" s="14"/>
      <x:c r="BS298" s="14"/>
      <x:c r="BT298" s="14"/>
      <x:c r="BU298" s="14"/>
      <x:c r="BV298" s="14"/>
      <x:c r="BW298" s="14"/>
      <x:c r="BX298" s="14"/>
      <x:c r="BY298" s="14"/>
      <x:c r="BZ298" s="14"/>
      <x:c r="CA298" s="14"/>
      <x:c r="CB298" s="14"/>
      <x:c r="CC298" s="14"/>
      <x:c r="CD298" s="14"/>
      <x:c r="CE298" s="14"/>
    </x:row>
    <x:row r="299">
      <x:c r="A299" s="14" t="n">
        <x:v>298</x:v>
      </x:c>
      <x:c r="B299" s="14"/>
      <x:c r="C299" s="14" t="str">
        <x:v>CHECKING_EVENT</x:v>
      </x:c>
      <x:c r="D299" s="14" t="str">
        <x:v>Exploratory_Checking_611_Positional_Surrogate.xlsx</x:v>
      </x:c>
      <x:c r="E299" s="14"/>
      <x:c r="F299" s="14"/>
      <x:c r="G299" s="14"/>
      <x:c r="H299" s="14"/>
      <x:c r="I299" s="14"/>
      <x:c r="J299" s="14"/>
      <x:c r="K299" s="14" t="str">
        <x:v>NEEDS_WINDOW_BINDING</x:v>
      </x:c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  <x:c r="AB299" s="14"/>
      <x:c r="AC299" s="14"/>
      <x:c r="AD299" s="14"/>
      <x:c r="AE299" s="14"/>
      <x:c r="AF299" s="14"/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/>
      <x:c r="BC299" s="14"/>
      <x:c r="BD299" s="14"/>
      <x:c r="BE299" s="14"/>
      <x:c r="BF299" s="14"/>
      <x:c r="BG299" s="14"/>
      <x:c r="BH299" s="14"/>
      <x:c r="BI299" s="14"/>
      <x:c r="BJ299" s="14"/>
      <x:c r="BK299" s="14"/>
      <x:c r="BL299" s="14"/>
      <x:c r="BM299" s="14"/>
      <x:c r="BN299" s="14"/>
      <x:c r="BO299" s="14"/>
      <x:c r="BP299" s="14"/>
      <x:c r="BQ299" s="14"/>
      <x:c r="BR299" s="14"/>
      <x:c r="BS299" s="14"/>
      <x:c r="BT299" s="14"/>
      <x:c r="BU299" s="14"/>
      <x:c r="BV299" s="14"/>
      <x:c r="BW299" s="14"/>
      <x:c r="BX299" s="14"/>
      <x:c r="BY299" s="14"/>
      <x:c r="BZ299" s="14"/>
      <x:c r="CA299" s="14"/>
      <x:c r="CB299" s="14"/>
      <x:c r="CC299" s="14"/>
      <x:c r="CD299" s="14"/>
      <x:c r="CE299" s="14"/>
    </x:row>
    <x:row r="300">
      <x:c r="A300" s="14" t="n">
        <x:v>299</x:v>
      </x:c>
      <x:c r="B300" s="14"/>
      <x:c r="C300" s="14" t="str">
        <x:v>CHECKING_EVENT</x:v>
      </x:c>
      <x:c r="D300" s="14" t="str">
        <x:v>Exploratory_Checking_611_Positional_Surrogate.xlsx</x:v>
      </x:c>
      <x:c r="E300" s="14"/>
      <x:c r="F300" s="14"/>
      <x:c r="G300" s="14"/>
      <x:c r="H300" s="14"/>
      <x:c r="I300" s="14"/>
      <x:c r="J300" s="14"/>
      <x:c r="K300" s="14" t="str">
        <x:v>NEEDS_WINDOW_BINDING</x:v>
      </x:c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4"/>
      <x:c r="AB300" s="14"/>
      <x:c r="AC300" s="14"/>
      <x:c r="AD300" s="14"/>
      <x:c r="AE300" s="14"/>
      <x:c r="AF300" s="14"/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/>
      <x:c r="BC300" s="14"/>
      <x:c r="BD300" s="14"/>
      <x:c r="BE300" s="14"/>
      <x:c r="BF300" s="14"/>
      <x:c r="BG300" s="14"/>
      <x:c r="BH300" s="14"/>
      <x:c r="BI300" s="14"/>
      <x:c r="BJ300" s="14"/>
      <x:c r="BK300" s="14"/>
      <x:c r="BL300" s="14"/>
      <x:c r="BM300" s="14"/>
      <x:c r="BN300" s="14"/>
      <x:c r="BO300" s="14"/>
      <x:c r="BP300" s="14"/>
      <x:c r="BQ300" s="14"/>
      <x:c r="BR300" s="14"/>
      <x:c r="BS300" s="14"/>
      <x:c r="BT300" s="14"/>
      <x:c r="BU300" s="14"/>
      <x:c r="BV300" s="14"/>
      <x:c r="BW300" s="14"/>
      <x:c r="BX300" s="14"/>
      <x:c r="BY300" s="14"/>
      <x:c r="BZ300" s="14"/>
      <x:c r="CA300" s="14"/>
      <x:c r="CB300" s="14"/>
      <x:c r="CC300" s="14"/>
      <x:c r="CD300" s="14"/>
      <x:c r="CE300" s="14"/>
    </x:row>
    <x:row r="301">
      <x:c r="A301" s="14" t="n">
        <x:v>300</x:v>
      </x:c>
      <x:c r="B301" s="14"/>
      <x:c r="C301" s="14" t="str">
        <x:v>CHECKING_EVENT</x:v>
      </x:c>
      <x:c r="D301" s="14" t="str">
        <x:v>Exploratory_Checking_611_Positional_Surrogate.xlsx</x:v>
      </x:c>
      <x:c r="E301" s="14"/>
      <x:c r="F301" s="14"/>
      <x:c r="G301" s="14"/>
      <x:c r="H301" s="14"/>
      <x:c r="I301" s="14"/>
      <x:c r="J301" s="14"/>
      <x:c r="K301" s="14" t="str">
        <x:v>NEEDS_WINDOW_BINDING</x:v>
      </x:c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/>
      <x:c r="BC301" s="14"/>
      <x:c r="BD301" s="14"/>
      <x:c r="BE301" s="14"/>
      <x:c r="BF301" s="14"/>
      <x:c r="BG301" s="14"/>
      <x:c r="BH301" s="14"/>
      <x:c r="BI301" s="14"/>
      <x:c r="BJ301" s="14"/>
      <x:c r="BK301" s="14"/>
      <x:c r="BL301" s="14"/>
      <x:c r="BM301" s="14"/>
      <x:c r="BN301" s="14"/>
      <x:c r="BO301" s="14"/>
      <x:c r="BP301" s="14"/>
      <x:c r="BQ301" s="14"/>
      <x:c r="BR301" s="14"/>
      <x:c r="BS301" s="14"/>
      <x:c r="BT301" s="14"/>
      <x:c r="BU301" s="14"/>
      <x:c r="BV301" s="14"/>
      <x:c r="BW301" s="14"/>
      <x:c r="BX301" s="14"/>
      <x:c r="BY301" s="14"/>
      <x:c r="BZ301" s="14"/>
      <x:c r="CA301" s="14"/>
      <x:c r="CB301" s="14"/>
      <x:c r="CC301" s="14"/>
      <x:c r="CD301" s="14"/>
      <x:c r="CE301" s="14"/>
    </x:row>
    <x:row r="302">
      <x:c r="A302" s="14" t="n">
        <x:v>301</x:v>
      </x:c>
      <x:c r="B302" s="14"/>
      <x:c r="C302" s="14" t="str">
        <x:v>CHECKING_EVENT</x:v>
      </x:c>
      <x:c r="D302" s="14" t="str">
        <x:v>Exploratory_Checking_611_Positional_Surrogate.xlsx</x:v>
      </x:c>
      <x:c r="E302" s="14"/>
      <x:c r="F302" s="14"/>
      <x:c r="G302" s="14"/>
      <x:c r="H302" s="14"/>
      <x:c r="I302" s="14"/>
      <x:c r="J302" s="14"/>
      <x:c r="K302" s="14" t="str">
        <x:v>NEEDS_WINDOW_BINDING</x:v>
      </x:c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  <x:c r="AB302" s="14"/>
      <x:c r="AC302" s="14"/>
      <x:c r="AD302" s="14"/>
      <x:c r="AE302" s="14"/>
      <x:c r="AF302" s="14"/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/>
      <x:c r="BC302" s="14"/>
      <x:c r="BD302" s="14"/>
      <x:c r="BE302" s="14"/>
      <x:c r="BF302" s="14"/>
      <x:c r="BG302" s="14"/>
      <x:c r="BH302" s="14"/>
      <x:c r="BI302" s="14"/>
      <x:c r="BJ302" s="14"/>
      <x:c r="BK302" s="14"/>
      <x:c r="BL302" s="14"/>
      <x:c r="BM302" s="14"/>
      <x:c r="BN302" s="14"/>
      <x:c r="BO302" s="14"/>
      <x:c r="BP302" s="14"/>
      <x:c r="BQ302" s="14"/>
      <x:c r="BR302" s="14"/>
      <x:c r="BS302" s="14"/>
      <x:c r="BT302" s="14"/>
      <x:c r="BU302" s="14"/>
      <x:c r="BV302" s="14"/>
      <x:c r="BW302" s="14"/>
      <x:c r="BX302" s="14"/>
      <x:c r="BY302" s="14"/>
      <x:c r="BZ302" s="14"/>
      <x:c r="CA302" s="14"/>
      <x:c r="CB302" s="14"/>
      <x:c r="CC302" s="14"/>
      <x:c r="CD302" s="14"/>
      <x:c r="CE302" s="14"/>
    </x:row>
    <x:row r="303">
      <x:c r="A303" s="14" t="n">
        <x:v>302</x:v>
      </x:c>
      <x:c r="B303" s="14"/>
      <x:c r="C303" s="14" t="str">
        <x:v>CHECKING_EVENT</x:v>
      </x:c>
      <x:c r="D303" s="14" t="str">
        <x:v>Exploratory_Checking_611_Positional_Surrogate.xlsx</x:v>
      </x:c>
      <x:c r="E303" s="14"/>
      <x:c r="F303" s="14"/>
      <x:c r="G303" s="14"/>
      <x:c r="H303" s="14"/>
      <x:c r="I303" s="14"/>
      <x:c r="J303" s="14"/>
      <x:c r="K303" s="14" t="str">
        <x:v>NEEDS_WINDOW_BINDING</x:v>
      </x:c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  <x:c r="AA303" s="14"/>
      <x:c r="AB303" s="14"/>
      <x:c r="AC303" s="14"/>
      <x:c r="AD303" s="14"/>
      <x:c r="AE303" s="14"/>
      <x:c r="AF303" s="14"/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/>
      <x:c r="BC303" s="14"/>
      <x:c r="BD303" s="14"/>
      <x:c r="BE303" s="14"/>
      <x:c r="BF303" s="14"/>
      <x:c r="BG303" s="14"/>
      <x:c r="BH303" s="14"/>
      <x:c r="BI303" s="14"/>
      <x:c r="BJ303" s="14"/>
      <x:c r="BK303" s="14"/>
      <x:c r="BL303" s="14"/>
      <x:c r="BM303" s="14"/>
      <x:c r="BN303" s="14"/>
      <x:c r="BO303" s="14"/>
      <x:c r="BP303" s="14"/>
      <x:c r="BQ303" s="14"/>
      <x:c r="BR303" s="14"/>
      <x:c r="BS303" s="14"/>
      <x:c r="BT303" s="14"/>
      <x:c r="BU303" s="14"/>
      <x:c r="BV303" s="14"/>
      <x:c r="BW303" s="14"/>
      <x:c r="BX303" s="14"/>
      <x:c r="BY303" s="14"/>
      <x:c r="BZ303" s="14"/>
      <x:c r="CA303" s="14"/>
      <x:c r="CB303" s="14"/>
      <x:c r="CC303" s="14"/>
      <x:c r="CD303" s="14"/>
      <x:c r="CE303" s="14"/>
    </x:row>
    <x:row r="304">
      <x:c r="A304" s="14" t="n">
        <x:v>303</x:v>
      </x:c>
      <x:c r="B304" s="14"/>
      <x:c r="C304" s="14" t="str">
        <x:v>CHECKING_EVENT</x:v>
      </x:c>
      <x:c r="D304" s="14" t="str">
        <x:v>Exploratory_Checking_611_Positional_Surrogate.xlsx</x:v>
      </x:c>
      <x:c r="E304" s="14"/>
      <x:c r="F304" s="14"/>
      <x:c r="G304" s="14"/>
      <x:c r="H304" s="14"/>
      <x:c r="I304" s="14"/>
      <x:c r="J304" s="14"/>
      <x:c r="K304" s="14" t="str">
        <x:v>NEEDS_WINDOW_BINDING</x:v>
      </x:c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  <x:c r="AA304" s="14"/>
      <x:c r="AB304" s="14"/>
      <x:c r="AC304" s="14"/>
      <x:c r="AD304" s="14"/>
      <x:c r="AE304" s="14"/>
      <x:c r="AF304" s="14"/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/>
      <x:c r="BC304" s="14"/>
      <x:c r="BD304" s="14"/>
      <x:c r="BE304" s="14"/>
      <x:c r="BF304" s="14"/>
      <x:c r="BG304" s="14"/>
      <x:c r="BH304" s="14"/>
      <x:c r="BI304" s="14"/>
      <x:c r="BJ304" s="14"/>
      <x:c r="BK304" s="14"/>
      <x:c r="BL304" s="14"/>
      <x:c r="BM304" s="14"/>
      <x:c r="BN304" s="14"/>
      <x:c r="BO304" s="14"/>
      <x:c r="BP304" s="14"/>
      <x:c r="BQ304" s="14"/>
      <x:c r="BR304" s="14"/>
      <x:c r="BS304" s="14"/>
      <x:c r="BT304" s="14"/>
      <x:c r="BU304" s="14"/>
      <x:c r="BV304" s="14"/>
      <x:c r="BW304" s="14"/>
      <x:c r="BX304" s="14"/>
      <x:c r="BY304" s="14"/>
      <x:c r="BZ304" s="14"/>
      <x:c r="CA304" s="14"/>
      <x:c r="CB304" s="14"/>
      <x:c r="CC304" s="14"/>
      <x:c r="CD304" s="14"/>
      <x:c r="CE304" s="14"/>
    </x:row>
    <x:row r="305">
      <x:c r="A305" s="14" t="n">
        <x:v>304</x:v>
      </x:c>
      <x:c r="B305" s="14"/>
      <x:c r="C305" s="14" t="str">
        <x:v>CHECKING_EVENT</x:v>
      </x:c>
      <x:c r="D305" s="14" t="str">
        <x:v>Exploratory_Checking_611_Positional_Surrogate.xlsx</x:v>
      </x:c>
      <x:c r="E305" s="14"/>
      <x:c r="F305" s="14"/>
      <x:c r="G305" s="14"/>
      <x:c r="H305" s="14"/>
      <x:c r="I305" s="14"/>
      <x:c r="J305" s="14"/>
      <x:c r="K305" s="14" t="str">
        <x:v>NEEDS_WINDOW_BINDING</x:v>
      </x:c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/>
      <x:c r="BC305" s="14"/>
      <x:c r="BD305" s="14"/>
      <x:c r="BE305" s="14"/>
      <x:c r="BF305" s="14"/>
      <x:c r="BG305" s="14"/>
      <x:c r="BH305" s="14"/>
      <x:c r="BI305" s="14"/>
      <x:c r="BJ305" s="14"/>
      <x:c r="BK305" s="14"/>
      <x:c r="BL305" s="14"/>
      <x:c r="BM305" s="14"/>
      <x:c r="BN305" s="14"/>
      <x:c r="BO305" s="14"/>
      <x:c r="BP305" s="14"/>
      <x:c r="BQ305" s="14"/>
      <x:c r="BR305" s="14"/>
      <x:c r="BS305" s="14"/>
      <x:c r="BT305" s="14"/>
      <x:c r="BU305" s="14"/>
      <x:c r="BV305" s="14"/>
      <x:c r="BW305" s="14"/>
      <x:c r="BX305" s="14"/>
      <x:c r="BY305" s="14"/>
      <x:c r="BZ305" s="14"/>
      <x:c r="CA305" s="14"/>
      <x:c r="CB305" s="14"/>
      <x:c r="CC305" s="14"/>
      <x:c r="CD305" s="14"/>
      <x:c r="CE305" s="14"/>
    </x:row>
    <x:row r="306">
      <x:c r="A306" s="14" t="n">
        <x:v>305</x:v>
      </x:c>
      <x:c r="B306" s="14"/>
      <x:c r="C306" s="14" t="str">
        <x:v>CHECKING_EVENT</x:v>
      </x:c>
      <x:c r="D306" s="14" t="str">
        <x:v>Exploratory_Checking_611_Positional_Surrogate.xlsx</x:v>
      </x:c>
      <x:c r="E306" s="14"/>
      <x:c r="F306" s="14"/>
      <x:c r="G306" s="14"/>
      <x:c r="H306" s="14"/>
      <x:c r="I306" s="14"/>
      <x:c r="J306" s="14"/>
      <x:c r="K306" s="14" t="str">
        <x:v>NEEDS_WINDOW_BINDING</x:v>
      </x:c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  <x:c r="AA306" s="14"/>
      <x:c r="AB306" s="14"/>
      <x:c r="AC306" s="14"/>
      <x:c r="AD306" s="14"/>
      <x:c r="AE306" s="14"/>
      <x:c r="AF306" s="14"/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/>
      <x:c r="BC306" s="14"/>
      <x:c r="BD306" s="14"/>
      <x:c r="BE306" s="14"/>
      <x:c r="BF306" s="14"/>
      <x:c r="BG306" s="14"/>
      <x:c r="BH306" s="14"/>
      <x:c r="BI306" s="14"/>
      <x:c r="BJ306" s="14"/>
      <x:c r="BK306" s="14"/>
      <x:c r="BL306" s="14"/>
      <x:c r="BM306" s="14"/>
      <x:c r="BN306" s="14"/>
      <x:c r="BO306" s="14"/>
      <x:c r="BP306" s="14"/>
      <x:c r="BQ306" s="14"/>
      <x:c r="BR306" s="14"/>
      <x:c r="BS306" s="14"/>
      <x:c r="BT306" s="14"/>
      <x:c r="BU306" s="14"/>
      <x:c r="BV306" s="14"/>
      <x:c r="BW306" s="14"/>
      <x:c r="BX306" s="14"/>
      <x:c r="BY306" s="14"/>
      <x:c r="BZ306" s="14"/>
      <x:c r="CA306" s="14"/>
      <x:c r="CB306" s="14"/>
      <x:c r="CC306" s="14"/>
      <x:c r="CD306" s="14"/>
      <x:c r="CE306" s="14"/>
    </x:row>
    <x:row r="307">
      <x:c r="A307" s="14" t="n">
        <x:v>306</x:v>
      </x:c>
      <x:c r="B307" s="14"/>
      <x:c r="C307" s="14" t="str">
        <x:v>CHECKING_EVENT</x:v>
      </x:c>
      <x:c r="D307" s="14" t="str">
        <x:v>Exploratory_Checking_611_Positional_Surrogate.xlsx</x:v>
      </x:c>
      <x:c r="E307" s="14"/>
      <x:c r="F307" s="14"/>
      <x:c r="G307" s="14"/>
      <x:c r="H307" s="14"/>
      <x:c r="I307" s="14"/>
      <x:c r="J307" s="14"/>
      <x:c r="K307" s="14" t="str">
        <x:v>NEEDS_WINDOW_BINDING</x:v>
      </x:c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  <x:c r="AA307" s="14"/>
      <x:c r="AB307" s="14"/>
      <x:c r="AC307" s="14"/>
      <x:c r="AD307" s="14"/>
      <x:c r="AE307" s="14"/>
      <x:c r="AF307" s="14"/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/>
      <x:c r="BC307" s="14"/>
      <x:c r="BD307" s="14"/>
      <x:c r="BE307" s="14"/>
      <x:c r="BF307" s="14"/>
      <x:c r="BG307" s="14"/>
      <x:c r="BH307" s="14"/>
      <x:c r="BI307" s="14"/>
      <x:c r="BJ307" s="14"/>
      <x:c r="BK307" s="14"/>
      <x:c r="BL307" s="14"/>
      <x:c r="BM307" s="14"/>
      <x:c r="BN307" s="14"/>
      <x:c r="BO307" s="14"/>
      <x:c r="BP307" s="14"/>
      <x:c r="BQ307" s="14"/>
      <x:c r="BR307" s="14"/>
      <x:c r="BS307" s="14"/>
      <x:c r="BT307" s="14"/>
      <x:c r="BU307" s="14"/>
      <x:c r="BV307" s="14"/>
      <x:c r="BW307" s="14"/>
      <x:c r="BX307" s="14"/>
      <x:c r="BY307" s="14"/>
      <x:c r="BZ307" s="14"/>
      <x:c r="CA307" s="14"/>
      <x:c r="CB307" s="14"/>
      <x:c r="CC307" s="14"/>
      <x:c r="CD307" s="14"/>
      <x:c r="CE307" s="14"/>
    </x:row>
    <x:row r="308">
      <x:c r="A308" s="14" t="n">
        <x:v>307</x:v>
      </x:c>
      <x:c r="B308" s="14"/>
      <x:c r="C308" s="14" t="str">
        <x:v>CHECKING_EVENT</x:v>
      </x:c>
      <x:c r="D308" s="14" t="str">
        <x:v>Exploratory_Checking_611_Positional_Surrogate.xlsx</x:v>
      </x:c>
      <x:c r="E308" s="14"/>
      <x:c r="F308" s="14"/>
      <x:c r="G308" s="14"/>
      <x:c r="H308" s="14"/>
      <x:c r="I308" s="14"/>
      <x:c r="J308" s="14"/>
      <x:c r="K308" s="14" t="str">
        <x:v>NEEDS_WINDOW_BINDING</x:v>
      </x:c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  <x:c r="AA308" s="14"/>
      <x:c r="AB308" s="14"/>
      <x:c r="AC308" s="14"/>
      <x:c r="AD308" s="14"/>
      <x:c r="AE308" s="14"/>
      <x:c r="AF308" s="14"/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/>
      <x:c r="BC308" s="14"/>
      <x:c r="BD308" s="14"/>
      <x:c r="BE308" s="14"/>
      <x:c r="BF308" s="14"/>
      <x:c r="BG308" s="14"/>
      <x:c r="BH308" s="14"/>
      <x:c r="BI308" s="14"/>
      <x:c r="BJ308" s="14"/>
      <x:c r="BK308" s="14"/>
      <x:c r="BL308" s="14"/>
      <x:c r="BM308" s="14"/>
      <x:c r="BN308" s="14"/>
      <x:c r="BO308" s="14"/>
      <x:c r="BP308" s="14"/>
      <x:c r="BQ308" s="14"/>
      <x:c r="BR308" s="14"/>
      <x:c r="BS308" s="14"/>
      <x:c r="BT308" s="14"/>
      <x:c r="BU308" s="14"/>
      <x:c r="BV308" s="14"/>
      <x:c r="BW308" s="14"/>
      <x:c r="BX308" s="14"/>
      <x:c r="BY308" s="14"/>
      <x:c r="BZ308" s="14"/>
      <x:c r="CA308" s="14"/>
      <x:c r="CB308" s="14"/>
      <x:c r="CC308" s="14"/>
      <x:c r="CD308" s="14"/>
      <x:c r="CE308" s="14"/>
    </x:row>
    <x:row r="309">
      <x:c r="A309" s="14" t="n">
        <x:v>308</x:v>
      </x:c>
      <x:c r="B309" s="14"/>
      <x:c r="C309" s="14" t="str">
        <x:v>CHECKING_EVENT</x:v>
      </x:c>
      <x:c r="D309" s="14" t="str">
        <x:v>Exploratory_Checking_611_Positional_Surrogate.xlsx</x:v>
      </x:c>
      <x:c r="E309" s="14"/>
      <x:c r="F309" s="14"/>
      <x:c r="G309" s="14"/>
      <x:c r="H309" s="14"/>
      <x:c r="I309" s="14"/>
      <x:c r="J309" s="14"/>
      <x:c r="K309" s="14" t="str">
        <x:v>NEEDS_WINDOW_BINDING</x:v>
      </x:c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  <x:c r="AA309" s="14"/>
      <x:c r="AB309" s="14"/>
      <x:c r="AC309" s="14"/>
      <x:c r="AD309" s="14"/>
      <x:c r="AE309" s="14"/>
      <x:c r="AF309" s="14"/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/>
      <x:c r="BC309" s="14"/>
      <x:c r="BD309" s="14"/>
      <x:c r="BE309" s="14"/>
      <x:c r="BF309" s="14"/>
      <x:c r="BG309" s="14"/>
      <x:c r="BH309" s="14"/>
      <x:c r="BI309" s="14"/>
      <x:c r="BJ309" s="14"/>
      <x:c r="BK309" s="14"/>
      <x:c r="BL309" s="14"/>
      <x:c r="BM309" s="14"/>
      <x:c r="BN309" s="14"/>
      <x:c r="BO309" s="14"/>
      <x:c r="BP309" s="14"/>
      <x:c r="BQ309" s="14"/>
      <x:c r="BR309" s="14"/>
      <x:c r="BS309" s="14"/>
      <x:c r="BT309" s="14"/>
      <x:c r="BU309" s="14"/>
      <x:c r="BV309" s="14"/>
      <x:c r="BW309" s="14"/>
      <x:c r="BX309" s="14"/>
      <x:c r="BY309" s="14"/>
      <x:c r="BZ309" s="14"/>
      <x:c r="CA309" s="14"/>
      <x:c r="CB309" s="14"/>
      <x:c r="CC309" s="14"/>
      <x:c r="CD309" s="14"/>
      <x:c r="CE309" s="14"/>
    </x:row>
    <x:row r="310">
      <x:c r="A310" s="14" t="n">
        <x:v>309</x:v>
      </x:c>
      <x:c r="B310" s="14"/>
      <x:c r="C310" s="14" t="str">
        <x:v>CHECKING_EVENT</x:v>
      </x:c>
      <x:c r="D310" s="14" t="str">
        <x:v>Exploratory_Checking_611_Positional_Surrogate.xlsx</x:v>
      </x:c>
      <x:c r="E310" s="14"/>
      <x:c r="F310" s="14"/>
      <x:c r="G310" s="14"/>
      <x:c r="H310" s="14"/>
      <x:c r="I310" s="14"/>
      <x:c r="J310" s="14"/>
      <x:c r="K310" s="14" t="str">
        <x:v>NEEDS_WINDOW_BINDING</x:v>
      </x:c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  <x:c r="AB310" s="14"/>
      <x:c r="AC310" s="14"/>
      <x:c r="AD310" s="14"/>
      <x:c r="AE310" s="14"/>
      <x:c r="AF310" s="14"/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/>
      <x:c r="BC310" s="14"/>
      <x:c r="BD310" s="14"/>
      <x:c r="BE310" s="14"/>
      <x:c r="BF310" s="14"/>
      <x:c r="BG310" s="14"/>
      <x:c r="BH310" s="14"/>
      <x:c r="BI310" s="14"/>
      <x:c r="BJ310" s="14"/>
      <x:c r="BK310" s="14"/>
      <x:c r="BL310" s="14"/>
      <x:c r="BM310" s="14"/>
      <x:c r="BN310" s="14"/>
      <x:c r="BO310" s="14"/>
      <x:c r="BP310" s="14"/>
      <x:c r="BQ310" s="14"/>
      <x:c r="BR310" s="14"/>
      <x:c r="BS310" s="14"/>
      <x:c r="BT310" s="14"/>
      <x:c r="BU310" s="14"/>
      <x:c r="BV310" s="14"/>
      <x:c r="BW310" s="14"/>
      <x:c r="BX310" s="14"/>
      <x:c r="BY310" s="14"/>
      <x:c r="BZ310" s="14"/>
      <x:c r="CA310" s="14"/>
      <x:c r="CB310" s="14"/>
      <x:c r="CC310" s="14"/>
      <x:c r="CD310" s="14"/>
      <x:c r="CE310" s="14"/>
    </x:row>
    <x:row r="311">
      <x:c r="A311" s="14" t="n">
        <x:v>310</x:v>
      </x:c>
      <x:c r="B311" s="14"/>
      <x:c r="C311" s="14" t="str">
        <x:v>CHECKING_EVENT</x:v>
      </x:c>
      <x:c r="D311" s="14" t="str">
        <x:v>Exploratory_Checking_611_Positional_Surrogate.xlsx</x:v>
      </x:c>
      <x:c r="E311" s="14"/>
      <x:c r="F311" s="14"/>
      <x:c r="G311" s="14"/>
      <x:c r="H311" s="14"/>
      <x:c r="I311" s="14"/>
      <x:c r="J311" s="14"/>
      <x:c r="K311" s="14" t="str">
        <x:v>NEEDS_WINDOW_BINDING</x:v>
      </x:c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  <x:c r="AA311" s="14"/>
      <x:c r="AB311" s="14"/>
      <x:c r="AC311" s="14"/>
      <x:c r="AD311" s="14"/>
      <x:c r="AE311" s="14"/>
      <x:c r="AF311" s="14"/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/>
      <x:c r="BC311" s="14"/>
      <x:c r="BD311" s="14"/>
      <x:c r="BE311" s="14"/>
      <x:c r="BF311" s="14"/>
      <x:c r="BG311" s="14"/>
      <x:c r="BH311" s="14"/>
      <x:c r="BI311" s="14"/>
      <x:c r="BJ311" s="14"/>
      <x:c r="BK311" s="14"/>
      <x:c r="BL311" s="14"/>
      <x:c r="BM311" s="14"/>
      <x:c r="BN311" s="14"/>
      <x:c r="BO311" s="14"/>
      <x:c r="BP311" s="14"/>
      <x:c r="BQ311" s="14"/>
      <x:c r="BR311" s="14"/>
      <x:c r="BS311" s="14"/>
      <x:c r="BT311" s="14"/>
      <x:c r="BU311" s="14"/>
      <x:c r="BV311" s="14"/>
      <x:c r="BW311" s="14"/>
      <x:c r="BX311" s="14"/>
      <x:c r="BY311" s="14"/>
      <x:c r="BZ311" s="14"/>
      <x:c r="CA311" s="14"/>
      <x:c r="CB311" s="14"/>
      <x:c r="CC311" s="14"/>
      <x:c r="CD311" s="14"/>
      <x:c r="CE311" s="14"/>
    </x:row>
    <x:row r="312">
      <x:c r="A312" s="14" t="n">
        <x:v>311</x:v>
      </x:c>
      <x:c r="B312" s="14"/>
      <x:c r="C312" s="14" t="str">
        <x:v>CHECKING_EVENT</x:v>
      </x:c>
      <x:c r="D312" s="14" t="str">
        <x:v>Exploratory_Checking_611_Positional_Surrogate.xlsx</x:v>
      </x:c>
      <x:c r="E312" s="14"/>
      <x:c r="F312" s="14"/>
      <x:c r="G312" s="14"/>
      <x:c r="H312" s="14"/>
      <x:c r="I312" s="14"/>
      <x:c r="J312" s="14"/>
      <x:c r="K312" s="14" t="str">
        <x:v>NEEDS_WINDOW_BINDING</x:v>
      </x:c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  <x:c r="AB312" s="14"/>
      <x:c r="AC312" s="14"/>
      <x:c r="AD312" s="14"/>
      <x:c r="AE312" s="14"/>
      <x:c r="AF312" s="14"/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/>
      <x:c r="BC312" s="14"/>
      <x:c r="BD312" s="14"/>
      <x:c r="BE312" s="14"/>
      <x:c r="BF312" s="14"/>
      <x:c r="BG312" s="14"/>
      <x:c r="BH312" s="14"/>
      <x:c r="BI312" s="14"/>
      <x:c r="BJ312" s="14"/>
      <x:c r="BK312" s="14"/>
      <x:c r="BL312" s="14"/>
      <x:c r="BM312" s="14"/>
      <x:c r="BN312" s="14"/>
      <x:c r="BO312" s="14"/>
      <x:c r="BP312" s="14"/>
      <x:c r="BQ312" s="14"/>
      <x:c r="BR312" s="14"/>
      <x:c r="BS312" s="14"/>
      <x:c r="BT312" s="14"/>
      <x:c r="BU312" s="14"/>
      <x:c r="BV312" s="14"/>
      <x:c r="BW312" s="14"/>
      <x:c r="BX312" s="14"/>
      <x:c r="BY312" s="14"/>
      <x:c r="BZ312" s="14"/>
      <x:c r="CA312" s="14"/>
      <x:c r="CB312" s="14"/>
      <x:c r="CC312" s="14"/>
      <x:c r="CD312" s="14"/>
      <x:c r="CE312" s="14"/>
    </x:row>
    <x:row r="313">
      <x:c r="A313" s="14" t="n">
        <x:v>312</x:v>
      </x:c>
      <x:c r="B313" s="14"/>
      <x:c r="C313" s="14" t="str">
        <x:v>CHECKING_EVENT</x:v>
      </x:c>
      <x:c r="D313" s="14" t="str">
        <x:v>Exploratory_Checking_611_Positional_Surrogate.xlsx</x:v>
      </x:c>
      <x:c r="E313" s="14"/>
      <x:c r="F313" s="14"/>
      <x:c r="G313" s="14"/>
      <x:c r="H313" s="14"/>
      <x:c r="I313" s="14"/>
      <x:c r="J313" s="14"/>
      <x:c r="K313" s="14" t="str">
        <x:v>NEEDS_WINDOW_BINDING</x:v>
      </x:c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  <x:c r="AA313" s="14"/>
      <x:c r="AB313" s="14"/>
      <x:c r="AC313" s="14"/>
      <x:c r="AD313" s="14"/>
      <x:c r="AE313" s="14"/>
      <x:c r="AF313" s="14"/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/>
      <x:c r="BC313" s="14"/>
      <x:c r="BD313" s="14"/>
      <x:c r="BE313" s="14"/>
      <x:c r="BF313" s="14"/>
      <x:c r="BG313" s="14"/>
      <x:c r="BH313" s="14"/>
      <x:c r="BI313" s="14"/>
      <x:c r="BJ313" s="14"/>
      <x:c r="BK313" s="14"/>
      <x:c r="BL313" s="14"/>
      <x:c r="BM313" s="14"/>
      <x:c r="BN313" s="14"/>
      <x:c r="BO313" s="14"/>
      <x:c r="BP313" s="14"/>
      <x:c r="BQ313" s="14"/>
      <x:c r="BR313" s="14"/>
      <x:c r="BS313" s="14"/>
      <x:c r="BT313" s="14"/>
      <x:c r="BU313" s="14"/>
      <x:c r="BV313" s="14"/>
      <x:c r="BW313" s="14"/>
      <x:c r="BX313" s="14"/>
      <x:c r="BY313" s="14"/>
      <x:c r="BZ313" s="14"/>
      <x:c r="CA313" s="14"/>
      <x:c r="CB313" s="14"/>
      <x:c r="CC313" s="14"/>
      <x:c r="CD313" s="14"/>
      <x:c r="CE313" s="14"/>
    </x:row>
    <x:row r="314">
      <x:c r="A314" s="14" t="n">
        <x:v>313</x:v>
      </x:c>
      <x:c r="B314" s="14"/>
      <x:c r="C314" s="14" t="str">
        <x:v>CHECKING_EVENT</x:v>
      </x:c>
      <x:c r="D314" s="14" t="str">
        <x:v>Exploratory_Checking_611_Positional_Surrogate.xlsx</x:v>
      </x:c>
      <x:c r="E314" s="14"/>
      <x:c r="F314" s="14"/>
      <x:c r="G314" s="14"/>
      <x:c r="H314" s="14"/>
      <x:c r="I314" s="14"/>
      <x:c r="J314" s="14"/>
      <x:c r="K314" s="14" t="str">
        <x:v>NEEDS_WINDOW_BINDING</x:v>
      </x:c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4"/>
      <x:c r="AB314" s="14"/>
      <x:c r="AC314" s="14"/>
      <x:c r="AD314" s="14"/>
      <x:c r="AE314" s="14"/>
      <x:c r="AF314" s="14"/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/>
      <x:c r="BC314" s="14"/>
      <x:c r="BD314" s="14"/>
      <x:c r="BE314" s="14"/>
      <x:c r="BF314" s="14"/>
      <x:c r="BG314" s="14"/>
      <x:c r="BH314" s="14"/>
      <x:c r="BI314" s="14"/>
      <x:c r="BJ314" s="14"/>
      <x:c r="BK314" s="14"/>
      <x:c r="BL314" s="14"/>
      <x:c r="BM314" s="14"/>
      <x:c r="BN314" s="14"/>
      <x:c r="BO314" s="14"/>
      <x:c r="BP314" s="14"/>
      <x:c r="BQ314" s="14"/>
      <x:c r="BR314" s="14"/>
      <x:c r="BS314" s="14"/>
      <x:c r="BT314" s="14"/>
      <x:c r="BU314" s="14"/>
      <x:c r="BV314" s="14"/>
      <x:c r="BW314" s="14"/>
      <x:c r="BX314" s="14"/>
      <x:c r="BY314" s="14"/>
      <x:c r="BZ314" s="14"/>
      <x:c r="CA314" s="14"/>
      <x:c r="CB314" s="14"/>
      <x:c r="CC314" s="14"/>
      <x:c r="CD314" s="14"/>
      <x:c r="CE314" s="14"/>
    </x:row>
    <x:row r="315">
      <x:c r="A315" s="14" t="n">
        <x:v>314</x:v>
      </x:c>
      <x:c r="B315" s="14"/>
      <x:c r="C315" s="14" t="str">
        <x:v>CHECKING_EVENT</x:v>
      </x:c>
      <x:c r="D315" s="14" t="str">
        <x:v>Exploratory_Checking_611_Positional_Surrogate.xlsx</x:v>
      </x:c>
      <x:c r="E315" s="14"/>
      <x:c r="F315" s="14"/>
      <x:c r="G315" s="14"/>
      <x:c r="H315" s="14"/>
      <x:c r="I315" s="14"/>
      <x:c r="J315" s="14"/>
      <x:c r="K315" s="14" t="str">
        <x:v>NEEDS_WINDOW_BINDING</x:v>
      </x:c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  <x:c r="AA315" s="14"/>
      <x:c r="AB315" s="14"/>
      <x:c r="AC315" s="14"/>
      <x:c r="AD315" s="14"/>
      <x:c r="AE315" s="14"/>
      <x:c r="AF315" s="14"/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/>
      <x:c r="BC315" s="14"/>
      <x:c r="BD315" s="14"/>
      <x:c r="BE315" s="14"/>
      <x:c r="BF315" s="14"/>
      <x:c r="BG315" s="14"/>
      <x:c r="BH315" s="14"/>
      <x:c r="BI315" s="14"/>
      <x:c r="BJ315" s="14"/>
      <x:c r="BK315" s="14"/>
      <x:c r="BL315" s="14"/>
      <x:c r="BM315" s="14"/>
      <x:c r="BN315" s="14"/>
      <x:c r="BO315" s="14"/>
      <x:c r="BP315" s="14"/>
      <x:c r="BQ315" s="14"/>
      <x:c r="BR315" s="14"/>
      <x:c r="BS315" s="14"/>
      <x:c r="BT315" s="14"/>
      <x:c r="BU315" s="14"/>
      <x:c r="BV315" s="14"/>
      <x:c r="BW315" s="14"/>
      <x:c r="BX315" s="14"/>
      <x:c r="BY315" s="14"/>
      <x:c r="BZ315" s="14"/>
      <x:c r="CA315" s="14"/>
      <x:c r="CB315" s="14"/>
      <x:c r="CC315" s="14"/>
      <x:c r="CD315" s="14"/>
      <x:c r="CE315" s="14"/>
    </x:row>
    <x:row r="316">
      <x:c r="A316" s="14" t="n">
        <x:v>315</x:v>
      </x:c>
      <x:c r="B316" s="14"/>
      <x:c r="C316" s="14" t="str">
        <x:v>CHECKING_EVENT</x:v>
      </x:c>
      <x:c r="D316" s="14" t="str">
        <x:v>Exploratory_Checking_611_Positional_Surrogate.xlsx</x:v>
      </x:c>
      <x:c r="E316" s="14"/>
      <x:c r="F316" s="14"/>
      <x:c r="G316" s="14"/>
      <x:c r="H316" s="14"/>
      <x:c r="I316" s="14"/>
      <x:c r="J316" s="14"/>
      <x:c r="K316" s="14" t="str">
        <x:v>NEEDS_WINDOW_BINDING</x:v>
      </x:c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  <x:c r="AB316" s="14"/>
      <x:c r="AC316" s="14"/>
      <x:c r="AD316" s="14"/>
      <x:c r="AE316" s="14"/>
      <x:c r="AF316" s="14"/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/>
      <x:c r="BC316" s="14"/>
      <x:c r="BD316" s="14"/>
      <x:c r="BE316" s="14"/>
      <x:c r="BF316" s="14"/>
      <x:c r="BG316" s="14"/>
      <x:c r="BH316" s="14"/>
      <x:c r="BI316" s="14"/>
      <x:c r="BJ316" s="14"/>
      <x:c r="BK316" s="14"/>
      <x:c r="BL316" s="14"/>
      <x:c r="BM316" s="14"/>
      <x:c r="BN316" s="14"/>
      <x:c r="BO316" s="14"/>
      <x:c r="BP316" s="14"/>
      <x:c r="BQ316" s="14"/>
      <x:c r="BR316" s="14"/>
      <x:c r="BS316" s="14"/>
      <x:c r="BT316" s="14"/>
      <x:c r="BU316" s="14"/>
      <x:c r="BV316" s="14"/>
      <x:c r="BW316" s="14"/>
      <x:c r="BX316" s="14"/>
      <x:c r="BY316" s="14"/>
      <x:c r="BZ316" s="14"/>
      <x:c r="CA316" s="14"/>
      <x:c r="CB316" s="14"/>
      <x:c r="CC316" s="14"/>
      <x:c r="CD316" s="14"/>
      <x:c r="CE316" s="14"/>
    </x:row>
    <x:row r="317">
      <x:c r="A317" s="14" t="n">
        <x:v>316</x:v>
      </x:c>
      <x:c r="B317" s="14"/>
      <x:c r="C317" s="14" t="str">
        <x:v>CHECKING_EVENT</x:v>
      </x:c>
      <x:c r="D317" s="14" t="str">
        <x:v>Exploratory_Checking_611_Positional_Surrogate.xlsx</x:v>
      </x:c>
      <x:c r="E317" s="14"/>
      <x:c r="F317" s="14"/>
      <x:c r="G317" s="14"/>
      <x:c r="H317" s="14"/>
      <x:c r="I317" s="14"/>
      <x:c r="J317" s="14"/>
      <x:c r="K317" s="14" t="str">
        <x:v>NEEDS_WINDOW_BINDING</x:v>
      </x:c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  <x:c r="AA317" s="14"/>
      <x:c r="AB317" s="14"/>
      <x:c r="AC317" s="14"/>
      <x:c r="AD317" s="14"/>
      <x:c r="AE317" s="14"/>
      <x:c r="AF317" s="14"/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/>
      <x:c r="BC317" s="14"/>
      <x:c r="BD317" s="14"/>
      <x:c r="BE317" s="14"/>
      <x:c r="BF317" s="14"/>
      <x:c r="BG317" s="14"/>
      <x:c r="BH317" s="14"/>
      <x:c r="BI317" s="14"/>
      <x:c r="BJ317" s="14"/>
      <x:c r="BK317" s="14"/>
      <x:c r="BL317" s="14"/>
      <x:c r="BM317" s="14"/>
      <x:c r="BN317" s="14"/>
      <x:c r="BO317" s="14"/>
      <x:c r="BP317" s="14"/>
      <x:c r="BQ317" s="14"/>
      <x:c r="BR317" s="14"/>
      <x:c r="BS317" s="14"/>
      <x:c r="BT317" s="14"/>
      <x:c r="BU317" s="14"/>
      <x:c r="BV317" s="14"/>
      <x:c r="BW317" s="14"/>
      <x:c r="BX317" s="14"/>
      <x:c r="BY317" s="14"/>
      <x:c r="BZ317" s="14"/>
      <x:c r="CA317" s="14"/>
      <x:c r="CB317" s="14"/>
      <x:c r="CC317" s="14"/>
      <x:c r="CD317" s="14"/>
      <x:c r="CE317" s="14"/>
    </x:row>
    <x:row r="318">
      <x:c r="A318" s="14" t="n">
        <x:v>317</x:v>
      </x:c>
      <x:c r="B318" s="14"/>
      <x:c r="C318" s="14" t="str">
        <x:v>CHECKING_EVENT</x:v>
      </x:c>
      <x:c r="D318" s="14" t="str">
        <x:v>Exploratory_Checking_611_Positional_Surrogate.xlsx</x:v>
      </x:c>
      <x:c r="E318" s="14"/>
      <x:c r="F318" s="14"/>
      <x:c r="G318" s="14"/>
      <x:c r="H318" s="14"/>
      <x:c r="I318" s="14"/>
      <x:c r="J318" s="14"/>
      <x:c r="K318" s="14" t="str">
        <x:v>NEEDS_WINDOW_BINDING</x:v>
      </x:c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  <x:c r="AB318" s="14"/>
      <x:c r="AC318" s="14"/>
      <x:c r="AD318" s="14"/>
      <x:c r="AE318" s="14"/>
      <x:c r="AF318" s="14"/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/>
      <x:c r="BC318" s="14"/>
      <x:c r="BD318" s="14"/>
      <x:c r="BE318" s="14"/>
      <x:c r="BF318" s="14"/>
      <x:c r="BG318" s="14"/>
      <x:c r="BH318" s="14"/>
      <x:c r="BI318" s="14"/>
      <x:c r="BJ318" s="14"/>
      <x:c r="BK318" s="14"/>
      <x:c r="BL318" s="14"/>
      <x:c r="BM318" s="14"/>
      <x:c r="BN318" s="14"/>
      <x:c r="BO318" s="14"/>
      <x:c r="BP318" s="14"/>
      <x:c r="BQ318" s="14"/>
      <x:c r="BR318" s="14"/>
      <x:c r="BS318" s="14"/>
      <x:c r="BT318" s="14"/>
      <x:c r="BU318" s="14"/>
      <x:c r="BV318" s="14"/>
      <x:c r="BW318" s="14"/>
      <x:c r="BX318" s="14"/>
      <x:c r="BY318" s="14"/>
      <x:c r="BZ318" s="14"/>
      <x:c r="CA318" s="14"/>
      <x:c r="CB318" s="14"/>
      <x:c r="CC318" s="14"/>
      <x:c r="CD318" s="14"/>
      <x:c r="CE318" s="14"/>
    </x:row>
    <x:row r="319">
      <x:c r="A319" s="14" t="n">
        <x:v>318</x:v>
      </x:c>
      <x:c r="B319" s="14"/>
      <x:c r="C319" s="14" t="str">
        <x:v>CHECKING_EVENT</x:v>
      </x:c>
      <x:c r="D319" s="14" t="str">
        <x:v>Exploratory_Checking_611_Positional_Surrogate.xlsx</x:v>
      </x:c>
      <x:c r="E319" s="14"/>
      <x:c r="F319" s="14"/>
      <x:c r="G319" s="14"/>
      <x:c r="H319" s="14"/>
      <x:c r="I319" s="14"/>
      <x:c r="J319" s="14"/>
      <x:c r="K319" s="14" t="str">
        <x:v>NEEDS_WINDOW_BINDING</x:v>
      </x:c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  <x:c r="AA319" s="14"/>
      <x:c r="AB319" s="14"/>
      <x:c r="AC319" s="14"/>
      <x:c r="AD319" s="14"/>
      <x:c r="AE319" s="14"/>
      <x:c r="AF319" s="14"/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/>
      <x:c r="BC319" s="14"/>
      <x:c r="BD319" s="14"/>
      <x:c r="BE319" s="14"/>
      <x:c r="BF319" s="14"/>
      <x:c r="BG319" s="14"/>
      <x:c r="BH319" s="14"/>
      <x:c r="BI319" s="14"/>
      <x:c r="BJ319" s="14"/>
      <x:c r="BK319" s="14"/>
      <x:c r="BL319" s="14"/>
      <x:c r="BM319" s="14"/>
      <x:c r="BN319" s="14"/>
      <x:c r="BO319" s="14"/>
      <x:c r="BP319" s="14"/>
      <x:c r="BQ319" s="14"/>
      <x:c r="BR319" s="14"/>
      <x:c r="BS319" s="14"/>
      <x:c r="BT319" s="14"/>
      <x:c r="BU319" s="14"/>
      <x:c r="BV319" s="14"/>
      <x:c r="BW319" s="14"/>
      <x:c r="BX319" s="14"/>
      <x:c r="BY319" s="14"/>
      <x:c r="BZ319" s="14"/>
      <x:c r="CA319" s="14"/>
      <x:c r="CB319" s="14"/>
      <x:c r="CC319" s="14"/>
      <x:c r="CD319" s="14"/>
      <x:c r="CE319" s="14"/>
    </x:row>
    <x:row r="320">
      <x:c r="A320" s="14" t="n">
        <x:v>319</x:v>
      </x:c>
      <x:c r="B320" s="14"/>
      <x:c r="C320" s="14" t="str">
        <x:v>CHECKING_EVENT</x:v>
      </x:c>
      <x:c r="D320" s="14" t="str">
        <x:v>Exploratory_Checking_611_Positional_Surrogate.xlsx</x:v>
      </x:c>
      <x:c r="E320" s="14"/>
      <x:c r="F320" s="14"/>
      <x:c r="G320" s="14"/>
      <x:c r="H320" s="14"/>
      <x:c r="I320" s="14"/>
      <x:c r="J320" s="14"/>
      <x:c r="K320" s="14" t="str">
        <x:v>NEEDS_WINDOW_BINDING</x:v>
      </x:c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/>
      <x:c r="BC320" s="14"/>
      <x:c r="BD320" s="14"/>
      <x:c r="BE320" s="14"/>
      <x:c r="BF320" s="14"/>
      <x:c r="BG320" s="14"/>
      <x:c r="BH320" s="14"/>
      <x:c r="BI320" s="14"/>
      <x:c r="BJ320" s="14"/>
      <x:c r="BK320" s="14"/>
      <x:c r="BL320" s="14"/>
      <x:c r="BM320" s="14"/>
      <x:c r="BN320" s="14"/>
      <x:c r="BO320" s="14"/>
      <x:c r="BP320" s="14"/>
      <x:c r="BQ320" s="14"/>
      <x:c r="BR320" s="14"/>
      <x:c r="BS320" s="14"/>
      <x:c r="BT320" s="14"/>
      <x:c r="BU320" s="14"/>
      <x:c r="BV320" s="14"/>
      <x:c r="BW320" s="14"/>
      <x:c r="BX320" s="14"/>
      <x:c r="BY320" s="14"/>
      <x:c r="BZ320" s="14"/>
      <x:c r="CA320" s="14"/>
      <x:c r="CB320" s="14"/>
      <x:c r="CC320" s="14"/>
      <x:c r="CD320" s="14"/>
      <x:c r="CE320" s="14"/>
    </x:row>
    <x:row r="321">
      <x:c r="A321" s="14" t="n">
        <x:v>320</x:v>
      </x:c>
      <x:c r="B321" s="14"/>
      <x:c r="C321" s="14" t="str">
        <x:v>CHECKING_EVENT</x:v>
      </x:c>
      <x:c r="D321" s="14" t="str">
        <x:v>Exploratory_Checking_611_Positional_Surrogate.xlsx</x:v>
      </x:c>
      <x:c r="E321" s="14"/>
      <x:c r="F321" s="14"/>
      <x:c r="G321" s="14"/>
      <x:c r="H321" s="14"/>
      <x:c r="I321" s="14"/>
      <x:c r="J321" s="14"/>
      <x:c r="K321" s="14" t="str">
        <x:v>NEEDS_WINDOW_BINDING</x:v>
      </x:c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4"/>
      <x:c r="AB321" s="14"/>
      <x:c r="AC321" s="14"/>
      <x:c r="AD321" s="14"/>
      <x:c r="AE321" s="14"/>
      <x:c r="AF321" s="14"/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/>
      <x:c r="BC321" s="14"/>
      <x:c r="BD321" s="14"/>
      <x:c r="BE321" s="14"/>
      <x:c r="BF321" s="14"/>
      <x:c r="BG321" s="14"/>
      <x:c r="BH321" s="14"/>
      <x:c r="BI321" s="14"/>
      <x:c r="BJ321" s="14"/>
      <x:c r="BK321" s="14"/>
      <x:c r="BL321" s="14"/>
      <x:c r="BM321" s="14"/>
      <x:c r="BN321" s="14"/>
      <x:c r="BO321" s="14"/>
      <x:c r="BP321" s="14"/>
      <x:c r="BQ321" s="14"/>
      <x:c r="BR321" s="14"/>
      <x:c r="BS321" s="14"/>
      <x:c r="BT321" s="14"/>
      <x:c r="BU321" s="14"/>
      <x:c r="BV321" s="14"/>
      <x:c r="BW321" s="14"/>
      <x:c r="BX321" s="14"/>
      <x:c r="BY321" s="14"/>
      <x:c r="BZ321" s="14"/>
      <x:c r="CA321" s="14"/>
      <x:c r="CB321" s="14"/>
      <x:c r="CC321" s="14"/>
      <x:c r="CD321" s="14"/>
      <x:c r="CE321" s="14"/>
    </x:row>
    <x:row r="322">
      <x:c r="A322" s="14" t="n">
        <x:v>321</x:v>
      </x:c>
      <x:c r="B322" s="14"/>
      <x:c r="C322" s="14" t="str">
        <x:v>CHECKING_EVENT</x:v>
      </x:c>
      <x:c r="D322" s="14" t="str">
        <x:v>Exploratory_Checking_611_Positional_Surrogate.xlsx</x:v>
      </x:c>
      <x:c r="E322" s="14"/>
      <x:c r="F322" s="14"/>
      <x:c r="G322" s="14"/>
      <x:c r="H322" s="14"/>
      <x:c r="I322" s="14"/>
      <x:c r="J322" s="14"/>
      <x:c r="K322" s="14" t="str">
        <x:v>NEEDS_WINDOW_BINDING</x:v>
      </x:c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4"/>
      <x:c r="AB322" s="14"/>
      <x:c r="AC322" s="14"/>
      <x:c r="AD322" s="14"/>
      <x:c r="AE322" s="14"/>
      <x:c r="AF322" s="14"/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/>
      <x:c r="BC322" s="14"/>
      <x:c r="BD322" s="14"/>
      <x:c r="BE322" s="14"/>
      <x:c r="BF322" s="14"/>
      <x:c r="BG322" s="14"/>
      <x:c r="BH322" s="14"/>
      <x:c r="BI322" s="14"/>
      <x:c r="BJ322" s="14"/>
      <x:c r="BK322" s="14"/>
      <x:c r="BL322" s="14"/>
      <x:c r="BM322" s="14"/>
      <x:c r="BN322" s="14"/>
      <x:c r="BO322" s="14"/>
      <x:c r="BP322" s="14"/>
      <x:c r="BQ322" s="14"/>
      <x:c r="BR322" s="14"/>
      <x:c r="BS322" s="14"/>
      <x:c r="BT322" s="14"/>
      <x:c r="BU322" s="14"/>
      <x:c r="BV322" s="14"/>
      <x:c r="BW322" s="14"/>
      <x:c r="BX322" s="14"/>
      <x:c r="BY322" s="14"/>
      <x:c r="BZ322" s="14"/>
      <x:c r="CA322" s="14"/>
      <x:c r="CB322" s="14"/>
      <x:c r="CC322" s="14"/>
      <x:c r="CD322" s="14"/>
      <x:c r="CE322" s="14"/>
    </x:row>
    <x:row r="323">
      <x:c r="A323" s="14" t="n">
        <x:v>322</x:v>
      </x:c>
      <x:c r="B323" s="14"/>
      <x:c r="C323" s="14" t="str">
        <x:v>CHECKING_EVENT</x:v>
      </x:c>
      <x:c r="D323" s="14" t="str">
        <x:v>Exploratory_Checking_611_Positional_Surrogate.xlsx</x:v>
      </x:c>
      <x:c r="E323" s="14"/>
      <x:c r="F323" s="14"/>
      <x:c r="G323" s="14"/>
      <x:c r="H323" s="14"/>
      <x:c r="I323" s="14"/>
      <x:c r="J323" s="14"/>
      <x:c r="K323" s="14" t="str">
        <x:v>NEEDS_WINDOW_BINDING</x:v>
      </x:c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  <x:c r="AA323" s="14"/>
      <x:c r="AB323" s="14"/>
      <x:c r="AC323" s="14"/>
      <x:c r="AD323" s="14"/>
      <x:c r="AE323" s="14"/>
      <x:c r="AF323" s="14"/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/>
      <x:c r="BC323" s="14"/>
      <x:c r="BD323" s="14"/>
      <x:c r="BE323" s="14"/>
      <x:c r="BF323" s="14"/>
      <x:c r="BG323" s="14"/>
      <x:c r="BH323" s="14"/>
      <x:c r="BI323" s="14"/>
      <x:c r="BJ323" s="14"/>
      <x:c r="BK323" s="14"/>
      <x:c r="BL323" s="14"/>
      <x:c r="BM323" s="14"/>
      <x:c r="BN323" s="14"/>
      <x:c r="BO323" s="14"/>
      <x:c r="BP323" s="14"/>
      <x:c r="BQ323" s="14"/>
      <x:c r="BR323" s="14"/>
      <x:c r="BS323" s="14"/>
      <x:c r="BT323" s="14"/>
      <x:c r="BU323" s="14"/>
      <x:c r="BV323" s="14"/>
      <x:c r="BW323" s="14"/>
      <x:c r="BX323" s="14"/>
      <x:c r="BY323" s="14"/>
      <x:c r="BZ323" s="14"/>
      <x:c r="CA323" s="14"/>
      <x:c r="CB323" s="14"/>
      <x:c r="CC323" s="14"/>
      <x:c r="CD323" s="14"/>
      <x:c r="CE323" s="14"/>
    </x:row>
    <x:row r="324">
      <x:c r="A324" s="14" t="n">
        <x:v>323</x:v>
      </x:c>
      <x:c r="B324" s="14"/>
      <x:c r="C324" s="14" t="str">
        <x:v>CHECKING_EVENT</x:v>
      </x:c>
      <x:c r="D324" s="14" t="str">
        <x:v>Exploratory_Checking_611_Positional_Surrogate.xlsx</x:v>
      </x:c>
      <x:c r="E324" s="14"/>
      <x:c r="F324" s="14"/>
      <x:c r="G324" s="14"/>
      <x:c r="H324" s="14"/>
      <x:c r="I324" s="14"/>
      <x:c r="J324" s="14"/>
      <x:c r="K324" s="14" t="str">
        <x:v>NEEDS_WINDOW_BINDING</x:v>
      </x:c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  <x:c r="AA324" s="14"/>
      <x:c r="AB324" s="14"/>
      <x:c r="AC324" s="14"/>
      <x:c r="AD324" s="14"/>
      <x:c r="AE324" s="14"/>
      <x:c r="AF324" s="14"/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/>
      <x:c r="BC324" s="14"/>
      <x:c r="BD324" s="14"/>
      <x:c r="BE324" s="14"/>
      <x:c r="BF324" s="14"/>
      <x:c r="BG324" s="14"/>
      <x:c r="BH324" s="14"/>
      <x:c r="BI324" s="14"/>
      <x:c r="BJ324" s="14"/>
      <x:c r="BK324" s="14"/>
      <x:c r="BL324" s="14"/>
      <x:c r="BM324" s="14"/>
      <x:c r="BN324" s="14"/>
      <x:c r="BO324" s="14"/>
      <x:c r="BP324" s="14"/>
      <x:c r="BQ324" s="14"/>
      <x:c r="BR324" s="14"/>
      <x:c r="BS324" s="14"/>
      <x:c r="BT324" s="14"/>
      <x:c r="BU324" s="14"/>
      <x:c r="BV324" s="14"/>
      <x:c r="BW324" s="14"/>
      <x:c r="BX324" s="14"/>
      <x:c r="BY324" s="14"/>
      <x:c r="BZ324" s="14"/>
      <x:c r="CA324" s="14"/>
      <x:c r="CB324" s="14"/>
      <x:c r="CC324" s="14"/>
      <x:c r="CD324" s="14"/>
      <x:c r="CE324" s="14"/>
    </x:row>
    <x:row r="325">
      <x:c r="A325" s="14" t="n">
        <x:v>324</x:v>
      </x:c>
      <x:c r="B325" s="14"/>
      <x:c r="C325" s="14" t="str">
        <x:v>CHECKING_EVENT</x:v>
      </x:c>
      <x:c r="D325" s="14" t="str">
        <x:v>Exploratory_Checking_611_Positional_Surrogate.xlsx</x:v>
      </x:c>
      <x:c r="E325" s="14"/>
      <x:c r="F325" s="14"/>
      <x:c r="G325" s="14"/>
      <x:c r="H325" s="14"/>
      <x:c r="I325" s="14"/>
      <x:c r="J325" s="14"/>
      <x:c r="K325" s="14" t="str">
        <x:v>NEEDS_WINDOW_BINDING</x:v>
      </x:c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  <x:c r="AA325" s="14"/>
      <x:c r="AB325" s="14"/>
      <x:c r="AC325" s="14"/>
      <x:c r="AD325" s="14"/>
      <x:c r="AE325" s="14"/>
      <x:c r="AF325" s="14"/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/>
      <x:c r="BC325" s="14"/>
      <x:c r="BD325" s="14"/>
      <x:c r="BE325" s="14"/>
      <x:c r="BF325" s="14"/>
      <x:c r="BG325" s="14"/>
      <x:c r="BH325" s="14"/>
      <x:c r="BI325" s="14"/>
      <x:c r="BJ325" s="14"/>
      <x:c r="BK325" s="14"/>
      <x:c r="BL325" s="14"/>
      <x:c r="BM325" s="14"/>
      <x:c r="BN325" s="14"/>
      <x:c r="BO325" s="14"/>
      <x:c r="BP325" s="14"/>
      <x:c r="BQ325" s="14"/>
      <x:c r="BR325" s="14"/>
      <x:c r="BS325" s="14"/>
      <x:c r="BT325" s="14"/>
      <x:c r="BU325" s="14"/>
      <x:c r="BV325" s="14"/>
      <x:c r="BW325" s="14"/>
      <x:c r="BX325" s="14"/>
      <x:c r="BY325" s="14"/>
      <x:c r="BZ325" s="14"/>
      <x:c r="CA325" s="14"/>
      <x:c r="CB325" s="14"/>
      <x:c r="CC325" s="14"/>
      <x:c r="CD325" s="14"/>
      <x:c r="CE325" s="14"/>
    </x:row>
    <x:row r="326">
      <x:c r="A326" s="14" t="n">
        <x:v>325</x:v>
      </x:c>
      <x:c r="B326" s="14"/>
      <x:c r="C326" s="14" t="str">
        <x:v>CHECKING_EVENT</x:v>
      </x:c>
      <x:c r="D326" s="14" t="str">
        <x:v>Exploratory_Checking_611_Positional_Surrogate.xlsx</x:v>
      </x:c>
      <x:c r="E326" s="14"/>
      <x:c r="F326" s="14"/>
      <x:c r="G326" s="14"/>
      <x:c r="H326" s="14"/>
      <x:c r="I326" s="14"/>
      <x:c r="J326" s="14"/>
      <x:c r="K326" s="14" t="str">
        <x:v>NEEDS_WINDOW_BINDING</x:v>
      </x:c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  <x:c r="AA326" s="14"/>
      <x:c r="AB326" s="14"/>
      <x:c r="AC326" s="14"/>
      <x:c r="AD326" s="14"/>
      <x:c r="AE326" s="14"/>
      <x:c r="AF326" s="14"/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/>
      <x:c r="BC326" s="14"/>
      <x:c r="BD326" s="14"/>
      <x:c r="BE326" s="14"/>
      <x:c r="BF326" s="14"/>
      <x:c r="BG326" s="14"/>
      <x:c r="BH326" s="14"/>
      <x:c r="BI326" s="14"/>
      <x:c r="BJ326" s="14"/>
      <x:c r="BK326" s="14"/>
      <x:c r="BL326" s="14"/>
      <x:c r="BM326" s="14"/>
      <x:c r="BN326" s="14"/>
      <x:c r="BO326" s="14"/>
      <x:c r="BP326" s="14"/>
      <x:c r="BQ326" s="14"/>
      <x:c r="BR326" s="14"/>
      <x:c r="BS326" s="14"/>
      <x:c r="BT326" s="14"/>
      <x:c r="BU326" s="14"/>
      <x:c r="BV326" s="14"/>
      <x:c r="BW326" s="14"/>
      <x:c r="BX326" s="14"/>
      <x:c r="BY326" s="14"/>
      <x:c r="BZ326" s="14"/>
      <x:c r="CA326" s="14"/>
      <x:c r="CB326" s="14"/>
      <x:c r="CC326" s="14"/>
      <x:c r="CD326" s="14"/>
      <x:c r="CE326" s="14"/>
    </x:row>
    <x:row r="327">
      <x:c r="A327" s="14" t="n">
        <x:v>326</x:v>
      </x:c>
      <x:c r="B327" s="14"/>
      <x:c r="C327" s="14" t="str">
        <x:v>CHECKING_EVENT</x:v>
      </x:c>
      <x:c r="D327" s="14" t="str">
        <x:v>Exploratory_Checking_611_Positional_Surrogate.xlsx</x:v>
      </x:c>
      <x:c r="E327" s="14"/>
      <x:c r="F327" s="14"/>
      <x:c r="G327" s="14"/>
      <x:c r="H327" s="14"/>
      <x:c r="I327" s="14"/>
      <x:c r="J327" s="14"/>
      <x:c r="K327" s="14" t="str">
        <x:v>NEEDS_WINDOW_BINDING</x:v>
      </x:c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/>
      <x:c r="BC327" s="14"/>
      <x:c r="BD327" s="14"/>
      <x:c r="BE327" s="14"/>
      <x:c r="BF327" s="14"/>
      <x:c r="BG327" s="14"/>
      <x:c r="BH327" s="14"/>
      <x:c r="BI327" s="14"/>
      <x:c r="BJ327" s="14"/>
      <x:c r="BK327" s="14"/>
      <x:c r="BL327" s="14"/>
      <x:c r="BM327" s="14"/>
      <x:c r="BN327" s="14"/>
      <x:c r="BO327" s="14"/>
      <x:c r="BP327" s="14"/>
      <x:c r="BQ327" s="14"/>
      <x:c r="BR327" s="14"/>
      <x:c r="BS327" s="14"/>
      <x:c r="BT327" s="14"/>
      <x:c r="BU327" s="14"/>
      <x:c r="BV327" s="14"/>
      <x:c r="BW327" s="14"/>
      <x:c r="BX327" s="14"/>
      <x:c r="BY327" s="14"/>
      <x:c r="BZ327" s="14"/>
      <x:c r="CA327" s="14"/>
      <x:c r="CB327" s="14"/>
      <x:c r="CC327" s="14"/>
      <x:c r="CD327" s="14"/>
      <x:c r="CE327" s="14"/>
    </x:row>
    <x:row r="328">
      <x:c r="A328" s="14" t="n">
        <x:v>327</x:v>
      </x:c>
      <x:c r="B328" s="14"/>
      <x:c r="C328" s="14" t="str">
        <x:v>CHECKING_EVENT</x:v>
      </x:c>
      <x:c r="D328" s="14" t="str">
        <x:v>Exploratory_Checking_611_Positional_Surrogate.xlsx</x:v>
      </x:c>
      <x:c r="E328" s="14"/>
      <x:c r="F328" s="14"/>
      <x:c r="G328" s="14"/>
      <x:c r="H328" s="14"/>
      <x:c r="I328" s="14"/>
      <x:c r="J328" s="14"/>
      <x:c r="K328" s="14" t="str">
        <x:v>NEEDS_WINDOW_BINDING</x:v>
      </x:c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  <x:c r="AB328" s="14"/>
      <x:c r="AC328" s="14"/>
      <x:c r="AD328" s="14"/>
      <x:c r="AE328" s="14"/>
      <x:c r="AF328" s="14"/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/>
      <x:c r="BC328" s="14"/>
      <x:c r="BD328" s="14"/>
      <x:c r="BE328" s="14"/>
      <x:c r="BF328" s="14"/>
      <x:c r="BG328" s="14"/>
      <x:c r="BH328" s="14"/>
      <x:c r="BI328" s="14"/>
      <x:c r="BJ328" s="14"/>
      <x:c r="BK328" s="14"/>
      <x:c r="BL328" s="14"/>
      <x:c r="BM328" s="14"/>
      <x:c r="BN328" s="14"/>
      <x:c r="BO328" s="14"/>
      <x:c r="BP328" s="14"/>
      <x:c r="BQ328" s="14"/>
      <x:c r="BR328" s="14"/>
      <x:c r="BS328" s="14"/>
      <x:c r="BT328" s="14"/>
      <x:c r="BU328" s="14"/>
      <x:c r="BV328" s="14"/>
      <x:c r="BW328" s="14"/>
      <x:c r="BX328" s="14"/>
      <x:c r="BY328" s="14"/>
      <x:c r="BZ328" s="14"/>
      <x:c r="CA328" s="14"/>
      <x:c r="CB328" s="14"/>
      <x:c r="CC328" s="14"/>
      <x:c r="CD328" s="14"/>
      <x:c r="CE328" s="14"/>
    </x:row>
    <x:row r="329">
      <x:c r="A329" s="14" t="n">
        <x:v>328</x:v>
      </x:c>
      <x:c r="B329" s="14"/>
      <x:c r="C329" s="14" t="str">
        <x:v>CHECKING_EVENT</x:v>
      </x:c>
      <x:c r="D329" s="14" t="str">
        <x:v>Exploratory_Checking_611_Positional_Surrogate.xlsx</x:v>
      </x:c>
      <x:c r="E329" s="14"/>
      <x:c r="F329" s="14"/>
      <x:c r="G329" s="14"/>
      <x:c r="H329" s="14"/>
      <x:c r="I329" s="14"/>
      <x:c r="J329" s="14"/>
      <x:c r="K329" s="14" t="str">
        <x:v>NEEDS_WINDOW_BINDING</x:v>
      </x:c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  <x:c r="AB329" s="14"/>
      <x:c r="AC329" s="14"/>
      <x:c r="AD329" s="14"/>
      <x:c r="AE329" s="14"/>
      <x:c r="AF329" s="14"/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/>
      <x:c r="BC329" s="14"/>
      <x:c r="BD329" s="14"/>
      <x:c r="BE329" s="14"/>
      <x:c r="BF329" s="14"/>
      <x:c r="BG329" s="14"/>
      <x:c r="BH329" s="14"/>
      <x:c r="BI329" s="14"/>
      <x:c r="BJ329" s="14"/>
      <x:c r="BK329" s="14"/>
      <x:c r="BL329" s="14"/>
      <x:c r="BM329" s="14"/>
      <x:c r="BN329" s="14"/>
      <x:c r="BO329" s="14"/>
      <x:c r="BP329" s="14"/>
      <x:c r="BQ329" s="14"/>
      <x:c r="BR329" s="14"/>
      <x:c r="BS329" s="14"/>
      <x:c r="BT329" s="14"/>
      <x:c r="BU329" s="14"/>
      <x:c r="BV329" s="14"/>
      <x:c r="BW329" s="14"/>
      <x:c r="BX329" s="14"/>
      <x:c r="BY329" s="14"/>
      <x:c r="BZ329" s="14"/>
      <x:c r="CA329" s="14"/>
      <x:c r="CB329" s="14"/>
      <x:c r="CC329" s="14"/>
      <x:c r="CD329" s="14"/>
      <x:c r="CE329" s="14"/>
    </x:row>
    <x:row r="330">
      <x:c r="A330" s="14" t="n">
        <x:v>329</x:v>
      </x:c>
      <x:c r="B330" s="14"/>
      <x:c r="C330" s="14" t="str">
        <x:v>CHECKING_EVENT</x:v>
      </x:c>
      <x:c r="D330" s="14" t="str">
        <x:v>Exploratory_Checking_611_Positional_Surrogate.xlsx</x:v>
      </x:c>
      <x:c r="E330" s="14"/>
      <x:c r="F330" s="14"/>
      <x:c r="G330" s="14"/>
      <x:c r="H330" s="14"/>
      <x:c r="I330" s="14"/>
      <x:c r="J330" s="14"/>
      <x:c r="K330" s="14" t="str">
        <x:v>NEEDS_WINDOW_BINDING</x:v>
      </x:c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/>
      <x:c r="BC330" s="14"/>
      <x:c r="BD330" s="14"/>
      <x:c r="BE330" s="14"/>
      <x:c r="BF330" s="14"/>
      <x:c r="BG330" s="14"/>
      <x:c r="BH330" s="14"/>
      <x:c r="BI330" s="14"/>
      <x:c r="BJ330" s="14"/>
      <x:c r="BK330" s="14"/>
      <x:c r="BL330" s="14"/>
      <x:c r="BM330" s="14"/>
      <x:c r="BN330" s="14"/>
      <x:c r="BO330" s="14"/>
      <x:c r="BP330" s="14"/>
      <x:c r="BQ330" s="14"/>
      <x:c r="BR330" s="14"/>
      <x:c r="BS330" s="14"/>
      <x:c r="BT330" s="14"/>
      <x:c r="BU330" s="14"/>
      <x:c r="BV330" s="14"/>
      <x:c r="BW330" s="14"/>
      <x:c r="BX330" s="14"/>
      <x:c r="BY330" s="14"/>
      <x:c r="BZ330" s="14"/>
      <x:c r="CA330" s="14"/>
      <x:c r="CB330" s="14"/>
      <x:c r="CC330" s="14"/>
      <x:c r="CD330" s="14"/>
      <x:c r="CE330" s="14"/>
    </x:row>
    <x:row r="331">
      <x:c r="A331" s="14" t="n">
        <x:v>330</x:v>
      </x:c>
      <x:c r="B331" s="14"/>
      <x:c r="C331" s="14" t="str">
        <x:v>CHECKING_EVENT</x:v>
      </x:c>
      <x:c r="D331" s="14" t="str">
        <x:v>Exploratory_Checking_611_Positional_Surrogate.xlsx</x:v>
      </x:c>
      <x:c r="E331" s="14"/>
      <x:c r="F331" s="14"/>
      <x:c r="G331" s="14"/>
      <x:c r="H331" s="14"/>
      <x:c r="I331" s="14"/>
      <x:c r="J331" s="14"/>
      <x:c r="K331" s="14" t="str">
        <x:v>NEEDS_WINDOW_BINDING</x:v>
      </x:c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  <x:c r="AA331" s="14"/>
      <x:c r="AB331" s="14"/>
      <x:c r="AC331" s="14"/>
      <x:c r="AD331" s="14"/>
      <x:c r="AE331" s="14"/>
      <x:c r="AF331" s="14"/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/>
      <x:c r="BC331" s="14"/>
      <x:c r="BD331" s="14"/>
      <x:c r="BE331" s="14"/>
      <x:c r="BF331" s="14"/>
      <x:c r="BG331" s="14"/>
      <x:c r="BH331" s="14"/>
      <x:c r="BI331" s="14"/>
      <x:c r="BJ331" s="14"/>
      <x:c r="BK331" s="14"/>
      <x:c r="BL331" s="14"/>
      <x:c r="BM331" s="14"/>
      <x:c r="BN331" s="14"/>
      <x:c r="BO331" s="14"/>
      <x:c r="BP331" s="14"/>
      <x:c r="BQ331" s="14"/>
      <x:c r="BR331" s="14"/>
      <x:c r="BS331" s="14"/>
      <x:c r="BT331" s="14"/>
      <x:c r="BU331" s="14"/>
      <x:c r="BV331" s="14"/>
      <x:c r="BW331" s="14"/>
      <x:c r="BX331" s="14"/>
      <x:c r="BY331" s="14"/>
      <x:c r="BZ331" s="14"/>
      <x:c r="CA331" s="14"/>
      <x:c r="CB331" s="14"/>
      <x:c r="CC331" s="14"/>
      <x:c r="CD331" s="14"/>
      <x:c r="CE331" s="14"/>
    </x:row>
    <x:row r="332">
      <x:c r="A332" s="14" t="n">
        <x:v>331</x:v>
      </x:c>
      <x:c r="B332" s="14"/>
      <x:c r="C332" s="14" t="str">
        <x:v>CHECKING_EVENT</x:v>
      </x:c>
      <x:c r="D332" s="14" t="str">
        <x:v>Exploratory_Checking_611_Positional_Surrogate.xlsx</x:v>
      </x:c>
      <x:c r="E332" s="14"/>
      <x:c r="F332" s="14"/>
      <x:c r="G332" s="14"/>
      <x:c r="H332" s="14"/>
      <x:c r="I332" s="14"/>
      <x:c r="J332" s="14"/>
      <x:c r="K332" s="14" t="str">
        <x:v>NEEDS_WINDOW_BINDING</x:v>
      </x:c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  <x:c r="AA332" s="14"/>
      <x:c r="AB332" s="14"/>
      <x:c r="AC332" s="14"/>
      <x:c r="AD332" s="14"/>
      <x:c r="AE332" s="14"/>
      <x:c r="AF332" s="14"/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/>
      <x:c r="BC332" s="14"/>
      <x:c r="BD332" s="14"/>
      <x:c r="BE332" s="14"/>
      <x:c r="BF332" s="14"/>
      <x:c r="BG332" s="14"/>
      <x:c r="BH332" s="14"/>
      <x:c r="BI332" s="14"/>
      <x:c r="BJ332" s="14"/>
      <x:c r="BK332" s="14"/>
      <x:c r="BL332" s="14"/>
      <x:c r="BM332" s="14"/>
      <x:c r="BN332" s="14"/>
      <x:c r="BO332" s="14"/>
      <x:c r="BP332" s="14"/>
      <x:c r="BQ332" s="14"/>
      <x:c r="BR332" s="14"/>
      <x:c r="BS332" s="14"/>
      <x:c r="BT332" s="14"/>
      <x:c r="BU332" s="14"/>
      <x:c r="BV332" s="14"/>
      <x:c r="BW332" s="14"/>
      <x:c r="BX332" s="14"/>
      <x:c r="BY332" s="14"/>
      <x:c r="BZ332" s="14"/>
      <x:c r="CA332" s="14"/>
      <x:c r="CB332" s="14"/>
      <x:c r="CC332" s="14"/>
      <x:c r="CD332" s="14"/>
      <x:c r="CE332" s="14"/>
    </x:row>
    <x:row r="333">
      <x:c r="A333" s="14" t="n">
        <x:v>332</x:v>
      </x:c>
      <x:c r="B333" s="14"/>
      <x:c r="C333" s="14" t="str">
        <x:v>CHECKING_EVENT</x:v>
      </x:c>
      <x:c r="D333" s="14" t="str">
        <x:v>Exploratory_Checking_611_Positional_Surrogate.xlsx</x:v>
      </x:c>
      <x:c r="E333" s="14"/>
      <x:c r="F333" s="14"/>
      <x:c r="G333" s="14"/>
      <x:c r="H333" s="14"/>
      <x:c r="I333" s="14"/>
      <x:c r="J333" s="14"/>
      <x:c r="K333" s="14" t="str">
        <x:v>NEEDS_WINDOW_BINDING</x:v>
      </x:c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  <x:c r="AB333" s="14"/>
      <x:c r="AC333" s="14"/>
      <x:c r="AD333" s="14"/>
      <x:c r="AE333" s="14"/>
      <x:c r="AF333" s="14"/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/>
      <x:c r="BC333" s="14"/>
      <x:c r="BD333" s="14"/>
      <x:c r="BE333" s="14"/>
      <x:c r="BF333" s="14"/>
      <x:c r="BG333" s="14"/>
      <x:c r="BH333" s="14"/>
      <x:c r="BI333" s="14"/>
      <x:c r="BJ333" s="14"/>
      <x:c r="BK333" s="14"/>
      <x:c r="BL333" s="14"/>
      <x:c r="BM333" s="14"/>
      <x:c r="BN333" s="14"/>
      <x:c r="BO333" s="14"/>
      <x:c r="BP333" s="14"/>
      <x:c r="BQ333" s="14"/>
      <x:c r="BR333" s="14"/>
      <x:c r="BS333" s="14"/>
      <x:c r="BT333" s="14"/>
      <x:c r="BU333" s="14"/>
      <x:c r="BV333" s="14"/>
      <x:c r="BW333" s="14"/>
      <x:c r="BX333" s="14"/>
      <x:c r="BY333" s="14"/>
      <x:c r="BZ333" s="14"/>
      <x:c r="CA333" s="14"/>
      <x:c r="CB333" s="14"/>
      <x:c r="CC333" s="14"/>
      <x:c r="CD333" s="14"/>
      <x:c r="CE333" s="14"/>
    </x:row>
    <x:row r="334">
      <x:c r="A334" s="14" t="n">
        <x:v>333</x:v>
      </x:c>
      <x:c r="B334" s="14"/>
      <x:c r="C334" s="14" t="str">
        <x:v>CHECKING_EVENT</x:v>
      </x:c>
      <x:c r="D334" s="14" t="str">
        <x:v>Exploratory_Checking_611_Positional_Surrogate.xlsx</x:v>
      </x:c>
      <x:c r="E334" s="14"/>
      <x:c r="F334" s="14"/>
      <x:c r="G334" s="14"/>
      <x:c r="H334" s="14"/>
      <x:c r="I334" s="14"/>
      <x:c r="J334" s="14"/>
      <x:c r="K334" s="14" t="str">
        <x:v>NEEDS_WINDOW_BINDING</x:v>
      </x:c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  <x:c r="AA334" s="14"/>
      <x:c r="AB334" s="14"/>
      <x:c r="AC334" s="14"/>
      <x:c r="AD334" s="14"/>
      <x:c r="AE334" s="14"/>
      <x:c r="AF334" s="14"/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/>
      <x:c r="BC334" s="14"/>
      <x:c r="BD334" s="14"/>
      <x:c r="BE334" s="14"/>
      <x:c r="BF334" s="14"/>
      <x:c r="BG334" s="14"/>
      <x:c r="BH334" s="14"/>
      <x:c r="BI334" s="14"/>
      <x:c r="BJ334" s="14"/>
      <x:c r="BK334" s="14"/>
      <x:c r="BL334" s="14"/>
      <x:c r="BM334" s="14"/>
      <x:c r="BN334" s="14"/>
      <x:c r="BO334" s="14"/>
      <x:c r="BP334" s="14"/>
      <x:c r="BQ334" s="14"/>
      <x:c r="BR334" s="14"/>
      <x:c r="BS334" s="14"/>
      <x:c r="BT334" s="14"/>
      <x:c r="BU334" s="14"/>
      <x:c r="BV334" s="14"/>
      <x:c r="BW334" s="14"/>
      <x:c r="BX334" s="14"/>
      <x:c r="BY334" s="14"/>
      <x:c r="BZ334" s="14"/>
      <x:c r="CA334" s="14"/>
      <x:c r="CB334" s="14"/>
      <x:c r="CC334" s="14"/>
      <x:c r="CD334" s="14"/>
      <x:c r="CE334" s="14"/>
    </x:row>
    <x:row r="335">
      <x:c r="A335" s="14" t="n">
        <x:v>334</x:v>
      </x:c>
      <x:c r="B335" s="14"/>
      <x:c r="C335" s="14" t="str">
        <x:v>CHECKING_EVENT</x:v>
      </x:c>
      <x:c r="D335" s="14" t="str">
        <x:v>Exploratory_Checking_611_Positional_Surrogate.xlsx</x:v>
      </x:c>
      <x:c r="E335" s="14"/>
      <x:c r="F335" s="14"/>
      <x:c r="G335" s="14"/>
      <x:c r="H335" s="14"/>
      <x:c r="I335" s="14"/>
      <x:c r="J335" s="14"/>
      <x:c r="K335" s="14" t="str">
        <x:v>NEEDS_WINDOW_BINDING</x:v>
      </x:c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  <x:c r="AB335" s="14"/>
      <x:c r="AC335" s="14"/>
      <x:c r="AD335" s="14"/>
      <x:c r="AE335" s="14"/>
      <x:c r="AF335" s="14"/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/>
      <x:c r="BC335" s="14"/>
      <x:c r="BD335" s="14"/>
      <x:c r="BE335" s="14"/>
      <x:c r="BF335" s="14"/>
      <x:c r="BG335" s="14"/>
      <x:c r="BH335" s="14"/>
      <x:c r="BI335" s="14"/>
      <x:c r="BJ335" s="14"/>
      <x:c r="BK335" s="14"/>
      <x:c r="BL335" s="14"/>
      <x:c r="BM335" s="14"/>
      <x:c r="BN335" s="14"/>
      <x:c r="BO335" s="14"/>
      <x:c r="BP335" s="14"/>
      <x:c r="BQ335" s="14"/>
      <x:c r="BR335" s="14"/>
      <x:c r="BS335" s="14"/>
      <x:c r="BT335" s="14"/>
      <x:c r="BU335" s="14"/>
      <x:c r="BV335" s="14"/>
      <x:c r="BW335" s="14"/>
      <x:c r="BX335" s="14"/>
      <x:c r="BY335" s="14"/>
      <x:c r="BZ335" s="14"/>
      <x:c r="CA335" s="14"/>
      <x:c r="CB335" s="14"/>
      <x:c r="CC335" s="14"/>
      <x:c r="CD335" s="14"/>
      <x:c r="CE335" s="14"/>
    </x:row>
    <x:row r="336">
      <x:c r="A336" s="14" t="n">
        <x:v>335</x:v>
      </x:c>
      <x:c r="B336" s="14"/>
      <x:c r="C336" s="14" t="str">
        <x:v>CHECKING_EVENT</x:v>
      </x:c>
      <x:c r="D336" s="14" t="str">
        <x:v>Exploratory_Checking_611_Positional_Surrogate.xlsx</x:v>
      </x:c>
      <x:c r="E336" s="14"/>
      <x:c r="F336" s="14"/>
      <x:c r="G336" s="14"/>
      <x:c r="H336" s="14"/>
      <x:c r="I336" s="14"/>
      <x:c r="J336" s="14"/>
      <x:c r="K336" s="14" t="str">
        <x:v>NEEDS_WINDOW_BINDING</x:v>
      </x:c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  <x:c r="AA336" s="14"/>
      <x:c r="AB336" s="14"/>
      <x:c r="AC336" s="14"/>
      <x:c r="AD336" s="14"/>
      <x:c r="AE336" s="14"/>
      <x:c r="AF336" s="14"/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/>
      <x:c r="BC336" s="14"/>
      <x:c r="BD336" s="14"/>
      <x:c r="BE336" s="14"/>
      <x:c r="BF336" s="14"/>
      <x:c r="BG336" s="14"/>
      <x:c r="BH336" s="14"/>
      <x:c r="BI336" s="14"/>
      <x:c r="BJ336" s="14"/>
      <x:c r="BK336" s="14"/>
      <x:c r="BL336" s="14"/>
      <x:c r="BM336" s="14"/>
      <x:c r="BN336" s="14"/>
      <x:c r="BO336" s="14"/>
      <x:c r="BP336" s="14"/>
      <x:c r="BQ336" s="14"/>
      <x:c r="BR336" s="14"/>
      <x:c r="BS336" s="14"/>
      <x:c r="BT336" s="14"/>
      <x:c r="BU336" s="14"/>
      <x:c r="BV336" s="14"/>
      <x:c r="BW336" s="14"/>
      <x:c r="BX336" s="14"/>
      <x:c r="BY336" s="14"/>
      <x:c r="BZ336" s="14"/>
      <x:c r="CA336" s="14"/>
      <x:c r="CB336" s="14"/>
      <x:c r="CC336" s="14"/>
      <x:c r="CD336" s="14"/>
      <x:c r="CE336" s="14"/>
    </x:row>
    <x:row r="337">
      <x:c r="A337" s="14" t="n">
        <x:v>336</x:v>
      </x:c>
      <x:c r="B337" s="14"/>
      <x:c r="C337" s="14" t="str">
        <x:v>CHECKING_EVENT</x:v>
      </x:c>
      <x:c r="D337" s="14" t="str">
        <x:v>Exploratory_Checking_611_Positional_Surrogate.xlsx</x:v>
      </x:c>
      <x:c r="E337" s="14"/>
      <x:c r="F337" s="14"/>
      <x:c r="G337" s="14"/>
      <x:c r="H337" s="14"/>
      <x:c r="I337" s="14"/>
      <x:c r="J337" s="14"/>
      <x:c r="K337" s="14" t="str">
        <x:v>NEEDS_WINDOW_BINDING</x:v>
      </x:c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  <x:c r="AB337" s="14"/>
      <x:c r="AC337" s="14"/>
      <x:c r="AD337" s="14"/>
      <x:c r="AE337" s="14"/>
      <x:c r="AF337" s="14"/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/>
      <x:c r="BC337" s="14"/>
      <x:c r="BD337" s="14"/>
      <x:c r="BE337" s="14"/>
      <x:c r="BF337" s="14"/>
      <x:c r="BG337" s="14"/>
      <x:c r="BH337" s="14"/>
      <x:c r="BI337" s="14"/>
      <x:c r="BJ337" s="14"/>
      <x:c r="BK337" s="14"/>
      <x:c r="BL337" s="14"/>
      <x:c r="BM337" s="14"/>
      <x:c r="BN337" s="14"/>
      <x:c r="BO337" s="14"/>
      <x:c r="BP337" s="14"/>
      <x:c r="BQ337" s="14"/>
      <x:c r="BR337" s="14"/>
      <x:c r="BS337" s="14"/>
      <x:c r="BT337" s="14"/>
      <x:c r="BU337" s="14"/>
      <x:c r="BV337" s="14"/>
      <x:c r="BW337" s="14"/>
      <x:c r="BX337" s="14"/>
      <x:c r="BY337" s="14"/>
      <x:c r="BZ337" s="14"/>
      <x:c r="CA337" s="14"/>
      <x:c r="CB337" s="14"/>
      <x:c r="CC337" s="14"/>
      <x:c r="CD337" s="14"/>
      <x:c r="CE337" s="14"/>
    </x:row>
    <x:row r="338">
      <x:c r="A338" s="14" t="n">
        <x:v>337</x:v>
      </x:c>
      <x:c r="B338" s="14"/>
      <x:c r="C338" s="14" t="str">
        <x:v>CHECKING_EVENT</x:v>
      </x:c>
      <x:c r="D338" s="14" t="str">
        <x:v>Exploratory_Checking_611_Positional_Surrogate.xlsx</x:v>
      </x:c>
      <x:c r="E338" s="14"/>
      <x:c r="F338" s="14"/>
      <x:c r="G338" s="14"/>
      <x:c r="H338" s="14"/>
      <x:c r="I338" s="14"/>
      <x:c r="J338" s="14"/>
      <x:c r="K338" s="14" t="str">
        <x:v>NEEDS_WINDOW_BINDING</x:v>
      </x:c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  <x:c r="AA338" s="14"/>
      <x:c r="AB338" s="14"/>
      <x:c r="AC338" s="14"/>
      <x:c r="AD338" s="14"/>
      <x:c r="AE338" s="14"/>
      <x:c r="AF338" s="14"/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/>
      <x:c r="BC338" s="14"/>
      <x:c r="BD338" s="14"/>
      <x:c r="BE338" s="14"/>
      <x:c r="BF338" s="14"/>
      <x:c r="BG338" s="14"/>
      <x:c r="BH338" s="14"/>
      <x:c r="BI338" s="14"/>
      <x:c r="BJ338" s="14"/>
      <x:c r="BK338" s="14"/>
      <x:c r="BL338" s="14"/>
      <x:c r="BM338" s="14"/>
      <x:c r="BN338" s="14"/>
      <x:c r="BO338" s="14"/>
      <x:c r="BP338" s="14"/>
      <x:c r="BQ338" s="14"/>
      <x:c r="BR338" s="14"/>
      <x:c r="BS338" s="14"/>
      <x:c r="BT338" s="14"/>
      <x:c r="BU338" s="14"/>
      <x:c r="BV338" s="14"/>
      <x:c r="BW338" s="14"/>
      <x:c r="BX338" s="14"/>
      <x:c r="BY338" s="14"/>
      <x:c r="BZ338" s="14"/>
      <x:c r="CA338" s="14"/>
      <x:c r="CB338" s="14"/>
      <x:c r="CC338" s="14"/>
      <x:c r="CD338" s="14"/>
      <x:c r="CE338" s="14"/>
    </x:row>
    <x:row r="339">
      <x:c r="A339" s="14" t="n">
        <x:v>338</x:v>
      </x:c>
      <x:c r="B339" s="14"/>
      <x:c r="C339" s="14" t="str">
        <x:v>CHECKING_EVENT</x:v>
      </x:c>
      <x:c r="D339" s="14" t="str">
        <x:v>Exploratory_Checking_611_Positional_Surrogate.xlsx</x:v>
      </x:c>
      <x:c r="E339" s="14"/>
      <x:c r="F339" s="14"/>
      <x:c r="G339" s="14"/>
      <x:c r="H339" s="14"/>
      <x:c r="I339" s="14"/>
      <x:c r="J339" s="14"/>
      <x:c r="K339" s="14" t="str">
        <x:v>NEEDS_WINDOW_BINDING</x:v>
      </x:c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  <x:c r="AA339" s="14"/>
      <x:c r="AB339" s="14"/>
      <x:c r="AC339" s="14"/>
      <x:c r="AD339" s="14"/>
      <x:c r="AE339" s="14"/>
      <x:c r="AF339" s="14"/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/>
      <x:c r="BC339" s="14"/>
      <x:c r="BD339" s="14"/>
      <x:c r="BE339" s="14"/>
      <x:c r="BF339" s="14"/>
      <x:c r="BG339" s="14"/>
      <x:c r="BH339" s="14"/>
      <x:c r="BI339" s="14"/>
      <x:c r="BJ339" s="14"/>
      <x:c r="BK339" s="14"/>
      <x:c r="BL339" s="14"/>
      <x:c r="BM339" s="14"/>
      <x:c r="BN339" s="14"/>
      <x:c r="BO339" s="14"/>
      <x:c r="BP339" s="14"/>
      <x:c r="BQ339" s="14"/>
      <x:c r="BR339" s="14"/>
      <x:c r="BS339" s="14"/>
      <x:c r="BT339" s="14"/>
      <x:c r="BU339" s="14"/>
      <x:c r="BV339" s="14"/>
      <x:c r="BW339" s="14"/>
      <x:c r="BX339" s="14"/>
      <x:c r="BY339" s="14"/>
      <x:c r="BZ339" s="14"/>
      <x:c r="CA339" s="14"/>
      <x:c r="CB339" s="14"/>
      <x:c r="CC339" s="14"/>
      <x:c r="CD339" s="14"/>
      <x:c r="CE339" s="14"/>
    </x:row>
    <x:row r="340">
      <x:c r="A340" s="14" t="n">
        <x:v>339</x:v>
      </x:c>
      <x:c r="B340" s="14"/>
      <x:c r="C340" s="14" t="str">
        <x:v>CHECKING_EVENT</x:v>
      </x:c>
      <x:c r="D340" s="14" t="str">
        <x:v>Exploratory_Checking_611_Positional_Surrogate.xlsx</x:v>
      </x:c>
      <x:c r="E340" s="14"/>
      <x:c r="F340" s="14"/>
      <x:c r="G340" s="14"/>
      <x:c r="H340" s="14"/>
      <x:c r="I340" s="14"/>
      <x:c r="J340" s="14"/>
      <x:c r="K340" s="14" t="str">
        <x:v>NEEDS_WINDOW_BINDING</x:v>
      </x:c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  <x:c r="AA340" s="14"/>
      <x:c r="AB340" s="14"/>
      <x:c r="AC340" s="14"/>
      <x:c r="AD340" s="14"/>
      <x:c r="AE340" s="14"/>
      <x:c r="AF340" s="14"/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/>
      <x:c r="BC340" s="14"/>
      <x:c r="BD340" s="14"/>
      <x:c r="BE340" s="14"/>
      <x:c r="BF340" s="14"/>
      <x:c r="BG340" s="14"/>
      <x:c r="BH340" s="14"/>
      <x:c r="BI340" s="14"/>
      <x:c r="BJ340" s="14"/>
      <x:c r="BK340" s="14"/>
      <x:c r="BL340" s="14"/>
      <x:c r="BM340" s="14"/>
      <x:c r="BN340" s="14"/>
      <x:c r="BO340" s="14"/>
      <x:c r="BP340" s="14"/>
      <x:c r="BQ340" s="14"/>
      <x:c r="BR340" s="14"/>
      <x:c r="BS340" s="14"/>
      <x:c r="BT340" s="14"/>
      <x:c r="BU340" s="14"/>
      <x:c r="BV340" s="14"/>
      <x:c r="BW340" s="14"/>
      <x:c r="BX340" s="14"/>
      <x:c r="BY340" s="14"/>
      <x:c r="BZ340" s="14"/>
      <x:c r="CA340" s="14"/>
      <x:c r="CB340" s="14"/>
      <x:c r="CC340" s="14"/>
      <x:c r="CD340" s="14"/>
      <x:c r="CE340" s="14"/>
    </x:row>
    <x:row r="341">
      <x:c r="A341" s="14" t="n">
        <x:v>340</x:v>
      </x:c>
      <x:c r="B341" s="14"/>
      <x:c r="C341" s="14" t="str">
        <x:v>CHECKING_EVENT</x:v>
      </x:c>
      <x:c r="D341" s="14" t="str">
        <x:v>Exploratory_Checking_611_Positional_Surrogate.xlsx</x:v>
      </x:c>
      <x:c r="E341" s="14"/>
      <x:c r="F341" s="14"/>
      <x:c r="G341" s="14"/>
      <x:c r="H341" s="14"/>
      <x:c r="I341" s="14"/>
      <x:c r="J341" s="14"/>
      <x:c r="K341" s="14" t="str">
        <x:v>NEEDS_WINDOW_BINDING</x:v>
      </x:c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  <x:c r="AA341" s="14"/>
      <x:c r="AB341" s="14"/>
      <x:c r="AC341" s="14"/>
      <x:c r="AD341" s="14"/>
      <x:c r="AE341" s="14"/>
      <x:c r="AF341" s="14"/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/>
      <x:c r="BC341" s="14"/>
      <x:c r="BD341" s="14"/>
      <x:c r="BE341" s="14"/>
      <x:c r="BF341" s="14"/>
      <x:c r="BG341" s="14"/>
      <x:c r="BH341" s="14"/>
      <x:c r="BI341" s="14"/>
      <x:c r="BJ341" s="14"/>
      <x:c r="BK341" s="14"/>
      <x:c r="BL341" s="14"/>
      <x:c r="BM341" s="14"/>
      <x:c r="BN341" s="14"/>
      <x:c r="BO341" s="14"/>
      <x:c r="BP341" s="14"/>
      <x:c r="BQ341" s="14"/>
      <x:c r="BR341" s="14"/>
      <x:c r="BS341" s="14"/>
      <x:c r="BT341" s="14"/>
      <x:c r="BU341" s="14"/>
      <x:c r="BV341" s="14"/>
      <x:c r="BW341" s="14"/>
      <x:c r="BX341" s="14"/>
      <x:c r="BY341" s="14"/>
      <x:c r="BZ341" s="14"/>
      <x:c r="CA341" s="14"/>
      <x:c r="CB341" s="14"/>
      <x:c r="CC341" s="14"/>
      <x:c r="CD341" s="14"/>
      <x:c r="CE341" s="14"/>
    </x:row>
    <x:row r="342">
      <x:c r="A342" s="14" t="n">
        <x:v>341</x:v>
      </x:c>
      <x:c r="B342" s="14"/>
      <x:c r="C342" s="14" t="str">
        <x:v>CHECKING_EVENT</x:v>
      </x:c>
      <x:c r="D342" s="14" t="str">
        <x:v>Exploratory_Checking_611_Positional_Surrogate.xlsx</x:v>
      </x:c>
      <x:c r="E342" s="14"/>
      <x:c r="F342" s="14"/>
      <x:c r="G342" s="14"/>
      <x:c r="H342" s="14"/>
      <x:c r="I342" s="14"/>
      <x:c r="J342" s="14"/>
      <x:c r="K342" s="14" t="str">
        <x:v>NEEDS_WINDOW_BINDING</x:v>
      </x:c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  <x:c r="AB342" s="14"/>
      <x:c r="AC342" s="14"/>
      <x:c r="AD342" s="14"/>
      <x:c r="AE342" s="14"/>
      <x:c r="AF342" s="14"/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/>
      <x:c r="BC342" s="14"/>
      <x:c r="BD342" s="14"/>
      <x:c r="BE342" s="14"/>
      <x:c r="BF342" s="14"/>
      <x:c r="BG342" s="14"/>
      <x:c r="BH342" s="14"/>
      <x:c r="BI342" s="14"/>
      <x:c r="BJ342" s="14"/>
      <x:c r="BK342" s="14"/>
      <x:c r="BL342" s="14"/>
      <x:c r="BM342" s="14"/>
      <x:c r="BN342" s="14"/>
      <x:c r="BO342" s="14"/>
      <x:c r="BP342" s="14"/>
      <x:c r="BQ342" s="14"/>
      <x:c r="BR342" s="14"/>
      <x:c r="BS342" s="14"/>
      <x:c r="BT342" s="14"/>
      <x:c r="BU342" s="14"/>
      <x:c r="BV342" s="14"/>
      <x:c r="BW342" s="14"/>
      <x:c r="BX342" s="14"/>
      <x:c r="BY342" s="14"/>
      <x:c r="BZ342" s="14"/>
      <x:c r="CA342" s="14"/>
      <x:c r="CB342" s="14"/>
      <x:c r="CC342" s="14"/>
      <x:c r="CD342" s="14"/>
      <x:c r="CE342" s="14"/>
    </x:row>
    <x:row r="343">
      <x:c r="A343" s="14" t="n">
        <x:v>342</x:v>
      </x:c>
      <x:c r="B343" s="14"/>
      <x:c r="C343" s="14" t="str">
        <x:v>CHECKING_EVENT</x:v>
      </x:c>
      <x:c r="D343" s="14" t="str">
        <x:v>Exploratory_Checking_611_Positional_Surrogate.xlsx</x:v>
      </x:c>
      <x:c r="E343" s="14"/>
      <x:c r="F343" s="14"/>
      <x:c r="G343" s="14"/>
      <x:c r="H343" s="14"/>
      <x:c r="I343" s="14"/>
      <x:c r="J343" s="14"/>
      <x:c r="K343" s="14" t="str">
        <x:v>NEEDS_WINDOW_BINDING</x:v>
      </x:c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  <x:c r="AA343" s="14"/>
      <x:c r="AB343" s="14"/>
      <x:c r="AC343" s="14"/>
      <x:c r="AD343" s="14"/>
      <x:c r="AE343" s="14"/>
      <x:c r="AF343" s="14"/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/>
      <x:c r="BC343" s="14"/>
      <x:c r="BD343" s="14"/>
      <x:c r="BE343" s="14"/>
      <x:c r="BF343" s="14"/>
      <x:c r="BG343" s="14"/>
      <x:c r="BH343" s="14"/>
      <x:c r="BI343" s="14"/>
      <x:c r="BJ343" s="14"/>
      <x:c r="BK343" s="14"/>
      <x:c r="BL343" s="14"/>
      <x:c r="BM343" s="14"/>
      <x:c r="BN343" s="14"/>
      <x:c r="BO343" s="14"/>
      <x:c r="BP343" s="14"/>
      <x:c r="BQ343" s="14"/>
      <x:c r="BR343" s="14"/>
      <x:c r="BS343" s="14"/>
      <x:c r="BT343" s="14"/>
      <x:c r="BU343" s="14"/>
      <x:c r="BV343" s="14"/>
      <x:c r="BW343" s="14"/>
      <x:c r="BX343" s="14"/>
      <x:c r="BY343" s="14"/>
      <x:c r="BZ343" s="14"/>
      <x:c r="CA343" s="14"/>
      <x:c r="CB343" s="14"/>
      <x:c r="CC343" s="14"/>
      <x:c r="CD343" s="14"/>
      <x:c r="CE343" s="14"/>
    </x:row>
    <x:row r="344">
      <x:c r="A344" s="14" t="n">
        <x:v>343</x:v>
      </x:c>
      <x:c r="B344" s="14"/>
      <x:c r="C344" s="14" t="str">
        <x:v>CHECKING_EVENT</x:v>
      </x:c>
      <x:c r="D344" s="14" t="str">
        <x:v>Exploratory_Checking_611_Positional_Surrogate.xlsx</x:v>
      </x:c>
      <x:c r="E344" s="14"/>
      <x:c r="F344" s="14"/>
      <x:c r="G344" s="14"/>
      <x:c r="H344" s="14"/>
      <x:c r="I344" s="14"/>
      <x:c r="J344" s="14"/>
      <x:c r="K344" s="14" t="str">
        <x:v>NEEDS_WINDOW_BINDING</x:v>
      </x:c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  <x:c r="AB344" s="14"/>
      <x:c r="AC344" s="14"/>
      <x:c r="AD344" s="14"/>
      <x:c r="AE344" s="14"/>
      <x:c r="AF344" s="14"/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/>
      <x:c r="BC344" s="14"/>
      <x:c r="BD344" s="14"/>
      <x:c r="BE344" s="14"/>
      <x:c r="BF344" s="14"/>
      <x:c r="BG344" s="14"/>
      <x:c r="BH344" s="14"/>
      <x:c r="BI344" s="14"/>
      <x:c r="BJ344" s="14"/>
      <x:c r="BK344" s="14"/>
      <x:c r="BL344" s="14"/>
      <x:c r="BM344" s="14"/>
      <x:c r="BN344" s="14"/>
      <x:c r="BO344" s="14"/>
      <x:c r="BP344" s="14"/>
      <x:c r="BQ344" s="14"/>
      <x:c r="BR344" s="14"/>
      <x:c r="BS344" s="14"/>
      <x:c r="BT344" s="14"/>
      <x:c r="BU344" s="14"/>
      <x:c r="BV344" s="14"/>
      <x:c r="BW344" s="14"/>
      <x:c r="BX344" s="14"/>
      <x:c r="BY344" s="14"/>
      <x:c r="BZ344" s="14"/>
      <x:c r="CA344" s="14"/>
      <x:c r="CB344" s="14"/>
      <x:c r="CC344" s="14"/>
      <x:c r="CD344" s="14"/>
      <x:c r="CE344" s="14"/>
    </x:row>
    <x:row r="345">
      <x:c r="A345" s="14" t="n">
        <x:v>344</x:v>
      </x:c>
      <x:c r="B345" s="14"/>
      <x:c r="C345" s="14" t="str">
        <x:v>CHECKING_EVENT</x:v>
      </x:c>
      <x:c r="D345" s="14" t="str">
        <x:v>Exploratory_Checking_611_Positional_Surrogate.xlsx</x:v>
      </x:c>
      <x:c r="E345" s="14"/>
      <x:c r="F345" s="14"/>
      <x:c r="G345" s="14"/>
      <x:c r="H345" s="14"/>
      <x:c r="I345" s="14"/>
      <x:c r="J345" s="14"/>
      <x:c r="K345" s="14" t="str">
        <x:v>NEEDS_WINDOW_BINDING</x:v>
      </x:c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4"/>
      <x:c r="AB345" s="14"/>
      <x:c r="AC345" s="14"/>
      <x:c r="AD345" s="14"/>
      <x:c r="AE345" s="14"/>
      <x:c r="AF345" s="14"/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/>
      <x:c r="BC345" s="14"/>
      <x:c r="BD345" s="14"/>
      <x:c r="BE345" s="14"/>
      <x:c r="BF345" s="14"/>
      <x:c r="BG345" s="14"/>
      <x:c r="BH345" s="14"/>
      <x:c r="BI345" s="14"/>
      <x:c r="BJ345" s="14"/>
      <x:c r="BK345" s="14"/>
      <x:c r="BL345" s="14"/>
      <x:c r="BM345" s="14"/>
      <x:c r="BN345" s="14"/>
      <x:c r="BO345" s="14"/>
      <x:c r="BP345" s="14"/>
      <x:c r="BQ345" s="14"/>
      <x:c r="BR345" s="14"/>
      <x:c r="BS345" s="14"/>
      <x:c r="BT345" s="14"/>
      <x:c r="BU345" s="14"/>
      <x:c r="BV345" s="14"/>
      <x:c r="BW345" s="14"/>
      <x:c r="BX345" s="14"/>
      <x:c r="BY345" s="14"/>
      <x:c r="BZ345" s="14"/>
      <x:c r="CA345" s="14"/>
      <x:c r="CB345" s="14"/>
      <x:c r="CC345" s="14"/>
      <x:c r="CD345" s="14"/>
      <x:c r="CE345" s="14"/>
    </x:row>
    <x:row r="346">
      <x:c r="A346" s="14" t="n">
        <x:v>345</x:v>
      </x:c>
      <x:c r="B346" s="14"/>
      <x:c r="C346" s="14" t="str">
        <x:v>CHECKING_EVENT</x:v>
      </x:c>
      <x:c r="D346" s="14" t="str">
        <x:v>Exploratory_Checking_611_Positional_Surrogate.xlsx</x:v>
      </x:c>
      <x:c r="E346" s="14"/>
      <x:c r="F346" s="14"/>
      <x:c r="G346" s="14"/>
      <x:c r="H346" s="14"/>
      <x:c r="I346" s="14"/>
      <x:c r="J346" s="14"/>
      <x:c r="K346" s="14" t="str">
        <x:v>NEEDS_WINDOW_BINDING</x:v>
      </x:c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  <x:c r="AB346" s="14"/>
      <x:c r="AC346" s="14"/>
      <x:c r="AD346" s="14"/>
      <x:c r="AE346" s="14"/>
      <x:c r="AF346" s="14"/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/>
      <x:c r="BC346" s="14"/>
      <x:c r="BD346" s="14"/>
      <x:c r="BE346" s="14"/>
      <x:c r="BF346" s="14"/>
      <x:c r="BG346" s="14"/>
      <x:c r="BH346" s="14"/>
      <x:c r="BI346" s="14"/>
      <x:c r="BJ346" s="14"/>
      <x:c r="BK346" s="14"/>
      <x:c r="BL346" s="14"/>
      <x:c r="BM346" s="14"/>
      <x:c r="BN346" s="14"/>
      <x:c r="BO346" s="14"/>
      <x:c r="BP346" s="14"/>
      <x:c r="BQ346" s="14"/>
      <x:c r="BR346" s="14"/>
      <x:c r="BS346" s="14"/>
      <x:c r="BT346" s="14"/>
      <x:c r="BU346" s="14"/>
      <x:c r="BV346" s="14"/>
      <x:c r="BW346" s="14"/>
      <x:c r="BX346" s="14"/>
      <x:c r="BY346" s="14"/>
      <x:c r="BZ346" s="14"/>
      <x:c r="CA346" s="14"/>
      <x:c r="CB346" s="14"/>
      <x:c r="CC346" s="14"/>
      <x:c r="CD346" s="14"/>
      <x:c r="CE346" s="14"/>
    </x:row>
    <x:row r="347">
      <x:c r="A347" s="14" t="n">
        <x:v>346</x:v>
      </x:c>
      <x:c r="B347" s="14"/>
      <x:c r="C347" s="14" t="str">
        <x:v>CHECKING_EVENT</x:v>
      </x:c>
      <x:c r="D347" s="14" t="str">
        <x:v>Exploratory_Checking_611_Positional_Surrogate.xlsx</x:v>
      </x:c>
      <x:c r="E347" s="14"/>
      <x:c r="F347" s="14"/>
      <x:c r="G347" s="14"/>
      <x:c r="H347" s="14"/>
      <x:c r="I347" s="14"/>
      <x:c r="J347" s="14"/>
      <x:c r="K347" s="14" t="str">
        <x:v>NEEDS_WINDOW_BINDING</x:v>
      </x:c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  <x:c r="AA347" s="14"/>
      <x:c r="AB347" s="14"/>
      <x:c r="AC347" s="14"/>
      <x:c r="AD347" s="14"/>
      <x:c r="AE347" s="14"/>
      <x:c r="AF347" s="14"/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/>
      <x:c r="BC347" s="14"/>
      <x:c r="BD347" s="14"/>
      <x:c r="BE347" s="14"/>
      <x:c r="BF347" s="14"/>
      <x:c r="BG347" s="14"/>
      <x:c r="BH347" s="14"/>
      <x:c r="BI347" s="14"/>
      <x:c r="BJ347" s="14"/>
      <x:c r="BK347" s="14"/>
      <x:c r="BL347" s="14"/>
      <x:c r="BM347" s="14"/>
      <x:c r="BN347" s="14"/>
      <x:c r="BO347" s="14"/>
      <x:c r="BP347" s="14"/>
      <x:c r="BQ347" s="14"/>
      <x:c r="BR347" s="14"/>
      <x:c r="BS347" s="14"/>
      <x:c r="BT347" s="14"/>
      <x:c r="BU347" s="14"/>
      <x:c r="BV347" s="14"/>
      <x:c r="BW347" s="14"/>
      <x:c r="BX347" s="14"/>
      <x:c r="BY347" s="14"/>
      <x:c r="BZ347" s="14"/>
      <x:c r="CA347" s="14"/>
      <x:c r="CB347" s="14"/>
      <x:c r="CC347" s="14"/>
      <x:c r="CD347" s="14"/>
      <x:c r="CE347" s="14"/>
    </x:row>
    <x:row r="348">
      <x:c r="A348" s="14" t="n">
        <x:v>347</x:v>
      </x:c>
      <x:c r="B348" s="14"/>
      <x:c r="C348" s="14" t="str">
        <x:v>CHECKING_EVENT</x:v>
      </x:c>
      <x:c r="D348" s="14" t="str">
        <x:v>Exploratory_Checking_611_Positional_Surrogate.xlsx</x:v>
      </x:c>
      <x:c r="E348" s="14"/>
      <x:c r="F348" s="14"/>
      <x:c r="G348" s="14"/>
      <x:c r="H348" s="14"/>
      <x:c r="I348" s="14"/>
      <x:c r="J348" s="14"/>
      <x:c r="K348" s="14" t="str">
        <x:v>NEEDS_WINDOW_BINDING</x:v>
      </x:c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  <x:c r="AA348" s="14"/>
      <x:c r="AB348" s="14"/>
      <x:c r="AC348" s="14"/>
      <x:c r="AD348" s="14"/>
      <x:c r="AE348" s="14"/>
      <x:c r="AF348" s="14"/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/>
      <x:c r="BC348" s="14"/>
      <x:c r="BD348" s="14"/>
      <x:c r="BE348" s="14"/>
      <x:c r="BF348" s="14"/>
      <x:c r="BG348" s="14"/>
      <x:c r="BH348" s="14"/>
      <x:c r="BI348" s="14"/>
      <x:c r="BJ348" s="14"/>
      <x:c r="BK348" s="14"/>
      <x:c r="BL348" s="14"/>
      <x:c r="BM348" s="14"/>
      <x:c r="BN348" s="14"/>
      <x:c r="BO348" s="14"/>
      <x:c r="BP348" s="14"/>
      <x:c r="BQ348" s="14"/>
      <x:c r="BR348" s="14"/>
      <x:c r="BS348" s="14"/>
      <x:c r="BT348" s="14"/>
      <x:c r="BU348" s="14"/>
      <x:c r="BV348" s="14"/>
      <x:c r="BW348" s="14"/>
      <x:c r="BX348" s="14"/>
      <x:c r="BY348" s="14"/>
      <x:c r="BZ348" s="14"/>
      <x:c r="CA348" s="14"/>
      <x:c r="CB348" s="14"/>
      <x:c r="CC348" s="14"/>
      <x:c r="CD348" s="14"/>
      <x:c r="CE348" s="14"/>
    </x:row>
    <x:row r="349">
      <x:c r="A349" s="14" t="n">
        <x:v>348</x:v>
      </x:c>
      <x:c r="B349" s="14"/>
      <x:c r="C349" s="14" t="str">
        <x:v>CHECKING_EVENT</x:v>
      </x:c>
      <x:c r="D349" s="14" t="str">
        <x:v>Exploratory_Checking_611_Positional_Surrogate.xlsx</x:v>
      </x:c>
      <x:c r="E349" s="14"/>
      <x:c r="F349" s="14"/>
      <x:c r="G349" s="14"/>
      <x:c r="H349" s="14"/>
      <x:c r="I349" s="14"/>
      <x:c r="J349" s="14"/>
      <x:c r="K349" s="14" t="str">
        <x:v>NEEDS_WINDOW_BINDING</x:v>
      </x:c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  <x:c r="AA349" s="14"/>
      <x:c r="AB349" s="14"/>
      <x:c r="AC349" s="14"/>
      <x:c r="AD349" s="14"/>
      <x:c r="AE349" s="14"/>
      <x:c r="AF349" s="14"/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/>
      <x:c r="BC349" s="14"/>
      <x:c r="BD349" s="14"/>
      <x:c r="BE349" s="14"/>
      <x:c r="BF349" s="14"/>
      <x:c r="BG349" s="14"/>
      <x:c r="BH349" s="14"/>
      <x:c r="BI349" s="14"/>
      <x:c r="BJ349" s="14"/>
      <x:c r="BK349" s="14"/>
      <x:c r="BL349" s="14"/>
      <x:c r="BM349" s="14"/>
      <x:c r="BN349" s="14"/>
      <x:c r="BO349" s="14"/>
      <x:c r="BP349" s="14"/>
      <x:c r="BQ349" s="14"/>
      <x:c r="BR349" s="14"/>
      <x:c r="BS349" s="14"/>
      <x:c r="BT349" s="14"/>
      <x:c r="BU349" s="14"/>
      <x:c r="BV349" s="14"/>
      <x:c r="BW349" s="14"/>
      <x:c r="BX349" s="14"/>
      <x:c r="BY349" s="14"/>
      <x:c r="BZ349" s="14"/>
      <x:c r="CA349" s="14"/>
      <x:c r="CB349" s="14"/>
      <x:c r="CC349" s="14"/>
      <x:c r="CD349" s="14"/>
      <x:c r="CE349" s="14"/>
    </x:row>
    <x:row r="350">
      <x:c r="A350" s="14" t="n">
        <x:v>349</x:v>
      </x:c>
      <x:c r="B350" s="14"/>
      <x:c r="C350" s="14" t="str">
        <x:v>CHECKING_EVENT</x:v>
      </x:c>
      <x:c r="D350" s="14" t="str">
        <x:v>Exploratory_Checking_611_Positional_Surrogate.xlsx</x:v>
      </x:c>
      <x:c r="E350" s="14"/>
      <x:c r="F350" s="14"/>
      <x:c r="G350" s="14"/>
      <x:c r="H350" s="14"/>
      <x:c r="I350" s="14"/>
      <x:c r="J350" s="14"/>
      <x:c r="K350" s="14" t="str">
        <x:v>NEEDS_WINDOW_BINDING</x:v>
      </x:c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  <x:c r="AA350" s="14"/>
      <x:c r="AB350" s="14"/>
      <x:c r="AC350" s="14"/>
      <x:c r="AD350" s="14"/>
      <x:c r="AE350" s="14"/>
      <x:c r="AF350" s="14"/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/>
      <x:c r="BC350" s="14"/>
      <x:c r="BD350" s="14"/>
      <x:c r="BE350" s="14"/>
      <x:c r="BF350" s="14"/>
      <x:c r="BG350" s="14"/>
      <x:c r="BH350" s="14"/>
      <x:c r="BI350" s="14"/>
      <x:c r="BJ350" s="14"/>
      <x:c r="BK350" s="14"/>
      <x:c r="BL350" s="14"/>
      <x:c r="BM350" s="14"/>
      <x:c r="BN350" s="14"/>
      <x:c r="BO350" s="14"/>
      <x:c r="BP350" s="14"/>
      <x:c r="BQ350" s="14"/>
      <x:c r="BR350" s="14"/>
      <x:c r="BS350" s="14"/>
      <x:c r="BT350" s="14"/>
      <x:c r="BU350" s="14"/>
      <x:c r="BV350" s="14"/>
      <x:c r="BW350" s="14"/>
      <x:c r="BX350" s="14"/>
      <x:c r="BY350" s="14"/>
      <x:c r="BZ350" s="14"/>
      <x:c r="CA350" s="14"/>
      <x:c r="CB350" s="14"/>
      <x:c r="CC350" s="14"/>
      <x:c r="CD350" s="14"/>
      <x:c r="CE350" s="14"/>
    </x:row>
    <x:row r="351">
      <x:c r="A351" s="14" t="n">
        <x:v>350</x:v>
      </x:c>
      <x:c r="B351" s="14"/>
      <x:c r="C351" s="14" t="str">
        <x:v>CHECKING_EVENT</x:v>
      </x:c>
      <x:c r="D351" s="14" t="str">
        <x:v>Exploratory_Checking_611_Positional_Surrogate.xlsx</x:v>
      </x:c>
      <x:c r="E351" s="14"/>
      <x:c r="F351" s="14"/>
      <x:c r="G351" s="14"/>
      <x:c r="H351" s="14"/>
      <x:c r="I351" s="14"/>
      <x:c r="J351" s="14"/>
      <x:c r="K351" s="14" t="str">
        <x:v>NEEDS_WINDOW_BINDING</x:v>
      </x:c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  <x:c r="AA351" s="14"/>
      <x:c r="AB351" s="14"/>
      <x:c r="AC351" s="14"/>
      <x:c r="AD351" s="14"/>
      <x:c r="AE351" s="14"/>
      <x:c r="AF351" s="14"/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/>
      <x:c r="BC351" s="14"/>
      <x:c r="BD351" s="14"/>
      <x:c r="BE351" s="14"/>
      <x:c r="BF351" s="14"/>
      <x:c r="BG351" s="14"/>
      <x:c r="BH351" s="14"/>
      <x:c r="BI351" s="14"/>
      <x:c r="BJ351" s="14"/>
      <x:c r="BK351" s="14"/>
      <x:c r="BL351" s="14"/>
      <x:c r="BM351" s="14"/>
      <x:c r="BN351" s="14"/>
      <x:c r="BO351" s="14"/>
      <x:c r="BP351" s="14"/>
      <x:c r="BQ351" s="14"/>
      <x:c r="BR351" s="14"/>
      <x:c r="BS351" s="14"/>
      <x:c r="BT351" s="14"/>
      <x:c r="BU351" s="14"/>
      <x:c r="BV351" s="14"/>
      <x:c r="BW351" s="14"/>
      <x:c r="BX351" s="14"/>
      <x:c r="BY351" s="14"/>
      <x:c r="BZ351" s="14"/>
      <x:c r="CA351" s="14"/>
      <x:c r="CB351" s="14"/>
      <x:c r="CC351" s="14"/>
      <x:c r="CD351" s="14"/>
      <x:c r="CE351" s="14"/>
    </x:row>
    <x:row r="352">
      <x:c r="A352" s="14" t="n">
        <x:v>351</x:v>
      </x:c>
      <x:c r="B352" s="14"/>
      <x:c r="C352" s="14" t="str">
        <x:v>CHECKING_EVENT</x:v>
      </x:c>
      <x:c r="D352" s="14" t="str">
        <x:v>Exploratory_Checking_611_Positional_Surrogate.xlsx</x:v>
      </x:c>
      <x:c r="E352" s="14"/>
      <x:c r="F352" s="14"/>
      <x:c r="G352" s="14"/>
      <x:c r="H352" s="14"/>
      <x:c r="I352" s="14"/>
      <x:c r="J352" s="14"/>
      <x:c r="K352" s="14" t="str">
        <x:v>NEEDS_WINDOW_BINDING</x:v>
      </x:c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  <x:c r="AB352" s="14"/>
      <x:c r="AC352" s="14"/>
      <x:c r="AD352" s="14"/>
      <x:c r="AE352" s="14"/>
      <x:c r="AF352" s="14"/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/>
      <x:c r="BC352" s="14"/>
      <x:c r="BD352" s="14"/>
      <x:c r="BE352" s="14"/>
      <x:c r="BF352" s="14"/>
      <x:c r="BG352" s="14"/>
      <x:c r="BH352" s="14"/>
      <x:c r="BI352" s="14"/>
      <x:c r="BJ352" s="14"/>
      <x:c r="BK352" s="14"/>
      <x:c r="BL352" s="14"/>
      <x:c r="BM352" s="14"/>
      <x:c r="BN352" s="14"/>
      <x:c r="BO352" s="14"/>
      <x:c r="BP352" s="14"/>
      <x:c r="BQ352" s="14"/>
      <x:c r="BR352" s="14"/>
      <x:c r="BS352" s="14"/>
      <x:c r="BT352" s="14"/>
      <x:c r="BU352" s="14"/>
      <x:c r="BV352" s="14"/>
      <x:c r="BW352" s="14"/>
      <x:c r="BX352" s="14"/>
      <x:c r="BY352" s="14"/>
      <x:c r="BZ352" s="14"/>
      <x:c r="CA352" s="14"/>
      <x:c r="CB352" s="14"/>
      <x:c r="CC352" s="14"/>
      <x:c r="CD352" s="14"/>
      <x:c r="CE352" s="14"/>
    </x:row>
    <x:row r="353">
      <x:c r="A353" s="14" t="n">
        <x:v>352</x:v>
      </x:c>
      <x:c r="B353" s="14"/>
      <x:c r="C353" s="14" t="str">
        <x:v>CHECKING_EVENT</x:v>
      </x:c>
      <x:c r="D353" s="14" t="str">
        <x:v>Exploratory_Checking_611_Positional_Surrogate.xlsx</x:v>
      </x:c>
      <x:c r="E353" s="14"/>
      <x:c r="F353" s="14"/>
      <x:c r="G353" s="14"/>
      <x:c r="H353" s="14"/>
      <x:c r="I353" s="14"/>
      <x:c r="J353" s="14"/>
      <x:c r="K353" s="14" t="str">
        <x:v>NEEDS_WINDOW_BINDING</x:v>
      </x:c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  <x:c r="AB353" s="14"/>
      <x:c r="AC353" s="14"/>
      <x:c r="AD353" s="14"/>
      <x:c r="AE353" s="14"/>
      <x:c r="AF353" s="14"/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/>
      <x:c r="BC353" s="14"/>
      <x:c r="BD353" s="14"/>
      <x:c r="BE353" s="14"/>
      <x:c r="BF353" s="14"/>
      <x:c r="BG353" s="14"/>
      <x:c r="BH353" s="14"/>
      <x:c r="BI353" s="14"/>
      <x:c r="BJ353" s="14"/>
      <x:c r="BK353" s="14"/>
      <x:c r="BL353" s="14"/>
      <x:c r="BM353" s="14"/>
      <x:c r="BN353" s="14"/>
      <x:c r="BO353" s="14"/>
      <x:c r="BP353" s="14"/>
      <x:c r="BQ353" s="14"/>
      <x:c r="BR353" s="14"/>
      <x:c r="BS353" s="14"/>
      <x:c r="BT353" s="14"/>
      <x:c r="BU353" s="14"/>
      <x:c r="BV353" s="14"/>
      <x:c r="BW353" s="14"/>
      <x:c r="BX353" s="14"/>
      <x:c r="BY353" s="14"/>
      <x:c r="BZ353" s="14"/>
      <x:c r="CA353" s="14"/>
      <x:c r="CB353" s="14"/>
      <x:c r="CC353" s="14"/>
      <x:c r="CD353" s="14"/>
      <x:c r="CE353" s="14"/>
    </x:row>
    <x:row r="354">
      <x:c r="A354" s="14" t="n">
        <x:v>353</x:v>
      </x:c>
      <x:c r="B354" s="14"/>
      <x:c r="C354" s="14" t="str">
        <x:v>CHECKING_EVENT</x:v>
      </x:c>
      <x:c r="D354" s="14" t="str">
        <x:v>Exploratory_Checking_611_Positional_Surrogate.xlsx</x:v>
      </x:c>
      <x:c r="E354" s="14"/>
      <x:c r="F354" s="14"/>
      <x:c r="G354" s="14"/>
      <x:c r="H354" s="14"/>
      <x:c r="I354" s="14"/>
      <x:c r="J354" s="14"/>
      <x:c r="K354" s="14" t="str">
        <x:v>NEEDS_WINDOW_BINDING</x:v>
      </x:c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  <x:c r="AA354" s="14"/>
      <x:c r="AB354" s="14"/>
      <x:c r="AC354" s="14"/>
      <x:c r="AD354" s="14"/>
      <x:c r="AE354" s="14"/>
      <x:c r="AF354" s="14"/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/>
      <x:c r="BC354" s="14"/>
      <x:c r="BD354" s="14"/>
      <x:c r="BE354" s="14"/>
      <x:c r="BF354" s="14"/>
      <x:c r="BG354" s="14"/>
      <x:c r="BH354" s="14"/>
      <x:c r="BI354" s="14"/>
      <x:c r="BJ354" s="14"/>
      <x:c r="BK354" s="14"/>
      <x:c r="BL354" s="14"/>
      <x:c r="BM354" s="14"/>
      <x:c r="BN354" s="14"/>
      <x:c r="BO354" s="14"/>
      <x:c r="BP354" s="14"/>
      <x:c r="BQ354" s="14"/>
      <x:c r="BR354" s="14"/>
      <x:c r="BS354" s="14"/>
      <x:c r="BT354" s="14"/>
      <x:c r="BU354" s="14"/>
      <x:c r="BV354" s="14"/>
      <x:c r="BW354" s="14"/>
      <x:c r="BX354" s="14"/>
      <x:c r="BY354" s="14"/>
      <x:c r="BZ354" s="14"/>
      <x:c r="CA354" s="14"/>
      <x:c r="CB354" s="14"/>
      <x:c r="CC354" s="14"/>
      <x:c r="CD354" s="14"/>
      <x:c r="CE354" s="14"/>
    </x:row>
    <x:row r="355">
      <x:c r="A355" s="14" t="n">
        <x:v>354</x:v>
      </x:c>
      <x:c r="B355" s="14"/>
      <x:c r="C355" s="14" t="str">
        <x:v>CHECKING_EVENT</x:v>
      </x:c>
      <x:c r="D355" s="14" t="str">
        <x:v>Exploratory_Checking_611_Positional_Surrogate.xlsx</x:v>
      </x:c>
      <x:c r="E355" s="14"/>
      <x:c r="F355" s="14"/>
      <x:c r="G355" s="14"/>
      <x:c r="H355" s="14"/>
      <x:c r="I355" s="14"/>
      <x:c r="J355" s="14"/>
      <x:c r="K355" s="14" t="str">
        <x:v>NEEDS_WINDOW_BINDING</x:v>
      </x:c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4"/>
      <x:c r="AB355" s="14"/>
      <x:c r="AC355" s="14"/>
      <x:c r="AD355" s="14"/>
      <x:c r="AE355" s="14"/>
      <x:c r="AF355" s="14"/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/>
      <x:c r="BC355" s="14"/>
      <x:c r="BD355" s="14"/>
      <x:c r="BE355" s="14"/>
      <x:c r="BF355" s="14"/>
      <x:c r="BG355" s="14"/>
      <x:c r="BH355" s="14"/>
      <x:c r="BI355" s="14"/>
      <x:c r="BJ355" s="14"/>
      <x:c r="BK355" s="14"/>
      <x:c r="BL355" s="14"/>
      <x:c r="BM355" s="14"/>
      <x:c r="BN355" s="14"/>
      <x:c r="BO355" s="14"/>
      <x:c r="BP355" s="14"/>
      <x:c r="BQ355" s="14"/>
      <x:c r="BR355" s="14"/>
      <x:c r="BS355" s="14"/>
      <x:c r="BT355" s="14"/>
      <x:c r="BU355" s="14"/>
      <x:c r="BV355" s="14"/>
      <x:c r="BW355" s="14"/>
      <x:c r="BX355" s="14"/>
      <x:c r="BY355" s="14"/>
      <x:c r="BZ355" s="14"/>
      <x:c r="CA355" s="14"/>
      <x:c r="CB355" s="14"/>
      <x:c r="CC355" s="14"/>
      <x:c r="CD355" s="14"/>
      <x:c r="CE355" s="14"/>
    </x:row>
    <x:row r="356">
      <x:c r="A356" s="14" t="n">
        <x:v>355</x:v>
      </x:c>
      <x:c r="B356" s="14"/>
      <x:c r="C356" s="14" t="str">
        <x:v>CHECKING_EVENT</x:v>
      </x:c>
      <x:c r="D356" s="14" t="str">
        <x:v>Exploratory_Checking_611_Positional_Surrogate.xlsx</x:v>
      </x:c>
      <x:c r="E356" s="14"/>
      <x:c r="F356" s="14"/>
      <x:c r="G356" s="14"/>
      <x:c r="H356" s="14"/>
      <x:c r="I356" s="14"/>
      <x:c r="J356" s="14"/>
      <x:c r="K356" s="14" t="str">
        <x:v>NEEDS_WINDOW_BINDING</x:v>
      </x:c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/>
      <x:c r="BC356" s="14"/>
      <x:c r="BD356" s="14"/>
      <x:c r="BE356" s="14"/>
      <x:c r="BF356" s="14"/>
      <x:c r="BG356" s="14"/>
      <x:c r="BH356" s="14"/>
      <x:c r="BI356" s="14"/>
      <x:c r="BJ356" s="14"/>
      <x:c r="BK356" s="14"/>
      <x:c r="BL356" s="14"/>
      <x:c r="BM356" s="14"/>
      <x:c r="BN356" s="14"/>
      <x:c r="BO356" s="14"/>
      <x:c r="BP356" s="14"/>
      <x:c r="BQ356" s="14"/>
      <x:c r="BR356" s="14"/>
      <x:c r="BS356" s="14"/>
      <x:c r="BT356" s="14"/>
      <x:c r="BU356" s="14"/>
      <x:c r="BV356" s="14"/>
      <x:c r="BW356" s="14"/>
      <x:c r="BX356" s="14"/>
      <x:c r="BY356" s="14"/>
      <x:c r="BZ356" s="14"/>
      <x:c r="CA356" s="14"/>
      <x:c r="CB356" s="14"/>
      <x:c r="CC356" s="14"/>
      <x:c r="CD356" s="14"/>
      <x:c r="CE356" s="14"/>
    </x:row>
    <x:row r="357">
      <x:c r="A357" s="14" t="n">
        <x:v>356</x:v>
      </x:c>
      <x:c r="B357" s="14"/>
      <x:c r="C357" s="14" t="str">
        <x:v>CHECKING_EVENT</x:v>
      </x:c>
      <x:c r="D357" s="14" t="str">
        <x:v>Exploratory_Checking_611_Positional_Surrogate.xlsx</x:v>
      </x:c>
      <x:c r="E357" s="14"/>
      <x:c r="F357" s="14"/>
      <x:c r="G357" s="14"/>
      <x:c r="H357" s="14"/>
      <x:c r="I357" s="14"/>
      <x:c r="J357" s="14"/>
      <x:c r="K357" s="14" t="str">
        <x:v>NEEDS_WINDOW_BINDING</x:v>
      </x:c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4"/>
      <x:c r="AB357" s="14"/>
      <x:c r="AC357" s="14"/>
      <x:c r="AD357" s="14"/>
      <x:c r="AE357" s="14"/>
      <x:c r="AF357" s="14"/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/>
      <x:c r="BC357" s="14"/>
      <x:c r="BD357" s="14"/>
      <x:c r="BE357" s="14"/>
      <x:c r="BF357" s="14"/>
      <x:c r="BG357" s="14"/>
      <x:c r="BH357" s="14"/>
      <x:c r="BI357" s="14"/>
      <x:c r="BJ357" s="14"/>
      <x:c r="BK357" s="14"/>
      <x:c r="BL357" s="14"/>
      <x:c r="BM357" s="14"/>
      <x:c r="BN357" s="14"/>
      <x:c r="BO357" s="14"/>
      <x:c r="BP357" s="14"/>
      <x:c r="BQ357" s="14"/>
      <x:c r="BR357" s="14"/>
      <x:c r="BS357" s="14"/>
      <x:c r="BT357" s="14"/>
      <x:c r="BU357" s="14"/>
      <x:c r="BV357" s="14"/>
      <x:c r="BW357" s="14"/>
      <x:c r="BX357" s="14"/>
      <x:c r="BY357" s="14"/>
      <x:c r="BZ357" s="14"/>
      <x:c r="CA357" s="14"/>
      <x:c r="CB357" s="14"/>
      <x:c r="CC357" s="14"/>
      <x:c r="CD357" s="14"/>
      <x:c r="CE357" s="14"/>
    </x:row>
    <x:row r="358">
      <x:c r="A358" s="14" t="n">
        <x:v>357</x:v>
      </x:c>
      <x:c r="B358" s="14"/>
      <x:c r="C358" s="14" t="str">
        <x:v>CHECKING_EVENT</x:v>
      </x:c>
      <x:c r="D358" s="14" t="str">
        <x:v>Exploratory_Checking_611_Positional_Surrogate.xlsx</x:v>
      </x:c>
      <x:c r="E358" s="14"/>
      <x:c r="F358" s="14"/>
      <x:c r="G358" s="14"/>
      <x:c r="H358" s="14"/>
      <x:c r="I358" s="14"/>
      <x:c r="J358" s="14"/>
      <x:c r="K358" s="14" t="str">
        <x:v>NEEDS_WINDOW_BINDING</x:v>
      </x:c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  <x:c r="AA358" s="14"/>
      <x:c r="AB358" s="14"/>
      <x:c r="AC358" s="14"/>
      <x:c r="AD358" s="14"/>
      <x:c r="AE358" s="14"/>
      <x:c r="AF358" s="14"/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/>
      <x:c r="BC358" s="14"/>
      <x:c r="BD358" s="14"/>
      <x:c r="BE358" s="14"/>
      <x:c r="BF358" s="14"/>
      <x:c r="BG358" s="14"/>
      <x:c r="BH358" s="14"/>
      <x:c r="BI358" s="14"/>
      <x:c r="BJ358" s="14"/>
      <x:c r="BK358" s="14"/>
      <x:c r="BL358" s="14"/>
      <x:c r="BM358" s="14"/>
      <x:c r="BN358" s="14"/>
      <x:c r="BO358" s="14"/>
      <x:c r="BP358" s="14"/>
      <x:c r="BQ358" s="14"/>
      <x:c r="BR358" s="14"/>
      <x:c r="BS358" s="14"/>
      <x:c r="BT358" s="14"/>
      <x:c r="BU358" s="14"/>
      <x:c r="BV358" s="14"/>
      <x:c r="BW358" s="14"/>
      <x:c r="BX358" s="14"/>
      <x:c r="BY358" s="14"/>
      <x:c r="BZ358" s="14"/>
      <x:c r="CA358" s="14"/>
      <x:c r="CB358" s="14"/>
      <x:c r="CC358" s="14"/>
      <x:c r="CD358" s="14"/>
      <x:c r="CE358" s="14"/>
    </x:row>
    <x:row r="359">
      <x:c r="A359" s="14" t="n">
        <x:v>358</x:v>
      </x:c>
      <x:c r="B359" s="14"/>
      <x:c r="C359" s="14" t="str">
        <x:v>CHECKING_EVENT</x:v>
      </x:c>
      <x:c r="D359" s="14" t="str">
        <x:v>Exploratory_Checking_611_Positional_Surrogate.xlsx</x:v>
      </x:c>
      <x:c r="E359" s="14"/>
      <x:c r="F359" s="14"/>
      <x:c r="G359" s="14"/>
      <x:c r="H359" s="14"/>
      <x:c r="I359" s="14"/>
      <x:c r="J359" s="14"/>
      <x:c r="K359" s="14" t="str">
        <x:v>NEEDS_WINDOW_BINDING</x:v>
      </x:c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  <x:c r="AA359" s="14"/>
      <x:c r="AB359" s="14"/>
      <x:c r="AC359" s="14"/>
      <x:c r="AD359" s="14"/>
      <x:c r="AE359" s="14"/>
      <x:c r="AF359" s="14"/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/>
      <x:c r="BC359" s="14"/>
      <x:c r="BD359" s="14"/>
      <x:c r="BE359" s="14"/>
      <x:c r="BF359" s="14"/>
      <x:c r="BG359" s="14"/>
      <x:c r="BH359" s="14"/>
      <x:c r="BI359" s="14"/>
      <x:c r="BJ359" s="14"/>
      <x:c r="BK359" s="14"/>
      <x:c r="BL359" s="14"/>
      <x:c r="BM359" s="14"/>
      <x:c r="BN359" s="14"/>
      <x:c r="BO359" s="14"/>
      <x:c r="BP359" s="14"/>
      <x:c r="BQ359" s="14"/>
      <x:c r="BR359" s="14"/>
      <x:c r="BS359" s="14"/>
      <x:c r="BT359" s="14"/>
      <x:c r="BU359" s="14"/>
      <x:c r="BV359" s="14"/>
      <x:c r="BW359" s="14"/>
      <x:c r="BX359" s="14"/>
      <x:c r="BY359" s="14"/>
      <x:c r="BZ359" s="14"/>
      <x:c r="CA359" s="14"/>
      <x:c r="CB359" s="14"/>
      <x:c r="CC359" s="14"/>
      <x:c r="CD359" s="14"/>
      <x:c r="CE359" s="14"/>
    </x:row>
    <x:row r="360">
      <x:c r="A360" s="14" t="n">
        <x:v>359</x:v>
      </x:c>
      <x:c r="B360" s="14"/>
      <x:c r="C360" s="14" t="str">
        <x:v>CHECKING_EVENT</x:v>
      </x:c>
      <x:c r="D360" s="14" t="str">
        <x:v>Exploratory_Checking_611_Positional_Surrogate.xlsx</x:v>
      </x:c>
      <x:c r="E360" s="14"/>
      <x:c r="F360" s="14"/>
      <x:c r="G360" s="14"/>
      <x:c r="H360" s="14"/>
      <x:c r="I360" s="14"/>
      <x:c r="J360" s="14"/>
      <x:c r="K360" s="14" t="str">
        <x:v>NEEDS_WINDOW_BINDING</x:v>
      </x:c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  <x:c r="AA360" s="14"/>
      <x:c r="AB360" s="14"/>
      <x:c r="AC360" s="14"/>
      <x:c r="AD360" s="14"/>
      <x:c r="AE360" s="14"/>
      <x:c r="AF360" s="14"/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/>
      <x:c r="BC360" s="14"/>
      <x:c r="BD360" s="14"/>
      <x:c r="BE360" s="14"/>
      <x:c r="BF360" s="14"/>
      <x:c r="BG360" s="14"/>
      <x:c r="BH360" s="14"/>
      <x:c r="BI360" s="14"/>
      <x:c r="BJ360" s="14"/>
      <x:c r="BK360" s="14"/>
      <x:c r="BL360" s="14"/>
      <x:c r="BM360" s="14"/>
      <x:c r="BN360" s="14"/>
      <x:c r="BO360" s="14"/>
      <x:c r="BP360" s="14"/>
      <x:c r="BQ360" s="14"/>
      <x:c r="BR360" s="14"/>
      <x:c r="BS360" s="14"/>
      <x:c r="BT360" s="14"/>
      <x:c r="BU360" s="14"/>
      <x:c r="BV360" s="14"/>
      <x:c r="BW360" s="14"/>
      <x:c r="BX360" s="14"/>
      <x:c r="BY360" s="14"/>
      <x:c r="BZ360" s="14"/>
      <x:c r="CA360" s="14"/>
      <x:c r="CB360" s="14"/>
      <x:c r="CC360" s="14"/>
      <x:c r="CD360" s="14"/>
      <x:c r="CE360" s="14"/>
    </x:row>
    <x:row r="361">
      <x:c r="A361" s="14" t="n">
        <x:v>360</x:v>
      </x:c>
      <x:c r="B361" s="14"/>
      <x:c r="C361" s="14" t="str">
        <x:v>CHECKING_EVENT</x:v>
      </x:c>
      <x:c r="D361" s="14" t="str">
        <x:v>Exploratory_Checking_611_Positional_Surrogate.xlsx</x:v>
      </x:c>
      <x:c r="E361" s="14"/>
      <x:c r="F361" s="14"/>
      <x:c r="G361" s="14"/>
      <x:c r="H361" s="14"/>
      <x:c r="I361" s="14"/>
      <x:c r="J361" s="14"/>
      <x:c r="K361" s="14" t="str">
        <x:v>NEEDS_WINDOW_BINDING</x:v>
      </x:c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  <x:c r="AA361" s="14"/>
      <x:c r="AB361" s="14"/>
      <x:c r="AC361" s="14"/>
      <x:c r="AD361" s="14"/>
      <x:c r="AE361" s="14"/>
      <x:c r="AF361" s="14"/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/>
      <x:c r="BC361" s="14"/>
      <x:c r="BD361" s="14"/>
      <x:c r="BE361" s="14"/>
      <x:c r="BF361" s="14"/>
      <x:c r="BG361" s="14"/>
      <x:c r="BH361" s="14"/>
      <x:c r="BI361" s="14"/>
      <x:c r="BJ361" s="14"/>
      <x:c r="BK361" s="14"/>
      <x:c r="BL361" s="14"/>
      <x:c r="BM361" s="14"/>
      <x:c r="BN361" s="14"/>
      <x:c r="BO361" s="14"/>
      <x:c r="BP361" s="14"/>
      <x:c r="BQ361" s="14"/>
      <x:c r="BR361" s="14"/>
      <x:c r="BS361" s="14"/>
      <x:c r="BT361" s="14"/>
      <x:c r="BU361" s="14"/>
      <x:c r="BV361" s="14"/>
      <x:c r="BW361" s="14"/>
      <x:c r="BX361" s="14"/>
      <x:c r="BY361" s="14"/>
      <x:c r="BZ361" s="14"/>
      <x:c r="CA361" s="14"/>
      <x:c r="CB361" s="14"/>
      <x:c r="CC361" s="14"/>
      <x:c r="CD361" s="14"/>
      <x:c r="CE361" s="14"/>
    </x:row>
    <x:row r="362">
      <x:c r="A362" s="14" t="n">
        <x:v>361</x:v>
      </x:c>
      <x:c r="B362" s="14"/>
      <x:c r="C362" s="14" t="str">
        <x:v>CHECKING_EVENT</x:v>
      </x:c>
      <x:c r="D362" s="14" t="str">
        <x:v>Exploratory_Checking_611_Positional_Surrogate.xlsx</x:v>
      </x:c>
      <x:c r="E362" s="14"/>
      <x:c r="F362" s="14"/>
      <x:c r="G362" s="14"/>
      <x:c r="H362" s="14"/>
      <x:c r="I362" s="14"/>
      <x:c r="J362" s="14"/>
      <x:c r="K362" s="14" t="str">
        <x:v>NEEDS_WINDOW_BINDING</x:v>
      </x:c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/>
      <x:c r="BC362" s="14"/>
      <x:c r="BD362" s="14"/>
      <x:c r="BE362" s="14"/>
      <x:c r="BF362" s="14"/>
      <x:c r="BG362" s="14"/>
      <x:c r="BH362" s="14"/>
      <x:c r="BI362" s="14"/>
      <x:c r="BJ362" s="14"/>
      <x:c r="BK362" s="14"/>
      <x:c r="BL362" s="14"/>
      <x:c r="BM362" s="14"/>
      <x:c r="BN362" s="14"/>
      <x:c r="BO362" s="14"/>
      <x:c r="BP362" s="14"/>
      <x:c r="BQ362" s="14"/>
      <x:c r="BR362" s="14"/>
      <x:c r="BS362" s="14"/>
      <x:c r="BT362" s="14"/>
      <x:c r="BU362" s="14"/>
      <x:c r="BV362" s="14"/>
      <x:c r="BW362" s="14"/>
      <x:c r="BX362" s="14"/>
      <x:c r="BY362" s="14"/>
      <x:c r="BZ362" s="14"/>
      <x:c r="CA362" s="14"/>
      <x:c r="CB362" s="14"/>
      <x:c r="CC362" s="14"/>
      <x:c r="CD362" s="14"/>
      <x:c r="CE362" s="14"/>
    </x:row>
    <x:row r="363">
      <x:c r="A363" s="14" t="n">
        <x:v>362</x:v>
      </x:c>
      <x:c r="B363" s="14"/>
      <x:c r="C363" s="14" t="str">
        <x:v>CHECKING_EVENT</x:v>
      </x:c>
      <x:c r="D363" s="14" t="str">
        <x:v>Exploratory_Checking_611_Positional_Surrogate.xlsx</x:v>
      </x:c>
      <x:c r="E363" s="14"/>
      <x:c r="F363" s="14"/>
      <x:c r="G363" s="14"/>
      <x:c r="H363" s="14"/>
      <x:c r="I363" s="14"/>
      <x:c r="J363" s="14"/>
      <x:c r="K363" s="14" t="str">
        <x:v>NEEDS_WINDOW_BINDING</x:v>
      </x:c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4"/>
      <x:c r="AB363" s="14"/>
      <x:c r="AC363" s="14"/>
      <x:c r="AD363" s="14"/>
      <x:c r="AE363" s="14"/>
      <x:c r="AF363" s="14"/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/>
      <x:c r="BC363" s="14"/>
      <x:c r="BD363" s="14"/>
      <x:c r="BE363" s="14"/>
      <x:c r="BF363" s="14"/>
      <x:c r="BG363" s="14"/>
      <x:c r="BH363" s="14"/>
      <x:c r="BI363" s="14"/>
      <x:c r="BJ363" s="14"/>
      <x:c r="BK363" s="14"/>
      <x:c r="BL363" s="14"/>
      <x:c r="BM363" s="14"/>
      <x:c r="BN363" s="14"/>
      <x:c r="BO363" s="14"/>
      <x:c r="BP363" s="14"/>
      <x:c r="BQ363" s="14"/>
      <x:c r="BR363" s="14"/>
      <x:c r="BS363" s="14"/>
      <x:c r="BT363" s="14"/>
      <x:c r="BU363" s="14"/>
      <x:c r="BV363" s="14"/>
      <x:c r="BW363" s="14"/>
      <x:c r="BX363" s="14"/>
      <x:c r="BY363" s="14"/>
      <x:c r="BZ363" s="14"/>
      <x:c r="CA363" s="14"/>
      <x:c r="CB363" s="14"/>
      <x:c r="CC363" s="14"/>
      <x:c r="CD363" s="14"/>
      <x:c r="CE363" s="14"/>
    </x:row>
    <x:row r="364">
      <x:c r="A364" s="14" t="n">
        <x:v>363</x:v>
      </x:c>
      <x:c r="B364" s="14"/>
      <x:c r="C364" s="14" t="str">
        <x:v>CHECKING_EVENT</x:v>
      </x:c>
      <x:c r="D364" s="14" t="str">
        <x:v>Exploratory_Checking_611_Positional_Surrogate.xlsx</x:v>
      </x:c>
      <x:c r="E364" s="14"/>
      <x:c r="F364" s="14"/>
      <x:c r="G364" s="14"/>
      <x:c r="H364" s="14"/>
      <x:c r="I364" s="14"/>
      <x:c r="J364" s="14"/>
      <x:c r="K364" s="14" t="str">
        <x:v>NEEDS_WINDOW_BINDING</x:v>
      </x:c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4"/>
      <x:c r="AB364" s="14"/>
      <x:c r="AC364" s="14"/>
      <x:c r="AD364" s="14"/>
      <x:c r="AE364" s="14"/>
      <x:c r="AF364" s="14"/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/>
      <x:c r="BC364" s="14"/>
      <x:c r="BD364" s="14"/>
      <x:c r="BE364" s="14"/>
      <x:c r="BF364" s="14"/>
      <x:c r="BG364" s="14"/>
      <x:c r="BH364" s="14"/>
      <x:c r="BI364" s="14"/>
      <x:c r="BJ364" s="14"/>
      <x:c r="BK364" s="14"/>
      <x:c r="BL364" s="14"/>
      <x:c r="BM364" s="14"/>
      <x:c r="BN364" s="14"/>
      <x:c r="BO364" s="14"/>
      <x:c r="BP364" s="14"/>
      <x:c r="BQ364" s="14"/>
      <x:c r="BR364" s="14"/>
      <x:c r="BS364" s="14"/>
      <x:c r="BT364" s="14"/>
      <x:c r="BU364" s="14"/>
      <x:c r="BV364" s="14"/>
      <x:c r="BW364" s="14"/>
      <x:c r="BX364" s="14"/>
      <x:c r="BY364" s="14"/>
      <x:c r="BZ364" s="14"/>
      <x:c r="CA364" s="14"/>
      <x:c r="CB364" s="14"/>
      <x:c r="CC364" s="14"/>
      <x:c r="CD364" s="14"/>
      <x:c r="CE364" s="14"/>
    </x:row>
    <x:row r="365">
      <x:c r="A365" s="14" t="n">
        <x:v>364</x:v>
      </x:c>
      <x:c r="B365" s="14"/>
      <x:c r="C365" s="14" t="str">
        <x:v>CHECKING_EVENT</x:v>
      </x:c>
      <x:c r="D365" s="14" t="str">
        <x:v>Exploratory_Checking_611_Positional_Surrogate.xlsx</x:v>
      </x:c>
      <x:c r="E365" s="14"/>
      <x:c r="F365" s="14"/>
      <x:c r="G365" s="14"/>
      <x:c r="H365" s="14"/>
      <x:c r="I365" s="14"/>
      <x:c r="J365" s="14"/>
      <x:c r="K365" s="14" t="str">
        <x:v>NEEDS_WINDOW_BINDING</x:v>
      </x:c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  <x:c r="AA365" s="14"/>
      <x:c r="AB365" s="14"/>
      <x:c r="AC365" s="14"/>
      <x:c r="AD365" s="14"/>
      <x:c r="AE365" s="14"/>
      <x:c r="AF365" s="14"/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/>
      <x:c r="BC365" s="14"/>
      <x:c r="BD365" s="14"/>
      <x:c r="BE365" s="14"/>
      <x:c r="BF365" s="14"/>
      <x:c r="BG365" s="14"/>
      <x:c r="BH365" s="14"/>
      <x:c r="BI365" s="14"/>
      <x:c r="BJ365" s="14"/>
      <x:c r="BK365" s="14"/>
      <x:c r="BL365" s="14"/>
      <x:c r="BM365" s="14"/>
      <x:c r="BN365" s="14"/>
      <x:c r="BO365" s="14"/>
      <x:c r="BP365" s="14"/>
      <x:c r="BQ365" s="14"/>
      <x:c r="BR365" s="14"/>
      <x:c r="BS365" s="14"/>
      <x:c r="BT365" s="14"/>
      <x:c r="BU365" s="14"/>
      <x:c r="BV365" s="14"/>
      <x:c r="BW365" s="14"/>
      <x:c r="BX365" s="14"/>
      <x:c r="BY365" s="14"/>
      <x:c r="BZ365" s="14"/>
      <x:c r="CA365" s="14"/>
      <x:c r="CB365" s="14"/>
      <x:c r="CC365" s="14"/>
      <x:c r="CD365" s="14"/>
      <x:c r="CE365" s="14"/>
    </x:row>
    <x:row r="366">
      <x:c r="A366" s="14" t="n">
        <x:v>365</x:v>
      </x:c>
      <x:c r="B366" s="14"/>
      <x:c r="C366" s="14" t="str">
        <x:v>CHECKING_EVENT</x:v>
      </x:c>
      <x:c r="D366" s="14" t="str">
        <x:v>Exploratory_Checking_611_Positional_Surrogate.xlsx</x:v>
      </x:c>
      <x:c r="E366" s="14"/>
      <x:c r="F366" s="14"/>
      <x:c r="G366" s="14"/>
      <x:c r="H366" s="14"/>
      <x:c r="I366" s="14"/>
      <x:c r="J366" s="14"/>
      <x:c r="K366" s="14" t="str">
        <x:v>NEEDS_WINDOW_BINDING</x:v>
      </x:c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  <x:c r="AA366" s="14"/>
      <x:c r="AB366" s="14"/>
      <x:c r="AC366" s="14"/>
      <x:c r="AD366" s="14"/>
      <x:c r="AE366" s="14"/>
      <x:c r="AF366" s="14"/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/>
      <x:c r="BC366" s="14"/>
      <x:c r="BD366" s="14"/>
      <x:c r="BE366" s="14"/>
      <x:c r="BF366" s="14"/>
      <x:c r="BG366" s="14"/>
      <x:c r="BH366" s="14"/>
      <x:c r="BI366" s="14"/>
      <x:c r="BJ366" s="14"/>
      <x:c r="BK366" s="14"/>
      <x:c r="BL366" s="14"/>
      <x:c r="BM366" s="14"/>
      <x:c r="BN366" s="14"/>
      <x:c r="BO366" s="14"/>
      <x:c r="BP366" s="14"/>
      <x:c r="BQ366" s="14"/>
      <x:c r="BR366" s="14"/>
      <x:c r="BS366" s="14"/>
      <x:c r="BT366" s="14"/>
      <x:c r="BU366" s="14"/>
      <x:c r="BV366" s="14"/>
      <x:c r="BW366" s="14"/>
      <x:c r="BX366" s="14"/>
      <x:c r="BY366" s="14"/>
      <x:c r="BZ366" s="14"/>
      <x:c r="CA366" s="14"/>
      <x:c r="CB366" s="14"/>
      <x:c r="CC366" s="14"/>
      <x:c r="CD366" s="14"/>
      <x:c r="CE366" s="14"/>
    </x:row>
    <x:row r="367">
      <x:c r="A367" s="14" t="n">
        <x:v>366</x:v>
      </x:c>
      <x:c r="B367" s="14"/>
      <x:c r="C367" s="14" t="str">
        <x:v>CHECKING_EVENT</x:v>
      </x:c>
      <x:c r="D367" s="14" t="str">
        <x:v>Exploratory_Checking_611_Positional_Surrogate.xlsx</x:v>
      </x:c>
      <x:c r="E367" s="14"/>
      <x:c r="F367" s="14"/>
      <x:c r="G367" s="14"/>
      <x:c r="H367" s="14"/>
      <x:c r="I367" s="14"/>
      <x:c r="J367" s="14"/>
      <x:c r="K367" s="14" t="str">
        <x:v>NEEDS_WINDOW_BINDING</x:v>
      </x:c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  <x:c r="AA367" s="14"/>
      <x:c r="AB367" s="14"/>
      <x:c r="AC367" s="14"/>
      <x:c r="AD367" s="14"/>
      <x:c r="AE367" s="14"/>
      <x:c r="AF367" s="14"/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/>
      <x:c r="BC367" s="14"/>
      <x:c r="BD367" s="14"/>
      <x:c r="BE367" s="14"/>
      <x:c r="BF367" s="14"/>
      <x:c r="BG367" s="14"/>
      <x:c r="BH367" s="14"/>
      <x:c r="BI367" s="14"/>
      <x:c r="BJ367" s="14"/>
      <x:c r="BK367" s="14"/>
      <x:c r="BL367" s="14"/>
      <x:c r="BM367" s="14"/>
      <x:c r="BN367" s="14"/>
      <x:c r="BO367" s="14"/>
      <x:c r="BP367" s="14"/>
      <x:c r="BQ367" s="14"/>
      <x:c r="BR367" s="14"/>
      <x:c r="BS367" s="14"/>
      <x:c r="BT367" s="14"/>
      <x:c r="BU367" s="14"/>
      <x:c r="BV367" s="14"/>
      <x:c r="BW367" s="14"/>
      <x:c r="BX367" s="14"/>
      <x:c r="BY367" s="14"/>
      <x:c r="BZ367" s="14"/>
      <x:c r="CA367" s="14"/>
      <x:c r="CB367" s="14"/>
      <x:c r="CC367" s="14"/>
      <x:c r="CD367" s="14"/>
      <x:c r="CE367" s="14"/>
    </x:row>
    <x:row r="368">
      <x:c r="A368" s="14" t="n">
        <x:v>367</x:v>
      </x:c>
      <x:c r="B368" s="14"/>
      <x:c r="C368" s="14" t="str">
        <x:v>CHECKING_EVENT</x:v>
      </x:c>
      <x:c r="D368" s="14" t="str">
        <x:v>Exploratory_Checking_611_Positional_Surrogate.xlsx</x:v>
      </x:c>
      <x:c r="E368" s="14"/>
      <x:c r="F368" s="14"/>
      <x:c r="G368" s="14"/>
      <x:c r="H368" s="14"/>
      <x:c r="I368" s="14"/>
      <x:c r="J368" s="14"/>
      <x:c r="K368" s="14" t="str">
        <x:v>NEEDS_WINDOW_BINDING</x:v>
      </x:c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/>
      <x:c r="BC368" s="14"/>
      <x:c r="BD368" s="14"/>
      <x:c r="BE368" s="14"/>
      <x:c r="BF368" s="14"/>
      <x:c r="BG368" s="14"/>
      <x:c r="BH368" s="14"/>
      <x:c r="BI368" s="14"/>
      <x:c r="BJ368" s="14"/>
      <x:c r="BK368" s="14"/>
      <x:c r="BL368" s="14"/>
      <x:c r="BM368" s="14"/>
      <x:c r="BN368" s="14"/>
      <x:c r="BO368" s="14"/>
      <x:c r="BP368" s="14"/>
      <x:c r="BQ368" s="14"/>
      <x:c r="BR368" s="14"/>
      <x:c r="BS368" s="14"/>
      <x:c r="BT368" s="14"/>
      <x:c r="BU368" s="14"/>
      <x:c r="BV368" s="14"/>
      <x:c r="BW368" s="14"/>
      <x:c r="BX368" s="14"/>
      <x:c r="BY368" s="14"/>
      <x:c r="BZ368" s="14"/>
      <x:c r="CA368" s="14"/>
      <x:c r="CB368" s="14"/>
      <x:c r="CC368" s="14"/>
      <x:c r="CD368" s="14"/>
      <x:c r="CE368" s="14"/>
    </x:row>
    <x:row r="369">
      <x:c r="A369" s="14" t="n">
        <x:v>368</x:v>
      </x:c>
      <x:c r="B369" s="14"/>
      <x:c r="C369" s="14" t="str">
        <x:v>CHECKING_EVENT</x:v>
      </x:c>
      <x:c r="D369" s="14" t="str">
        <x:v>Exploratory_Checking_611_Positional_Surrogate.xlsx</x:v>
      </x:c>
      <x:c r="E369" s="14"/>
      <x:c r="F369" s="14"/>
      <x:c r="G369" s="14"/>
      <x:c r="H369" s="14"/>
      <x:c r="I369" s="14"/>
      <x:c r="J369" s="14"/>
      <x:c r="K369" s="14" t="str">
        <x:v>NEEDS_WINDOW_BINDING</x:v>
      </x:c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  <x:c r="AA369" s="14"/>
      <x:c r="AB369" s="14"/>
      <x:c r="AC369" s="14"/>
      <x:c r="AD369" s="14"/>
      <x:c r="AE369" s="14"/>
      <x:c r="AF369" s="14"/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/>
      <x:c r="BC369" s="14"/>
      <x:c r="BD369" s="14"/>
      <x:c r="BE369" s="14"/>
      <x:c r="BF369" s="14"/>
      <x:c r="BG369" s="14"/>
      <x:c r="BH369" s="14"/>
      <x:c r="BI369" s="14"/>
      <x:c r="BJ369" s="14"/>
      <x:c r="BK369" s="14"/>
      <x:c r="BL369" s="14"/>
      <x:c r="BM369" s="14"/>
      <x:c r="BN369" s="14"/>
      <x:c r="BO369" s="14"/>
      <x:c r="BP369" s="14"/>
      <x:c r="BQ369" s="14"/>
      <x:c r="BR369" s="14"/>
      <x:c r="BS369" s="14"/>
      <x:c r="BT369" s="14"/>
      <x:c r="BU369" s="14"/>
      <x:c r="BV369" s="14"/>
      <x:c r="BW369" s="14"/>
      <x:c r="BX369" s="14"/>
      <x:c r="BY369" s="14"/>
      <x:c r="BZ369" s="14"/>
      <x:c r="CA369" s="14"/>
      <x:c r="CB369" s="14"/>
      <x:c r="CC369" s="14"/>
      <x:c r="CD369" s="14"/>
      <x:c r="CE369" s="14"/>
    </x:row>
    <x:row r="370">
      <x:c r="A370" s="14" t="n">
        <x:v>369</x:v>
      </x:c>
      <x:c r="B370" s="14"/>
      <x:c r="C370" s="14" t="str">
        <x:v>CHECKING_EVENT</x:v>
      </x:c>
      <x:c r="D370" s="14" t="str">
        <x:v>Exploratory_Checking_611_Positional_Surrogate.xlsx</x:v>
      </x:c>
      <x:c r="E370" s="14"/>
      <x:c r="F370" s="14"/>
      <x:c r="G370" s="14"/>
      <x:c r="H370" s="14"/>
      <x:c r="I370" s="14"/>
      <x:c r="J370" s="14"/>
      <x:c r="K370" s="14" t="str">
        <x:v>NEEDS_WINDOW_BINDING</x:v>
      </x:c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/>
      <x:c r="BC370" s="14"/>
      <x:c r="BD370" s="14"/>
      <x:c r="BE370" s="14"/>
      <x:c r="BF370" s="14"/>
      <x:c r="BG370" s="14"/>
      <x:c r="BH370" s="14"/>
      <x:c r="BI370" s="14"/>
      <x:c r="BJ370" s="14"/>
      <x:c r="BK370" s="14"/>
      <x:c r="BL370" s="14"/>
      <x:c r="BM370" s="14"/>
      <x:c r="BN370" s="14"/>
      <x:c r="BO370" s="14"/>
      <x:c r="BP370" s="14"/>
      <x:c r="BQ370" s="14"/>
      <x:c r="BR370" s="14"/>
      <x:c r="BS370" s="14"/>
      <x:c r="BT370" s="14"/>
      <x:c r="BU370" s="14"/>
      <x:c r="BV370" s="14"/>
      <x:c r="BW370" s="14"/>
      <x:c r="BX370" s="14"/>
      <x:c r="BY370" s="14"/>
      <x:c r="BZ370" s="14"/>
      <x:c r="CA370" s="14"/>
      <x:c r="CB370" s="14"/>
      <x:c r="CC370" s="14"/>
      <x:c r="CD370" s="14"/>
      <x:c r="CE370" s="14"/>
    </x:row>
    <x:row r="371">
      <x:c r="A371" s="14" t="n">
        <x:v>370</x:v>
      </x:c>
      <x:c r="B371" s="14"/>
      <x:c r="C371" s="14" t="str">
        <x:v>CHECKING_EVENT</x:v>
      </x:c>
      <x:c r="D371" s="14" t="str">
        <x:v>Exploratory_Checking_611_Positional_Surrogate.xlsx</x:v>
      </x:c>
      <x:c r="E371" s="14"/>
      <x:c r="F371" s="14"/>
      <x:c r="G371" s="14"/>
      <x:c r="H371" s="14"/>
      <x:c r="I371" s="14"/>
      <x:c r="J371" s="14"/>
      <x:c r="K371" s="14" t="str">
        <x:v>NEEDS_WINDOW_BINDING</x:v>
      </x:c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  <x:c r="AA371" s="14"/>
      <x:c r="AB371" s="14"/>
      <x:c r="AC371" s="14"/>
      <x:c r="AD371" s="14"/>
      <x:c r="AE371" s="14"/>
      <x:c r="AF371" s="14"/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/>
      <x:c r="BC371" s="14"/>
      <x:c r="BD371" s="14"/>
      <x:c r="BE371" s="14"/>
      <x:c r="BF371" s="14"/>
      <x:c r="BG371" s="14"/>
      <x:c r="BH371" s="14"/>
      <x:c r="BI371" s="14"/>
      <x:c r="BJ371" s="14"/>
      <x:c r="BK371" s="14"/>
      <x:c r="BL371" s="14"/>
      <x:c r="BM371" s="14"/>
      <x:c r="BN371" s="14"/>
      <x:c r="BO371" s="14"/>
      <x:c r="BP371" s="14"/>
      <x:c r="BQ371" s="14"/>
      <x:c r="BR371" s="14"/>
      <x:c r="BS371" s="14"/>
      <x:c r="BT371" s="14"/>
      <x:c r="BU371" s="14"/>
      <x:c r="BV371" s="14"/>
      <x:c r="BW371" s="14"/>
      <x:c r="BX371" s="14"/>
      <x:c r="BY371" s="14"/>
      <x:c r="BZ371" s="14"/>
      <x:c r="CA371" s="14"/>
      <x:c r="CB371" s="14"/>
      <x:c r="CC371" s="14"/>
      <x:c r="CD371" s="14"/>
      <x:c r="CE371" s="14"/>
    </x:row>
    <x:row r="372">
      <x:c r="A372" s="14" t="n">
        <x:v>371</x:v>
      </x:c>
      <x:c r="B372" s="14"/>
      <x:c r="C372" s="14" t="str">
        <x:v>CHECKING_EVENT</x:v>
      </x:c>
      <x:c r="D372" s="14" t="str">
        <x:v>Exploratory_Checking_611_Positional_Surrogate.xlsx</x:v>
      </x:c>
      <x:c r="E372" s="14"/>
      <x:c r="F372" s="14"/>
      <x:c r="G372" s="14"/>
      <x:c r="H372" s="14"/>
      <x:c r="I372" s="14"/>
      <x:c r="J372" s="14"/>
      <x:c r="K372" s="14" t="str">
        <x:v>NEEDS_WINDOW_BINDING</x:v>
      </x:c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  <x:c r="AB372" s="14"/>
      <x:c r="AC372" s="14"/>
      <x:c r="AD372" s="14"/>
      <x:c r="AE372" s="14"/>
      <x:c r="AF372" s="14"/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/>
      <x:c r="BC372" s="14"/>
      <x:c r="BD372" s="14"/>
      <x:c r="BE372" s="14"/>
      <x:c r="BF372" s="14"/>
      <x:c r="BG372" s="14"/>
      <x:c r="BH372" s="14"/>
      <x:c r="BI372" s="14"/>
      <x:c r="BJ372" s="14"/>
      <x:c r="BK372" s="14"/>
      <x:c r="BL372" s="14"/>
      <x:c r="BM372" s="14"/>
      <x:c r="BN372" s="14"/>
      <x:c r="BO372" s="14"/>
      <x:c r="BP372" s="14"/>
      <x:c r="BQ372" s="14"/>
      <x:c r="BR372" s="14"/>
      <x:c r="BS372" s="14"/>
      <x:c r="BT372" s="14"/>
      <x:c r="BU372" s="14"/>
      <x:c r="BV372" s="14"/>
      <x:c r="BW372" s="14"/>
      <x:c r="BX372" s="14"/>
      <x:c r="BY372" s="14"/>
      <x:c r="BZ372" s="14"/>
      <x:c r="CA372" s="14"/>
      <x:c r="CB372" s="14"/>
      <x:c r="CC372" s="14"/>
      <x:c r="CD372" s="14"/>
      <x:c r="CE372" s="14"/>
    </x:row>
    <x:row r="373">
      <x:c r="A373" s="14" t="n">
        <x:v>372</x:v>
      </x:c>
      <x:c r="B373" s="14"/>
      <x:c r="C373" s="14" t="str">
        <x:v>CHECKING_EVENT</x:v>
      </x:c>
      <x:c r="D373" s="14" t="str">
        <x:v>Exploratory_Checking_611_Positional_Surrogate.xlsx</x:v>
      </x:c>
      <x:c r="E373" s="14"/>
      <x:c r="F373" s="14"/>
      <x:c r="G373" s="14"/>
      <x:c r="H373" s="14"/>
      <x:c r="I373" s="14"/>
      <x:c r="J373" s="14"/>
      <x:c r="K373" s="14" t="str">
        <x:v>NEEDS_WINDOW_BINDING</x:v>
      </x:c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  <x:c r="AB373" s="14"/>
      <x:c r="AC373" s="14"/>
      <x:c r="AD373" s="14"/>
      <x:c r="AE373" s="14"/>
      <x:c r="AF373" s="14"/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/>
      <x:c r="BC373" s="14"/>
      <x:c r="BD373" s="14"/>
      <x:c r="BE373" s="14"/>
      <x:c r="BF373" s="14"/>
      <x:c r="BG373" s="14"/>
      <x:c r="BH373" s="14"/>
      <x:c r="BI373" s="14"/>
      <x:c r="BJ373" s="14"/>
      <x:c r="BK373" s="14"/>
      <x:c r="BL373" s="14"/>
      <x:c r="BM373" s="14"/>
      <x:c r="BN373" s="14"/>
      <x:c r="BO373" s="14"/>
      <x:c r="BP373" s="14"/>
      <x:c r="BQ373" s="14"/>
      <x:c r="BR373" s="14"/>
      <x:c r="BS373" s="14"/>
      <x:c r="BT373" s="14"/>
      <x:c r="BU373" s="14"/>
      <x:c r="BV373" s="14"/>
      <x:c r="BW373" s="14"/>
      <x:c r="BX373" s="14"/>
      <x:c r="BY373" s="14"/>
      <x:c r="BZ373" s="14"/>
      <x:c r="CA373" s="14"/>
      <x:c r="CB373" s="14"/>
      <x:c r="CC373" s="14"/>
      <x:c r="CD373" s="14"/>
      <x:c r="CE373" s="14"/>
    </x:row>
    <x:row r="374">
      <x:c r="A374" s="14" t="n">
        <x:v>373</x:v>
      </x:c>
      <x:c r="B374" s="14"/>
      <x:c r="C374" s="14" t="str">
        <x:v>CHECKING_EVENT</x:v>
      </x:c>
      <x:c r="D374" s="14" t="str">
        <x:v>Exploratory_Checking_611_Positional_Surrogate.xlsx</x:v>
      </x:c>
      <x:c r="E374" s="14"/>
      <x:c r="F374" s="14"/>
      <x:c r="G374" s="14"/>
      <x:c r="H374" s="14"/>
      <x:c r="I374" s="14"/>
      <x:c r="J374" s="14"/>
      <x:c r="K374" s="14" t="str">
        <x:v>NEEDS_WINDOW_BINDING</x:v>
      </x:c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  <x:c r="AA374" s="14"/>
      <x:c r="AB374" s="14"/>
      <x:c r="AC374" s="14"/>
      <x:c r="AD374" s="14"/>
      <x:c r="AE374" s="14"/>
      <x:c r="AF374" s="14"/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/>
      <x:c r="BC374" s="14"/>
      <x:c r="BD374" s="14"/>
      <x:c r="BE374" s="14"/>
      <x:c r="BF374" s="14"/>
      <x:c r="BG374" s="14"/>
      <x:c r="BH374" s="14"/>
      <x:c r="BI374" s="14"/>
      <x:c r="BJ374" s="14"/>
      <x:c r="BK374" s="14"/>
      <x:c r="BL374" s="14"/>
      <x:c r="BM374" s="14"/>
      <x:c r="BN374" s="14"/>
      <x:c r="BO374" s="14"/>
      <x:c r="BP374" s="14"/>
      <x:c r="BQ374" s="14"/>
      <x:c r="BR374" s="14"/>
      <x:c r="BS374" s="14"/>
      <x:c r="BT374" s="14"/>
      <x:c r="BU374" s="14"/>
      <x:c r="BV374" s="14"/>
      <x:c r="BW374" s="14"/>
      <x:c r="BX374" s="14"/>
      <x:c r="BY374" s="14"/>
      <x:c r="BZ374" s="14"/>
      <x:c r="CA374" s="14"/>
      <x:c r="CB374" s="14"/>
      <x:c r="CC374" s="14"/>
      <x:c r="CD374" s="14"/>
      <x:c r="CE374" s="14"/>
    </x:row>
    <x:row r="375">
      <x:c r="A375" s="14" t="n">
        <x:v>374</x:v>
      </x:c>
      <x:c r="B375" s="14"/>
      <x:c r="C375" s="14" t="str">
        <x:v>CHECKING_EVENT</x:v>
      </x:c>
      <x:c r="D375" s="14" t="str">
        <x:v>Exploratory_Checking_611_Positional_Surrogate.xlsx</x:v>
      </x:c>
      <x:c r="E375" s="14"/>
      <x:c r="F375" s="14"/>
      <x:c r="G375" s="14"/>
      <x:c r="H375" s="14"/>
      <x:c r="I375" s="14"/>
      <x:c r="J375" s="14"/>
      <x:c r="K375" s="14" t="str">
        <x:v>NEEDS_WINDOW_BINDING</x:v>
      </x:c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  <x:c r="AB375" s="14"/>
      <x:c r="AC375" s="14"/>
      <x:c r="AD375" s="14"/>
      <x:c r="AE375" s="14"/>
      <x:c r="AF375" s="14"/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/>
      <x:c r="BC375" s="14"/>
      <x:c r="BD375" s="14"/>
      <x:c r="BE375" s="14"/>
      <x:c r="BF375" s="14"/>
      <x:c r="BG375" s="14"/>
      <x:c r="BH375" s="14"/>
      <x:c r="BI375" s="14"/>
      <x:c r="BJ375" s="14"/>
      <x:c r="BK375" s="14"/>
      <x:c r="BL375" s="14"/>
      <x:c r="BM375" s="14"/>
      <x:c r="BN375" s="14"/>
      <x:c r="BO375" s="14"/>
      <x:c r="BP375" s="14"/>
      <x:c r="BQ375" s="14"/>
      <x:c r="BR375" s="14"/>
      <x:c r="BS375" s="14"/>
      <x:c r="BT375" s="14"/>
      <x:c r="BU375" s="14"/>
      <x:c r="BV375" s="14"/>
      <x:c r="BW375" s="14"/>
      <x:c r="BX375" s="14"/>
      <x:c r="BY375" s="14"/>
      <x:c r="BZ375" s="14"/>
      <x:c r="CA375" s="14"/>
      <x:c r="CB375" s="14"/>
      <x:c r="CC375" s="14"/>
      <x:c r="CD375" s="14"/>
      <x:c r="CE375" s="14"/>
    </x:row>
    <x:row r="376">
      <x:c r="A376" s="14" t="n">
        <x:v>375</x:v>
      </x:c>
      <x:c r="B376" s="14"/>
      <x:c r="C376" s="14" t="str">
        <x:v>CHECKING_EVENT</x:v>
      </x:c>
      <x:c r="D376" s="14" t="str">
        <x:v>Exploratory_Checking_611_Positional_Surrogate.xlsx</x:v>
      </x:c>
      <x:c r="E376" s="14"/>
      <x:c r="F376" s="14"/>
      <x:c r="G376" s="14"/>
      <x:c r="H376" s="14"/>
      <x:c r="I376" s="14"/>
      <x:c r="J376" s="14"/>
      <x:c r="K376" s="14" t="str">
        <x:v>NEEDS_WINDOW_BINDING</x:v>
      </x:c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  <x:c r="AB376" s="14"/>
      <x:c r="AC376" s="14"/>
      <x:c r="AD376" s="14"/>
      <x:c r="AE376" s="14"/>
      <x:c r="AF376" s="14"/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/>
      <x:c r="BC376" s="14"/>
      <x:c r="BD376" s="14"/>
      <x:c r="BE376" s="14"/>
      <x:c r="BF376" s="14"/>
      <x:c r="BG376" s="14"/>
      <x:c r="BH376" s="14"/>
      <x:c r="BI376" s="14"/>
      <x:c r="BJ376" s="14"/>
      <x:c r="BK376" s="14"/>
      <x:c r="BL376" s="14"/>
      <x:c r="BM376" s="14"/>
      <x:c r="BN376" s="14"/>
      <x:c r="BO376" s="14"/>
      <x:c r="BP376" s="14"/>
      <x:c r="BQ376" s="14"/>
      <x:c r="BR376" s="14"/>
      <x:c r="BS376" s="14"/>
      <x:c r="BT376" s="14"/>
      <x:c r="BU376" s="14"/>
      <x:c r="BV376" s="14"/>
      <x:c r="BW376" s="14"/>
      <x:c r="BX376" s="14"/>
      <x:c r="BY376" s="14"/>
      <x:c r="BZ376" s="14"/>
      <x:c r="CA376" s="14"/>
      <x:c r="CB376" s="14"/>
      <x:c r="CC376" s="14"/>
      <x:c r="CD376" s="14"/>
      <x:c r="CE376" s="14"/>
    </x:row>
    <x:row r="377">
      <x:c r="A377" s="14" t="n">
        <x:v>376</x:v>
      </x:c>
      <x:c r="B377" s="14"/>
      <x:c r="C377" s="14" t="str">
        <x:v>CHECKING_EVENT</x:v>
      </x:c>
      <x:c r="D377" s="14" t="str">
        <x:v>Exploratory_Checking_611_Positional_Surrogate.xlsx</x:v>
      </x:c>
      <x:c r="E377" s="14"/>
      <x:c r="F377" s="14"/>
      <x:c r="G377" s="14"/>
      <x:c r="H377" s="14"/>
      <x:c r="I377" s="14"/>
      <x:c r="J377" s="14"/>
      <x:c r="K377" s="14" t="str">
        <x:v>NEEDS_WINDOW_BINDING</x:v>
      </x:c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  <x:c r="AB377" s="14"/>
      <x:c r="AC377" s="14"/>
      <x:c r="AD377" s="14"/>
      <x:c r="AE377" s="14"/>
      <x:c r="AF377" s="14"/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/>
      <x:c r="BC377" s="14"/>
      <x:c r="BD377" s="14"/>
      <x:c r="BE377" s="14"/>
      <x:c r="BF377" s="14"/>
      <x:c r="BG377" s="14"/>
      <x:c r="BH377" s="14"/>
      <x:c r="BI377" s="14"/>
      <x:c r="BJ377" s="14"/>
      <x:c r="BK377" s="14"/>
      <x:c r="BL377" s="14"/>
      <x:c r="BM377" s="14"/>
      <x:c r="BN377" s="14"/>
      <x:c r="BO377" s="14"/>
      <x:c r="BP377" s="14"/>
      <x:c r="BQ377" s="14"/>
      <x:c r="BR377" s="14"/>
      <x:c r="BS377" s="14"/>
      <x:c r="BT377" s="14"/>
      <x:c r="BU377" s="14"/>
      <x:c r="BV377" s="14"/>
      <x:c r="BW377" s="14"/>
      <x:c r="BX377" s="14"/>
      <x:c r="BY377" s="14"/>
      <x:c r="BZ377" s="14"/>
      <x:c r="CA377" s="14"/>
      <x:c r="CB377" s="14"/>
      <x:c r="CC377" s="14"/>
      <x:c r="CD377" s="14"/>
      <x:c r="CE377" s="14"/>
    </x:row>
    <x:row r="378">
      <x:c r="A378" s="14" t="n">
        <x:v>377</x:v>
      </x:c>
      <x:c r="B378" s="14"/>
      <x:c r="C378" s="14" t="str">
        <x:v>CHECKING_EVENT</x:v>
      </x:c>
      <x:c r="D378" s="14" t="str">
        <x:v>Exploratory_Checking_611_Positional_Surrogate.xlsx</x:v>
      </x:c>
      <x:c r="E378" s="14"/>
      <x:c r="F378" s="14"/>
      <x:c r="G378" s="14"/>
      <x:c r="H378" s="14"/>
      <x:c r="I378" s="14"/>
      <x:c r="J378" s="14"/>
      <x:c r="K378" s="14" t="str">
        <x:v>NEEDS_WINDOW_BINDING</x:v>
      </x:c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  <x:c r="AA378" s="14"/>
      <x:c r="AB378" s="14"/>
      <x:c r="AC378" s="14"/>
      <x:c r="AD378" s="14"/>
      <x:c r="AE378" s="14"/>
      <x:c r="AF378" s="14"/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/>
      <x:c r="BC378" s="14"/>
      <x:c r="BD378" s="14"/>
      <x:c r="BE378" s="14"/>
      <x:c r="BF378" s="14"/>
      <x:c r="BG378" s="14"/>
      <x:c r="BH378" s="14"/>
      <x:c r="BI378" s="14"/>
      <x:c r="BJ378" s="14"/>
      <x:c r="BK378" s="14"/>
      <x:c r="BL378" s="14"/>
      <x:c r="BM378" s="14"/>
      <x:c r="BN378" s="14"/>
      <x:c r="BO378" s="14"/>
      <x:c r="BP378" s="14"/>
      <x:c r="BQ378" s="14"/>
      <x:c r="BR378" s="14"/>
      <x:c r="BS378" s="14"/>
      <x:c r="BT378" s="14"/>
      <x:c r="BU378" s="14"/>
      <x:c r="BV378" s="14"/>
      <x:c r="BW378" s="14"/>
      <x:c r="BX378" s="14"/>
      <x:c r="BY378" s="14"/>
      <x:c r="BZ378" s="14"/>
      <x:c r="CA378" s="14"/>
      <x:c r="CB378" s="14"/>
      <x:c r="CC378" s="14"/>
      <x:c r="CD378" s="14"/>
      <x:c r="CE378" s="14"/>
    </x:row>
    <x:row r="379">
      <x:c r="A379" s="14" t="n">
        <x:v>378</x:v>
      </x:c>
      <x:c r="B379" s="14"/>
      <x:c r="C379" s="14" t="str">
        <x:v>CHECKING_EVENT</x:v>
      </x:c>
      <x:c r="D379" s="14" t="str">
        <x:v>Exploratory_Checking_611_Positional_Surrogate.xlsx</x:v>
      </x:c>
      <x:c r="E379" s="14"/>
      <x:c r="F379" s="14"/>
      <x:c r="G379" s="14"/>
      <x:c r="H379" s="14"/>
      <x:c r="I379" s="14"/>
      <x:c r="J379" s="14"/>
      <x:c r="K379" s="14" t="str">
        <x:v>NEEDS_WINDOW_BINDING</x:v>
      </x:c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  <x:c r="AA379" s="14"/>
      <x:c r="AB379" s="14"/>
      <x:c r="AC379" s="14"/>
      <x:c r="AD379" s="14"/>
      <x:c r="AE379" s="14"/>
      <x:c r="AF379" s="14"/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/>
      <x:c r="BC379" s="14"/>
      <x:c r="BD379" s="14"/>
      <x:c r="BE379" s="14"/>
      <x:c r="BF379" s="14"/>
      <x:c r="BG379" s="14"/>
      <x:c r="BH379" s="14"/>
      <x:c r="BI379" s="14"/>
      <x:c r="BJ379" s="14"/>
      <x:c r="BK379" s="14"/>
      <x:c r="BL379" s="14"/>
      <x:c r="BM379" s="14"/>
      <x:c r="BN379" s="14"/>
      <x:c r="BO379" s="14"/>
      <x:c r="BP379" s="14"/>
      <x:c r="BQ379" s="14"/>
      <x:c r="BR379" s="14"/>
      <x:c r="BS379" s="14"/>
      <x:c r="BT379" s="14"/>
      <x:c r="BU379" s="14"/>
      <x:c r="BV379" s="14"/>
      <x:c r="BW379" s="14"/>
      <x:c r="BX379" s="14"/>
      <x:c r="BY379" s="14"/>
      <x:c r="BZ379" s="14"/>
      <x:c r="CA379" s="14"/>
      <x:c r="CB379" s="14"/>
      <x:c r="CC379" s="14"/>
      <x:c r="CD379" s="14"/>
      <x:c r="CE379" s="14"/>
    </x:row>
    <x:row r="380">
      <x:c r="A380" s="14" t="n">
        <x:v>379</x:v>
      </x:c>
      <x:c r="B380" s="14"/>
      <x:c r="C380" s="14" t="str">
        <x:v>CHECKING_EVENT</x:v>
      </x:c>
      <x:c r="D380" s="14" t="str">
        <x:v>Exploratory_Checking_611_Positional_Surrogate.xlsx</x:v>
      </x:c>
      <x:c r="E380" s="14"/>
      <x:c r="F380" s="14"/>
      <x:c r="G380" s="14"/>
      <x:c r="H380" s="14"/>
      <x:c r="I380" s="14"/>
      <x:c r="J380" s="14"/>
      <x:c r="K380" s="14" t="str">
        <x:v>NEEDS_WINDOW_BINDING</x:v>
      </x:c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/>
      <x:c r="BC380" s="14"/>
      <x:c r="BD380" s="14"/>
      <x:c r="BE380" s="14"/>
      <x:c r="BF380" s="14"/>
      <x:c r="BG380" s="14"/>
      <x:c r="BH380" s="14"/>
      <x:c r="BI380" s="14"/>
      <x:c r="BJ380" s="14"/>
      <x:c r="BK380" s="14"/>
      <x:c r="BL380" s="14"/>
      <x:c r="BM380" s="14"/>
      <x:c r="BN380" s="14"/>
      <x:c r="BO380" s="14"/>
      <x:c r="BP380" s="14"/>
      <x:c r="BQ380" s="14"/>
      <x:c r="BR380" s="14"/>
      <x:c r="BS380" s="14"/>
      <x:c r="BT380" s="14"/>
      <x:c r="BU380" s="14"/>
      <x:c r="BV380" s="14"/>
      <x:c r="BW380" s="14"/>
      <x:c r="BX380" s="14"/>
      <x:c r="BY380" s="14"/>
      <x:c r="BZ380" s="14"/>
      <x:c r="CA380" s="14"/>
      <x:c r="CB380" s="14"/>
      <x:c r="CC380" s="14"/>
      <x:c r="CD380" s="14"/>
      <x:c r="CE380" s="14"/>
    </x:row>
    <x:row r="381">
      <x:c r="A381" s="14" t="n">
        <x:v>380</x:v>
      </x:c>
      <x:c r="B381" s="14"/>
      <x:c r="C381" s="14" t="str">
        <x:v>CHECKING_EVENT</x:v>
      </x:c>
      <x:c r="D381" s="14" t="str">
        <x:v>Exploratory_Checking_611_Positional_Surrogate.xlsx</x:v>
      </x:c>
      <x:c r="E381" s="14"/>
      <x:c r="F381" s="14"/>
      <x:c r="G381" s="14"/>
      <x:c r="H381" s="14"/>
      <x:c r="I381" s="14"/>
      <x:c r="J381" s="14"/>
      <x:c r="K381" s="14" t="str">
        <x:v>NEEDS_WINDOW_BINDING</x:v>
      </x:c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  <x:c r="AB381" s="14"/>
      <x:c r="AC381" s="14"/>
      <x:c r="AD381" s="14"/>
      <x:c r="AE381" s="14"/>
      <x:c r="AF381" s="14"/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/>
      <x:c r="BC381" s="14"/>
      <x:c r="BD381" s="14"/>
      <x:c r="BE381" s="14"/>
      <x:c r="BF381" s="14"/>
      <x:c r="BG381" s="14"/>
      <x:c r="BH381" s="14"/>
      <x:c r="BI381" s="14"/>
      <x:c r="BJ381" s="14"/>
      <x:c r="BK381" s="14"/>
      <x:c r="BL381" s="14"/>
      <x:c r="BM381" s="14"/>
      <x:c r="BN381" s="14"/>
      <x:c r="BO381" s="14"/>
      <x:c r="BP381" s="14"/>
      <x:c r="BQ381" s="14"/>
      <x:c r="BR381" s="14"/>
      <x:c r="BS381" s="14"/>
      <x:c r="BT381" s="14"/>
      <x:c r="BU381" s="14"/>
      <x:c r="BV381" s="14"/>
      <x:c r="BW381" s="14"/>
      <x:c r="BX381" s="14"/>
      <x:c r="BY381" s="14"/>
      <x:c r="BZ381" s="14"/>
      <x:c r="CA381" s="14"/>
      <x:c r="CB381" s="14"/>
      <x:c r="CC381" s="14"/>
      <x:c r="CD381" s="14"/>
      <x:c r="CE381" s="14"/>
    </x:row>
    <x:row r="382">
      <x:c r="A382" s="14" t="n">
        <x:v>381</x:v>
      </x:c>
      <x:c r="B382" s="14"/>
      <x:c r="C382" s="14" t="str">
        <x:v>CHECKING_EVENT</x:v>
      </x:c>
      <x:c r="D382" s="14" t="str">
        <x:v>Exploratory_Checking_611_Positional_Surrogate.xlsx</x:v>
      </x:c>
      <x:c r="E382" s="14"/>
      <x:c r="F382" s="14"/>
      <x:c r="G382" s="14"/>
      <x:c r="H382" s="14"/>
      <x:c r="I382" s="14"/>
      <x:c r="J382" s="14"/>
      <x:c r="K382" s="14" t="str">
        <x:v>NEEDS_WINDOW_BINDING</x:v>
      </x:c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  <x:c r="AA382" s="14"/>
      <x:c r="AB382" s="14"/>
      <x:c r="AC382" s="14"/>
      <x:c r="AD382" s="14"/>
      <x:c r="AE382" s="14"/>
      <x:c r="AF382" s="14"/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/>
      <x:c r="BC382" s="14"/>
      <x:c r="BD382" s="14"/>
      <x:c r="BE382" s="14"/>
      <x:c r="BF382" s="14"/>
      <x:c r="BG382" s="14"/>
      <x:c r="BH382" s="14"/>
      <x:c r="BI382" s="14"/>
      <x:c r="BJ382" s="14"/>
      <x:c r="BK382" s="14"/>
      <x:c r="BL382" s="14"/>
      <x:c r="BM382" s="14"/>
      <x:c r="BN382" s="14"/>
      <x:c r="BO382" s="14"/>
      <x:c r="BP382" s="14"/>
      <x:c r="BQ382" s="14"/>
      <x:c r="BR382" s="14"/>
      <x:c r="BS382" s="14"/>
      <x:c r="BT382" s="14"/>
      <x:c r="BU382" s="14"/>
      <x:c r="BV382" s="14"/>
      <x:c r="BW382" s="14"/>
      <x:c r="BX382" s="14"/>
      <x:c r="BY382" s="14"/>
      <x:c r="BZ382" s="14"/>
      <x:c r="CA382" s="14"/>
      <x:c r="CB382" s="14"/>
      <x:c r="CC382" s="14"/>
      <x:c r="CD382" s="14"/>
      <x:c r="CE382" s="14"/>
    </x:row>
    <x:row r="383">
      <x:c r="A383" s="14" t="n">
        <x:v>382</x:v>
      </x:c>
      <x:c r="B383" s="14"/>
      <x:c r="C383" s="14" t="str">
        <x:v>CHECKING_EVENT</x:v>
      </x:c>
      <x:c r="D383" s="14" t="str">
        <x:v>Exploratory_Checking_611_Positional_Surrogate.xlsx</x:v>
      </x:c>
      <x:c r="E383" s="14"/>
      <x:c r="F383" s="14"/>
      <x:c r="G383" s="14"/>
      <x:c r="H383" s="14"/>
      <x:c r="I383" s="14"/>
      <x:c r="J383" s="14"/>
      <x:c r="K383" s="14" t="str">
        <x:v>NEEDS_WINDOW_BINDING</x:v>
      </x:c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4"/>
      <x:c r="AJ383" s="14"/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/>
      <x:c r="BC383" s="14"/>
      <x:c r="BD383" s="14"/>
      <x:c r="BE383" s="14"/>
      <x:c r="BF383" s="14"/>
      <x:c r="BG383" s="14"/>
      <x:c r="BH383" s="14"/>
      <x:c r="BI383" s="14"/>
      <x:c r="BJ383" s="14"/>
      <x:c r="BK383" s="14"/>
      <x:c r="BL383" s="14"/>
      <x:c r="BM383" s="14"/>
      <x:c r="BN383" s="14"/>
      <x:c r="BO383" s="14"/>
      <x:c r="BP383" s="14"/>
      <x:c r="BQ383" s="14"/>
      <x:c r="BR383" s="14"/>
      <x:c r="BS383" s="14"/>
      <x:c r="BT383" s="14"/>
      <x:c r="BU383" s="14"/>
      <x:c r="BV383" s="14"/>
      <x:c r="BW383" s="14"/>
      <x:c r="BX383" s="14"/>
      <x:c r="BY383" s="14"/>
      <x:c r="BZ383" s="14"/>
      <x:c r="CA383" s="14"/>
      <x:c r="CB383" s="14"/>
      <x:c r="CC383" s="14"/>
      <x:c r="CD383" s="14"/>
      <x:c r="CE383" s="14"/>
    </x:row>
    <x:row r="384">
      <x:c r="A384" s="14" t="n">
        <x:v>383</x:v>
      </x:c>
      <x:c r="B384" s="14"/>
      <x:c r="C384" s="14" t="str">
        <x:v>CHECKING_EVENT</x:v>
      </x:c>
      <x:c r="D384" s="14" t="str">
        <x:v>Exploratory_Checking_611_Positional_Surrogate.xlsx</x:v>
      </x:c>
      <x:c r="E384" s="14"/>
      <x:c r="F384" s="14"/>
      <x:c r="G384" s="14"/>
      <x:c r="H384" s="14"/>
      <x:c r="I384" s="14"/>
      <x:c r="J384" s="14"/>
      <x:c r="K384" s="14" t="str">
        <x:v>NEEDS_WINDOW_BINDING</x:v>
      </x:c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  <x:c r="AA384" s="14"/>
      <x:c r="AB384" s="14"/>
      <x:c r="AC384" s="14"/>
      <x:c r="AD384" s="14"/>
      <x:c r="AE384" s="14"/>
      <x:c r="AF384" s="14"/>
      <x:c r="AG384" s="14"/>
      <x:c r="AH384" s="14"/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/>
      <x:c r="BC384" s="14"/>
      <x:c r="BD384" s="14"/>
      <x:c r="BE384" s="14"/>
      <x:c r="BF384" s="14"/>
      <x:c r="BG384" s="14"/>
      <x:c r="BH384" s="14"/>
      <x:c r="BI384" s="14"/>
      <x:c r="BJ384" s="14"/>
      <x:c r="BK384" s="14"/>
      <x:c r="BL384" s="14"/>
      <x:c r="BM384" s="14"/>
      <x:c r="BN384" s="14"/>
      <x:c r="BO384" s="14"/>
      <x:c r="BP384" s="14"/>
      <x:c r="BQ384" s="14"/>
      <x:c r="BR384" s="14"/>
      <x:c r="BS384" s="14"/>
      <x:c r="BT384" s="14"/>
      <x:c r="BU384" s="14"/>
      <x:c r="BV384" s="14"/>
      <x:c r="BW384" s="14"/>
      <x:c r="BX384" s="14"/>
      <x:c r="BY384" s="14"/>
      <x:c r="BZ384" s="14"/>
      <x:c r="CA384" s="14"/>
      <x:c r="CB384" s="14"/>
      <x:c r="CC384" s="14"/>
      <x:c r="CD384" s="14"/>
      <x:c r="CE384" s="14"/>
    </x:row>
    <x:row r="385">
      <x:c r="A385" s="14" t="n">
        <x:v>384</x:v>
      </x:c>
      <x:c r="B385" s="14"/>
      <x:c r="C385" s="14" t="str">
        <x:v>CHECKING_EVENT</x:v>
      </x:c>
      <x:c r="D385" s="14" t="str">
        <x:v>Exploratory_Checking_611_Positional_Surrogate.xlsx</x:v>
      </x:c>
      <x:c r="E385" s="14"/>
      <x:c r="F385" s="14"/>
      <x:c r="G385" s="14"/>
      <x:c r="H385" s="14"/>
      <x:c r="I385" s="14"/>
      <x:c r="J385" s="14"/>
      <x:c r="K385" s="14" t="str">
        <x:v>NEEDS_WINDOW_BINDING</x:v>
      </x:c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  <x:c r="AA385" s="14"/>
      <x:c r="AB385" s="14"/>
      <x:c r="AC385" s="14"/>
      <x:c r="AD385" s="14"/>
      <x:c r="AE385" s="14"/>
      <x:c r="AF385" s="14"/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/>
      <x:c r="BC385" s="14"/>
      <x:c r="BD385" s="14"/>
      <x:c r="BE385" s="14"/>
      <x:c r="BF385" s="14"/>
      <x:c r="BG385" s="14"/>
      <x:c r="BH385" s="14"/>
      <x:c r="BI385" s="14"/>
      <x:c r="BJ385" s="14"/>
      <x:c r="BK385" s="14"/>
      <x:c r="BL385" s="14"/>
      <x:c r="BM385" s="14"/>
      <x:c r="BN385" s="14"/>
      <x:c r="BO385" s="14"/>
      <x:c r="BP385" s="14"/>
      <x:c r="BQ385" s="14"/>
      <x:c r="BR385" s="14"/>
      <x:c r="BS385" s="14"/>
      <x:c r="BT385" s="14"/>
      <x:c r="BU385" s="14"/>
      <x:c r="BV385" s="14"/>
      <x:c r="BW385" s="14"/>
      <x:c r="BX385" s="14"/>
      <x:c r="BY385" s="14"/>
      <x:c r="BZ385" s="14"/>
      <x:c r="CA385" s="14"/>
      <x:c r="CB385" s="14"/>
      <x:c r="CC385" s="14"/>
      <x:c r="CD385" s="14"/>
      <x:c r="CE385" s="14"/>
    </x:row>
    <x:row r="386">
      <x:c r="A386" s="14" t="n">
        <x:v>385</x:v>
      </x:c>
      <x:c r="B386" s="14"/>
      <x:c r="C386" s="14" t="str">
        <x:v>CHECKING_EVENT</x:v>
      </x:c>
      <x:c r="D386" s="14" t="str">
        <x:v>Exploratory_Checking_611_Positional_Surrogate.xlsx</x:v>
      </x:c>
      <x:c r="E386" s="14"/>
      <x:c r="F386" s="14"/>
      <x:c r="G386" s="14"/>
      <x:c r="H386" s="14"/>
      <x:c r="I386" s="14"/>
      <x:c r="J386" s="14"/>
      <x:c r="K386" s="14" t="str">
        <x:v>NEEDS_WINDOW_BINDING</x:v>
      </x:c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  <x:c r="AA386" s="14"/>
      <x:c r="AB386" s="14"/>
      <x:c r="AC386" s="14"/>
      <x:c r="AD386" s="14"/>
      <x:c r="AE386" s="14"/>
      <x:c r="AF386" s="14"/>
      <x:c r="AG386" s="14"/>
      <x:c r="AH386" s="14"/>
      <x:c r="AI386" s="14"/>
      <x:c r="AJ386" s="14"/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/>
      <x:c r="BC386" s="14"/>
      <x:c r="BD386" s="14"/>
      <x:c r="BE386" s="14"/>
      <x:c r="BF386" s="14"/>
      <x:c r="BG386" s="14"/>
      <x:c r="BH386" s="14"/>
      <x:c r="BI386" s="14"/>
      <x:c r="BJ386" s="14"/>
      <x:c r="BK386" s="14"/>
      <x:c r="BL386" s="14"/>
      <x:c r="BM386" s="14"/>
      <x:c r="BN386" s="14"/>
      <x:c r="BO386" s="14"/>
      <x:c r="BP386" s="14"/>
      <x:c r="BQ386" s="14"/>
      <x:c r="BR386" s="14"/>
      <x:c r="BS386" s="14"/>
      <x:c r="BT386" s="14"/>
      <x:c r="BU386" s="14"/>
      <x:c r="BV386" s="14"/>
      <x:c r="BW386" s="14"/>
      <x:c r="BX386" s="14"/>
      <x:c r="BY386" s="14"/>
      <x:c r="BZ386" s="14"/>
      <x:c r="CA386" s="14"/>
      <x:c r="CB386" s="14"/>
      <x:c r="CC386" s="14"/>
      <x:c r="CD386" s="14"/>
      <x:c r="CE386" s="14"/>
    </x:row>
    <x:row r="387">
      <x:c r="A387" s="14" t="n">
        <x:v>386</x:v>
      </x:c>
      <x:c r="B387" s="14"/>
      <x:c r="C387" s="14" t="str">
        <x:v>CHECKING_EVENT</x:v>
      </x:c>
      <x:c r="D387" s="14" t="str">
        <x:v>Exploratory_Checking_611_Positional_Surrogate.xlsx</x:v>
      </x:c>
      <x:c r="E387" s="14"/>
      <x:c r="F387" s="14"/>
      <x:c r="G387" s="14"/>
      <x:c r="H387" s="14"/>
      <x:c r="I387" s="14"/>
      <x:c r="J387" s="14"/>
      <x:c r="K387" s="14" t="str">
        <x:v>NEEDS_WINDOW_BINDING</x:v>
      </x:c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  <x:c r="AA387" s="14"/>
      <x:c r="AB387" s="14"/>
      <x:c r="AC387" s="14"/>
      <x:c r="AD387" s="14"/>
      <x:c r="AE387" s="14"/>
      <x:c r="AF387" s="14"/>
      <x:c r="AG387" s="14"/>
      <x:c r="AH387" s="14"/>
      <x:c r="AI387" s="14"/>
      <x:c r="AJ387" s="14"/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/>
      <x:c r="BC387" s="14"/>
      <x:c r="BD387" s="14"/>
      <x:c r="BE387" s="14"/>
      <x:c r="BF387" s="14"/>
      <x:c r="BG387" s="14"/>
      <x:c r="BH387" s="14"/>
      <x:c r="BI387" s="14"/>
      <x:c r="BJ387" s="14"/>
      <x:c r="BK387" s="14"/>
      <x:c r="BL387" s="14"/>
      <x:c r="BM387" s="14"/>
      <x:c r="BN387" s="14"/>
      <x:c r="BO387" s="14"/>
      <x:c r="BP387" s="14"/>
      <x:c r="BQ387" s="14"/>
      <x:c r="BR387" s="14"/>
      <x:c r="BS387" s="14"/>
      <x:c r="BT387" s="14"/>
      <x:c r="BU387" s="14"/>
      <x:c r="BV387" s="14"/>
      <x:c r="BW387" s="14"/>
      <x:c r="BX387" s="14"/>
      <x:c r="BY387" s="14"/>
      <x:c r="BZ387" s="14"/>
      <x:c r="CA387" s="14"/>
      <x:c r="CB387" s="14"/>
      <x:c r="CC387" s="14"/>
      <x:c r="CD387" s="14"/>
      <x:c r="CE387" s="14"/>
    </x:row>
    <x:row r="388">
      <x:c r="A388" s="14" t="n">
        <x:v>387</x:v>
      </x:c>
      <x:c r="B388" s="14"/>
      <x:c r="C388" s="14" t="str">
        <x:v>CHECKING_EVENT</x:v>
      </x:c>
      <x:c r="D388" s="14" t="str">
        <x:v>Exploratory_Checking_611_Positional_Surrogate.xlsx</x:v>
      </x:c>
      <x:c r="E388" s="14"/>
      <x:c r="F388" s="14"/>
      <x:c r="G388" s="14"/>
      <x:c r="H388" s="14"/>
      <x:c r="I388" s="14"/>
      <x:c r="J388" s="14"/>
      <x:c r="K388" s="14" t="str">
        <x:v>NEEDS_WINDOW_BINDING</x:v>
      </x:c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  <x:c r="AB388" s="14"/>
      <x:c r="AC388" s="14"/>
      <x:c r="AD388" s="14"/>
      <x:c r="AE388" s="14"/>
      <x:c r="AF388" s="14"/>
      <x:c r="AG388" s="14"/>
      <x:c r="AH388" s="14"/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/>
      <x:c r="BC388" s="14"/>
      <x:c r="BD388" s="14"/>
      <x:c r="BE388" s="14"/>
      <x:c r="BF388" s="14"/>
      <x:c r="BG388" s="14"/>
      <x:c r="BH388" s="14"/>
      <x:c r="BI388" s="14"/>
      <x:c r="BJ388" s="14"/>
      <x:c r="BK388" s="14"/>
      <x:c r="BL388" s="14"/>
      <x:c r="BM388" s="14"/>
      <x:c r="BN388" s="14"/>
      <x:c r="BO388" s="14"/>
      <x:c r="BP388" s="14"/>
      <x:c r="BQ388" s="14"/>
      <x:c r="BR388" s="14"/>
      <x:c r="BS388" s="14"/>
      <x:c r="BT388" s="14"/>
      <x:c r="BU388" s="14"/>
      <x:c r="BV388" s="14"/>
      <x:c r="BW388" s="14"/>
      <x:c r="BX388" s="14"/>
      <x:c r="BY388" s="14"/>
      <x:c r="BZ388" s="14"/>
      <x:c r="CA388" s="14"/>
      <x:c r="CB388" s="14"/>
      <x:c r="CC388" s="14"/>
      <x:c r="CD388" s="14"/>
      <x:c r="CE388" s="14"/>
    </x:row>
    <x:row r="389">
      <x:c r="A389" s="14" t="n">
        <x:v>388</x:v>
      </x:c>
      <x:c r="B389" s="14"/>
      <x:c r="C389" s="14" t="str">
        <x:v>CHECKING_EVENT</x:v>
      </x:c>
      <x:c r="D389" s="14" t="str">
        <x:v>Exploratory_Checking_611_Positional_Surrogate.xlsx</x:v>
      </x:c>
      <x:c r="E389" s="14"/>
      <x:c r="F389" s="14"/>
      <x:c r="G389" s="14"/>
      <x:c r="H389" s="14"/>
      <x:c r="I389" s="14"/>
      <x:c r="J389" s="14"/>
      <x:c r="K389" s="14" t="str">
        <x:v>NEEDS_WINDOW_BINDING</x:v>
      </x:c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  <x:c r="AA389" s="14"/>
      <x:c r="AB389" s="14"/>
      <x:c r="AC389" s="14"/>
      <x:c r="AD389" s="14"/>
      <x:c r="AE389" s="14"/>
      <x:c r="AF389" s="14"/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/>
      <x:c r="BC389" s="14"/>
      <x:c r="BD389" s="14"/>
      <x:c r="BE389" s="14"/>
      <x:c r="BF389" s="14"/>
      <x:c r="BG389" s="14"/>
      <x:c r="BH389" s="14"/>
      <x:c r="BI389" s="14"/>
      <x:c r="BJ389" s="14"/>
      <x:c r="BK389" s="14"/>
      <x:c r="BL389" s="14"/>
      <x:c r="BM389" s="14"/>
      <x:c r="BN389" s="14"/>
      <x:c r="BO389" s="14"/>
      <x:c r="BP389" s="14"/>
      <x:c r="BQ389" s="14"/>
      <x:c r="BR389" s="14"/>
      <x:c r="BS389" s="14"/>
      <x:c r="BT389" s="14"/>
      <x:c r="BU389" s="14"/>
      <x:c r="BV389" s="14"/>
      <x:c r="BW389" s="14"/>
      <x:c r="BX389" s="14"/>
      <x:c r="BY389" s="14"/>
      <x:c r="BZ389" s="14"/>
      <x:c r="CA389" s="14"/>
      <x:c r="CB389" s="14"/>
      <x:c r="CC389" s="14"/>
      <x:c r="CD389" s="14"/>
      <x:c r="CE389" s="14"/>
    </x:row>
    <x:row r="390">
      <x:c r="A390" s="14" t="n">
        <x:v>389</x:v>
      </x:c>
      <x:c r="B390" s="14"/>
      <x:c r="C390" s="14" t="str">
        <x:v>CHECKING_EVENT</x:v>
      </x:c>
      <x:c r="D390" s="14" t="str">
        <x:v>Exploratory_Checking_611_Positional_Surrogate.xlsx</x:v>
      </x:c>
      <x:c r="E390" s="14"/>
      <x:c r="F390" s="14"/>
      <x:c r="G390" s="14"/>
      <x:c r="H390" s="14"/>
      <x:c r="I390" s="14"/>
      <x:c r="J390" s="14"/>
      <x:c r="K390" s="14" t="str">
        <x:v>NEEDS_WINDOW_BINDING</x:v>
      </x:c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  <x:c r="AA390" s="14"/>
      <x:c r="AB390" s="14"/>
      <x:c r="AC390" s="14"/>
      <x:c r="AD390" s="14"/>
      <x:c r="AE390" s="14"/>
      <x:c r="AF390" s="14"/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/>
      <x:c r="AU390" s="14"/>
      <x:c r="AV390" s="14"/>
      <x:c r="AW390" s="14"/>
      <x:c r="AX390" s="14"/>
      <x:c r="AY390" s="14"/>
      <x:c r="AZ390" s="14"/>
      <x:c r="BA390" s="14"/>
      <x:c r="BB390" s="14"/>
      <x:c r="BC390" s="14"/>
      <x:c r="BD390" s="14"/>
      <x:c r="BE390" s="14"/>
      <x:c r="BF390" s="14"/>
      <x:c r="BG390" s="14"/>
      <x:c r="BH390" s="14"/>
      <x:c r="BI390" s="14"/>
      <x:c r="BJ390" s="14"/>
      <x:c r="BK390" s="14"/>
      <x:c r="BL390" s="14"/>
      <x:c r="BM390" s="14"/>
      <x:c r="BN390" s="14"/>
      <x:c r="BO390" s="14"/>
      <x:c r="BP390" s="14"/>
      <x:c r="BQ390" s="14"/>
      <x:c r="BR390" s="14"/>
      <x:c r="BS390" s="14"/>
      <x:c r="BT390" s="14"/>
      <x:c r="BU390" s="14"/>
      <x:c r="BV390" s="14"/>
      <x:c r="BW390" s="14"/>
      <x:c r="BX390" s="14"/>
      <x:c r="BY390" s="14"/>
      <x:c r="BZ390" s="14"/>
      <x:c r="CA390" s="14"/>
      <x:c r="CB390" s="14"/>
      <x:c r="CC390" s="14"/>
      <x:c r="CD390" s="14"/>
      <x:c r="CE390" s="14"/>
    </x:row>
    <x:row r="391">
      <x:c r="A391" s="14" t="n">
        <x:v>390</x:v>
      </x:c>
      <x:c r="B391" s="14"/>
      <x:c r="C391" s="14" t="str">
        <x:v>CHECKING_EVENT</x:v>
      </x:c>
      <x:c r="D391" s="14" t="str">
        <x:v>Exploratory_Checking_611_Positional_Surrogate.xlsx</x:v>
      </x:c>
      <x:c r="E391" s="14"/>
      <x:c r="F391" s="14"/>
      <x:c r="G391" s="14"/>
      <x:c r="H391" s="14"/>
      <x:c r="I391" s="14"/>
      <x:c r="J391" s="14"/>
      <x:c r="K391" s="14" t="str">
        <x:v>NEEDS_WINDOW_BINDING</x:v>
      </x:c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  <x:c r="AA391" s="14"/>
      <x:c r="AB391" s="14"/>
      <x:c r="AC391" s="14"/>
      <x:c r="AD391" s="14"/>
      <x:c r="AE391" s="14"/>
      <x:c r="AF391" s="14"/>
      <x:c r="AG391" s="14"/>
      <x:c r="AH391" s="14"/>
      <x:c r="AI391" s="14"/>
      <x:c r="AJ391" s="14"/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/>
      <x:c r="BC391" s="14"/>
      <x:c r="BD391" s="14"/>
      <x:c r="BE391" s="14"/>
      <x:c r="BF391" s="14"/>
      <x:c r="BG391" s="14"/>
      <x:c r="BH391" s="14"/>
      <x:c r="BI391" s="14"/>
      <x:c r="BJ391" s="14"/>
      <x:c r="BK391" s="14"/>
      <x:c r="BL391" s="14"/>
      <x:c r="BM391" s="14"/>
      <x:c r="BN391" s="14"/>
      <x:c r="BO391" s="14"/>
      <x:c r="BP391" s="14"/>
      <x:c r="BQ391" s="14"/>
      <x:c r="BR391" s="14"/>
      <x:c r="BS391" s="14"/>
      <x:c r="BT391" s="14"/>
      <x:c r="BU391" s="14"/>
      <x:c r="BV391" s="14"/>
      <x:c r="BW391" s="14"/>
      <x:c r="BX391" s="14"/>
      <x:c r="BY391" s="14"/>
      <x:c r="BZ391" s="14"/>
      <x:c r="CA391" s="14"/>
      <x:c r="CB391" s="14"/>
      <x:c r="CC391" s="14"/>
      <x:c r="CD391" s="14"/>
      <x:c r="CE391" s="14"/>
    </x:row>
    <x:row r="392">
      <x:c r="A392" s="14" t="n">
        <x:v>391</x:v>
      </x:c>
      <x:c r="B392" s="14"/>
      <x:c r="C392" s="14" t="str">
        <x:v>CHECKING_EVENT</x:v>
      </x:c>
      <x:c r="D392" s="14" t="str">
        <x:v>Exploratory_Checking_611_Positional_Surrogate.xlsx</x:v>
      </x:c>
      <x:c r="E392" s="14"/>
      <x:c r="F392" s="14"/>
      <x:c r="G392" s="14"/>
      <x:c r="H392" s="14"/>
      <x:c r="I392" s="14"/>
      <x:c r="J392" s="14"/>
      <x:c r="K392" s="14" t="str">
        <x:v>NEEDS_WINDOW_BINDING</x:v>
      </x:c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4"/>
      <x:c r="AB392" s="14"/>
      <x:c r="AC392" s="14"/>
      <x:c r="AD392" s="14"/>
      <x:c r="AE392" s="14"/>
      <x:c r="AF392" s="14"/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/>
      <x:c r="BC392" s="14"/>
      <x:c r="BD392" s="14"/>
      <x:c r="BE392" s="14"/>
      <x:c r="BF392" s="14"/>
      <x:c r="BG392" s="14"/>
      <x:c r="BH392" s="14"/>
      <x:c r="BI392" s="14"/>
      <x:c r="BJ392" s="14"/>
      <x:c r="BK392" s="14"/>
      <x:c r="BL392" s="14"/>
      <x:c r="BM392" s="14"/>
      <x:c r="BN392" s="14"/>
      <x:c r="BO392" s="14"/>
      <x:c r="BP392" s="14"/>
      <x:c r="BQ392" s="14"/>
      <x:c r="BR392" s="14"/>
      <x:c r="BS392" s="14"/>
      <x:c r="BT392" s="14"/>
      <x:c r="BU392" s="14"/>
      <x:c r="BV392" s="14"/>
      <x:c r="BW392" s="14"/>
      <x:c r="BX392" s="14"/>
      <x:c r="BY392" s="14"/>
      <x:c r="BZ392" s="14"/>
      <x:c r="CA392" s="14"/>
      <x:c r="CB392" s="14"/>
      <x:c r="CC392" s="14"/>
      <x:c r="CD392" s="14"/>
      <x:c r="CE392" s="14"/>
    </x:row>
    <x:row r="393">
      <x:c r="A393" s="14" t="n">
        <x:v>392</x:v>
      </x:c>
      <x:c r="B393" s="14"/>
      <x:c r="C393" s="14" t="str">
        <x:v>CHECKING_EVENT</x:v>
      </x:c>
      <x:c r="D393" s="14" t="str">
        <x:v>Exploratory_Checking_611_Positional_Surrogate.xlsx</x:v>
      </x:c>
      <x:c r="E393" s="14"/>
      <x:c r="F393" s="14"/>
      <x:c r="G393" s="14"/>
      <x:c r="H393" s="14"/>
      <x:c r="I393" s="14"/>
      <x:c r="J393" s="14"/>
      <x:c r="K393" s="14" t="str">
        <x:v>NEEDS_WINDOW_BINDING</x:v>
      </x:c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  <x:c r="AA393" s="14"/>
      <x:c r="AB393" s="14"/>
      <x:c r="AC393" s="14"/>
      <x:c r="AD393" s="14"/>
      <x:c r="AE393" s="14"/>
      <x:c r="AF393" s="14"/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/>
      <x:c r="BC393" s="14"/>
      <x:c r="BD393" s="14"/>
      <x:c r="BE393" s="14"/>
      <x:c r="BF393" s="14"/>
      <x:c r="BG393" s="14"/>
      <x:c r="BH393" s="14"/>
      <x:c r="BI393" s="14"/>
      <x:c r="BJ393" s="14"/>
      <x:c r="BK393" s="14"/>
      <x:c r="BL393" s="14"/>
      <x:c r="BM393" s="14"/>
      <x:c r="BN393" s="14"/>
      <x:c r="BO393" s="14"/>
      <x:c r="BP393" s="14"/>
      <x:c r="BQ393" s="14"/>
      <x:c r="BR393" s="14"/>
      <x:c r="BS393" s="14"/>
      <x:c r="BT393" s="14"/>
      <x:c r="BU393" s="14"/>
      <x:c r="BV393" s="14"/>
      <x:c r="BW393" s="14"/>
      <x:c r="BX393" s="14"/>
      <x:c r="BY393" s="14"/>
      <x:c r="BZ393" s="14"/>
      <x:c r="CA393" s="14"/>
      <x:c r="CB393" s="14"/>
      <x:c r="CC393" s="14"/>
      <x:c r="CD393" s="14"/>
      <x:c r="CE393" s="14"/>
    </x:row>
    <x:row r="394">
      <x:c r="A394" s="14" t="n">
        <x:v>393</x:v>
      </x:c>
      <x:c r="B394" s="14"/>
      <x:c r="C394" s="14" t="str">
        <x:v>CHECKING_EVENT</x:v>
      </x:c>
      <x:c r="D394" s="14" t="str">
        <x:v>Exploratory_Checking_611_Positional_Surrogate.xlsx</x:v>
      </x:c>
      <x:c r="E394" s="14"/>
      <x:c r="F394" s="14"/>
      <x:c r="G394" s="14"/>
      <x:c r="H394" s="14"/>
      <x:c r="I394" s="14"/>
      <x:c r="J394" s="14"/>
      <x:c r="K394" s="14" t="str">
        <x:v>NEEDS_WINDOW_BINDING</x:v>
      </x:c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  <x:c r="AB394" s="14"/>
      <x:c r="AC394" s="14"/>
      <x:c r="AD394" s="14"/>
      <x:c r="AE394" s="14"/>
      <x:c r="AF394" s="14"/>
      <x:c r="AG394" s="14"/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/>
      <x:c r="BC394" s="14"/>
      <x:c r="BD394" s="14"/>
      <x:c r="BE394" s="14"/>
      <x:c r="BF394" s="14"/>
      <x:c r="BG394" s="14"/>
      <x:c r="BH394" s="14"/>
      <x:c r="BI394" s="14"/>
      <x:c r="BJ394" s="14"/>
      <x:c r="BK394" s="14"/>
      <x:c r="BL394" s="14"/>
      <x:c r="BM394" s="14"/>
      <x:c r="BN394" s="14"/>
      <x:c r="BO394" s="14"/>
      <x:c r="BP394" s="14"/>
      <x:c r="BQ394" s="14"/>
      <x:c r="BR394" s="14"/>
      <x:c r="BS394" s="14"/>
      <x:c r="BT394" s="14"/>
      <x:c r="BU394" s="14"/>
      <x:c r="BV394" s="14"/>
      <x:c r="BW394" s="14"/>
      <x:c r="BX394" s="14"/>
      <x:c r="BY394" s="14"/>
      <x:c r="BZ394" s="14"/>
      <x:c r="CA394" s="14"/>
      <x:c r="CB394" s="14"/>
      <x:c r="CC394" s="14"/>
      <x:c r="CD394" s="14"/>
      <x:c r="CE394" s="14"/>
    </x:row>
    <x:row r="395">
      <x:c r="A395" s="14" t="n">
        <x:v>394</x:v>
      </x:c>
      <x:c r="B395" s="14"/>
      <x:c r="C395" s="14" t="str">
        <x:v>CHECKING_EVENT</x:v>
      </x:c>
      <x:c r="D395" s="14" t="str">
        <x:v>Exploratory_Checking_611_Positional_Surrogate.xlsx</x:v>
      </x:c>
      <x:c r="E395" s="14"/>
      <x:c r="F395" s="14"/>
      <x:c r="G395" s="14"/>
      <x:c r="H395" s="14"/>
      <x:c r="I395" s="14"/>
      <x:c r="J395" s="14"/>
      <x:c r="K395" s="14" t="str">
        <x:v>NEEDS_WINDOW_BINDING</x:v>
      </x:c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  <x:c r="AB395" s="14"/>
      <x:c r="AC395" s="14"/>
      <x:c r="AD395" s="14"/>
      <x:c r="AE395" s="14"/>
      <x:c r="AF395" s="14"/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/>
      <x:c r="BC395" s="14"/>
      <x:c r="BD395" s="14"/>
      <x:c r="BE395" s="14"/>
      <x:c r="BF395" s="14"/>
      <x:c r="BG395" s="14"/>
      <x:c r="BH395" s="14"/>
      <x:c r="BI395" s="14"/>
      <x:c r="BJ395" s="14"/>
      <x:c r="BK395" s="14"/>
      <x:c r="BL395" s="14"/>
      <x:c r="BM395" s="14"/>
      <x:c r="BN395" s="14"/>
      <x:c r="BO395" s="14"/>
      <x:c r="BP395" s="14"/>
      <x:c r="BQ395" s="14"/>
      <x:c r="BR395" s="14"/>
      <x:c r="BS395" s="14"/>
      <x:c r="BT395" s="14"/>
      <x:c r="BU395" s="14"/>
      <x:c r="BV395" s="14"/>
      <x:c r="BW395" s="14"/>
      <x:c r="BX395" s="14"/>
      <x:c r="BY395" s="14"/>
      <x:c r="BZ395" s="14"/>
      <x:c r="CA395" s="14"/>
      <x:c r="CB395" s="14"/>
      <x:c r="CC395" s="14"/>
      <x:c r="CD395" s="14"/>
      <x:c r="CE395" s="14"/>
    </x:row>
    <x:row r="396">
      <x:c r="A396" s="14" t="n">
        <x:v>395</x:v>
      </x:c>
      <x:c r="B396" s="14"/>
      <x:c r="C396" s="14" t="str">
        <x:v>CHECKING_EVENT</x:v>
      </x:c>
      <x:c r="D396" s="14" t="str">
        <x:v>Exploratory_Checking_611_Positional_Surrogate.xlsx</x:v>
      </x:c>
      <x:c r="E396" s="14"/>
      <x:c r="F396" s="14"/>
      <x:c r="G396" s="14"/>
      <x:c r="H396" s="14"/>
      <x:c r="I396" s="14"/>
      <x:c r="J396" s="14"/>
      <x:c r="K396" s="14" t="str">
        <x:v>NEEDS_WINDOW_BINDING</x:v>
      </x:c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  <x:c r="AA396" s="14"/>
      <x:c r="AB396" s="14"/>
      <x:c r="AC396" s="14"/>
      <x:c r="AD396" s="14"/>
      <x:c r="AE396" s="14"/>
      <x:c r="AF396" s="14"/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4"/>
      <x:c r="AX396" s="14"/>
      <x:c r="AY396" s="14"/>
      <x:c r="AZ396" s="14"/>
      <x:c r="BA396" s="14"/>
      <x:c r="BB396" s="14"/>
      <x:c r="BC396" s="14"/>
      <x:c r="BD396" s="14"/>
      <x:c r="BE396" s="14"/>
      <x:c r="BF396" s="14"/>
      <x:c r="BG396" s="14"/>
      <x:c r="BH396" s="14"/>
      <x:c r="BI396" s="14"/>
      <x:c r="BJ396" s="14"/>
      <x:c r="BK396" s="14"/>
      <x:c r="BL396" s="14"/>
      <x:c r="BM396" s="14"/>
      <x:c r="BN396" s="14"/>
      <x:c r="BO396" s="14"/>
      <x:c r="BP396" s="14"/>
      <x:c r="BQ396" s="14"/>
      <x:c r="BR396" s="14"/>
      <x:c r="BS396" s="14"/>
      <x:c r="BT396" s="14"/>
      <x:c r="BU396" s="14"/>
      <x:c r="BV396" s="14"/>
      <x:c r="BW396" s="14"/>
      <x:c r="BX396" s="14"/>
      <x:c r="BY396" s="14"/>
      <x:c r="BZ396" s="14"/>
      <x:c r="CA396" s="14"/>
      <x:c r="CB396" s="14"/>
      <x:c r="CC396" s="14"/>
      <x:c r="CD396" s="14"/>
      <x:c r="CE396" s="14"/>
    </x:row>
    <x:row r="397">
      <x:c r="A397" s="14" t="n">
        <x:v>396</x:v>
      </x:c>
      <x:c r="B397" s="14"/>
      <x:c r="C397" s="14" t="str">
        <x:v>CHECKING_EVENT</x:v>
      </x:c>
      <x:c r="D397" s="14" t="str">
        <x:v>Exploratory_Checking_611_Positional_Surrogate.xlsx</x:v>
      </x:c>
      <x:c r="E397" s="14"/>
      <x:c r="F397" s="14"/>
      <x:c r="G397" s="14"/>
      <x:c r="H397" s="14"/>
      <x:c r="I397" s="14"/>
      <x:c r="J397" s="14"/>
      <x:c r="K397" s="14" t="str">
        <x:v>NEEDS_WINDOW_BINDING</x:v>
      </x:c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  <x:c r="AA397" s="14"/>
      <x:c r="AB397" s="14"/>
      <x:c r="AC397" s="14"/>
      <x:c r="AD397" s="14"/>
      <x:c r="AE397" s="14"/>
      <x:c r="AF397" s="14"/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/>
      <x:c r="BC397" s="14"/>
      <x:c r="BD397" s="14"/>
      <x:c r="BE397" s="14"/>
      <x:c r="BF397" s="14"/>
      <x:c r="BG397" s="14"/>
      <x:c r="BH397" s="14"/>
      <x:c r="BI397" s="14"/>
      <x:c r="BJ397" s="14"/>
      <x:c r="BK397" s="14"/>
      <x:c r="BL397" s="14"/>
      <x:c r="BM397" s="14"/>
      <x:c r="BN397" s="14"/>
      <x:c r="BO397" s="14"/>
      <x:c r="BP397" s="14"/>
      <x:c r="BQ397" s="14"/>
      <x:c r="BR397" s="14"/>
      <x:c r="BS397" s="14"/>
      <x:c r="BT397" s="14"/>
      <x:c r="BU397" s="14"/>
      <x:c r="BV397" s="14"/>
      <x:c r="BW397" s="14"/>
      <x:c r="BX397" s="14"/>
      <x:c r="BY397" s="14"/>
      <x:c r="BZ397" s="14"/>
      <x:c r="CA397" s="14"/>
      <x:c r="CB397" s="14"/>
      <x:c r="CC397" s="14"/>
      <x:c r="CD397" s="14"/>
      <x:c r="CE397" s="14"/>
    </x:row>
    <x:row r="398">
      <x:c r="A398" s="14" t="n">
        <x:v>397</x:v>
      </x:c>
      <x:c r="B398" s="14"/>
      <x:c r="C398" s="14" t="str">
        <x:v>CHECKING_EVENT</x:v>
      </x:c>
      <x:c r="D398" s="14" t="str">
        <x:v>Exploratory_Checking_611_Positional_Surrogate.xlsx</x:v>
      </x:c>
      <x:c r="E398" s="14"/>
      <x:c r="F398" s="14"/>
      <x:c r="G398" s="14"/>
      <x:c r="H398" s="14"/>
      <x:c r="I398" s="14"/>
      <x:c r="J398" s="14"/>
      <x:c r="K398" s="14" t="str">
        <x:v>NEEDS_WINDOW_BINDING</x:v>
      </x:c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  <x:c r="AB398" s="14"/>
      <x:c r="AC398" s="14"/>
      <x:c r="AD398" s="14"/>
      <x:c r="AE398" s="14"/>
      <x:c r="AF398" s="14"/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/>
      <x:c r="BC398" s="14"/>
      <x:c r="BD398" s="14"/>
      <x:c r="BE398" s="14"/>
      <x:c r="BF398" s="14"/>
      <x:c r="BG398" s="14"/>
      <x:c r="BH398" s="14"/>
      <x:c r="BI398" s="14"/>
      <x:c r="BJ398" s="14"/>
      <x:c r="BK398" s="14"/>
      <x:c r="BL398" s="14"/>
      <x:c r="BM398" s="14"/>
      <x:c r="BN398" s="14"/>
      <x:c r="BO398" s="14"/>
      <x:c r="BP398" s="14"/>
      <x:c r="BQ398" s="14"/>
      <x:c r="BR398" s="14"/>
      <x:c r="BS398" s="14"/>
      <x:c r="BT398" s="14"/>
      <x:c r="BU398" s="14"/>
      <x:c r="BV398" s="14"/>
      <x:c r="BW398" s="14"/>
      <x:c r="BX398" s="14"/>
      <x:c r="BY398" s="14"/>
      <x:c r="BZ398" s="14"/>
      <x:c r="CA398" s="14"/>
      <x:c r="CB398" s="14"/>
      <x:c r="CC398" s="14"/>
      <x:c r="CD398" s="14"/>
      <x:c r="CE398" s="14"/>
    </x:row>
    <x:row r="399">
      <x:c r="A399" s="14" t="n">
        <x:v>398</x:v>
      </x:c>
      <x:c r="B399" s="14"/>
      <x:c r="C399" s="14" t="str">
        <x:v>CHECKING_EVENT</x:v>
      </x:c>
      <x:c r="D399" s="14" t="str">
        <x:v>Exploratory_Checking_611_Positional_Surrogate.xlsx</x:v>
      </x:c>
      <x:c r="E399" s="14"/>
      <x:c r="F399" s="14"/>
      <x:c r="G399" s="14"/>
      <x:c r="H399" s="14"/>
      <x:c r="I399" s="14"/>
      <x:c r="J399" s="14"/>
      <x:c r="K399" s="14" t="str">
        <x:v>NEEDS_WINDOW_BINDING</x:v>
      </x:c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  <x:c r="AA399" s="14"/>
      <x:c r="AB399" s="14"/>
      <x:c r="AC399" s="14"/>
      <x:c r="AD399" s="14"/>
      <x:c r="AE399" s="14"/>
      <x:c r="AF399" s="14"/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/>
      <x:c r="BC399" s="14"/>
      <x:c r="BD399" s="14"/>
      <x:c r="BE399" s="14"/>
      <x:c r="BF399" s="14"/>
      <x:c r="BG399" s="14"/>
      <x:c r="BH399" s="14"/>
      <x:c r="BI399" s="14"/>
      <x:c r="BJ399" s="14"/>
      <x:c r="BK399" s="14"/>
      <x:c r="BL399" s="14"/>
      <x:c r="BM399" s="14"/>
      <x:c r="BN399" s="14"/>
      <x:c r="BO399" s="14"/>
      <x:c r="BP399" s="14"/>
      <x:c r="BQ399" s="14"/>
      <x:c r="BR399" s="14"/>
      <x:c r="BS399" s="14"/>
      <x:c r="BT399" s="14"/>
      <x:c r="BU399" s="14"/>
      <x:c r="BV399" s="14"/>
      <x:c r="BW399" s="14"/>
      <x:c r="BX399" s="14"/>
      <x:c r="BY399" s="14"/>
      <x:c r="BZ399" s="14"/>
      <x:c r="CA399" s="14"/>
      <x:c r="CB399" s="14"/>
      <x:c r="CC399" s="14"/>
      <x:c r="CD399" s="14"/>
      <x:c r="CE399" s="14"/>
    </x:row>
    <x:row r="400">
      <x:c r="A400" s="14" t="n">
        <x:v>399</x:v>
      </x:c>
      <x:c r="B400" s="14"/>
      <x:c r="C400" s="14" t="str">
        <x:v>CHECKING_EVENT</x:v>
      </x:c>
      <x:c r="D400" s="14" t="str">
        <x:v>Exploratory_Checking_611_Positional_Surrogate.xlsx</x:v>
      </x:c>
      <x:c r="E400" s="14"/>
      <x:c r="F400" s="14"/>
      <x:c r="G400" s="14"/>
      <x:c r="H400" s="14"/>
      <x:c r="I400" s="14"/>
      <x:c r="J400" s="14"/>
      <x:c r="K400" s="14" t="str">
        <x:v>NEEDS_WINDOW_BINDING</x:v>
      </x:c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  <x:c r="AB400" s="14"/>
      <x:c r="AC400" s="14"/>
      <x:c r="AD400" s="14"/>
      <x:c r="AE400" s="14"/>
      <x:c r="AF400" s="14"/>
      <x:c r="AG400" s="14"/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/>
      <x:c r="BC400" s="14"/>
      <x:c r="BD400" s="14"/>
      <x:c r="BE400" s="14"/>
      <x:c r="BF400" s="14"/>
      <x:c r="BG400" s="14"/>
      <x:c r="BH400" s="14"/>
      <x:c r="BI400" s="14"/>
      <x:c r="BJ400" s="14"/>
      <x:c r="BK400" s="14"/>
      <x:c r="BL400" s="14"/>
      <x:c r="BM400" s="14"/>
      <x:c r="BN400" s="14"/>
      <x:c r="BO400" s="14"/>
      <x:c r="BP400" s="14"/>
      <x:c r="BQ400" s="14"/>
      <x:c r="BR400" s="14"/>
      <x:c r="BS400" s="14"/>
      <x:c r="BT400" s="14"/>
      <x:c r="BU400" s="14"/>
      <x:c r="BV400" s="14"/>
      <x:c r="BW400" s="14"/>
      <x:c r="BX400" s="14"/>
      <x:c r="BY400" s="14"/>
      <x:c r="BZ400" s="14"/>
      <x:c r="CA400" s="14"/>
      <x:c r="CB400" s="14"/>
      <x:c r="CC400" s="14"/>
      <x:c r="CD400" s="14"/>
      <x:c r="CE400" s="14"/>
    </x:row>
    <x:row r="401">
      <x:c r="A401" s="14" t="n">
        <x:v>400</x:v>
      </x:c>
      <x:c r="B401" s="14"/>
      <x:c r="C401" s="14" t="str">
        <x:v>CHECKING_EVENT</x:v>
      </x:c>
      <x:c r="D401" s="14" t="str">
        <x:v>Exploratory_Checking_611_Positional_Surrogate.xlsx</x:v>
      </x:c>
      <x:c r="E401" s="14"/>
      <x:c r="F401" s="14"/>
      <x:c r="G401" s="14"/>
      <x:c r="H401" s="14"/>
      <x:c r="I401" s="14"/>
      <x:c r="J401" s="14"/>
      <x:c r="K401" s="14" t="str">
        <x:v>NEEDS_WINDOW_BINDING</x:v>
      </x:c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  <x:c r="AA401" s="14"/>
      <x:c r="AB401" s="14"/>
      <x:c r="AC401" s="14"/>
      <x:c r="AD401" s="14"/>
      <x:c r="AE401" s="14"/>
      <x:c r="AF401" s="14"/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/>
      <x:c r="BC401" s="14"/>
      <x:c r="BD401" s="14"/>
      <x:c r="BE401" s="14"/>
      <x:c r="BF401" s="14"/>
      <x:c r="BG401" s="14"/>
      <x:c r="BH401" s="14"/>
      <x:c r="BI401" s="14"/>
      <x:c r="BJ401" s="14"/>
      <x:c r="BK401" s="14"/>
      <x:c r="BL401" s="14"/>
      <x:c r="BM401" s="14"/>
      <x:c r="BN401" s="14"/>
      <x:c r="BO401" s="14"/>
      <x:c r="BP401" s="14"/>
      <x:c r="BQ401" s="14"/>
      <x:c r="BR401" s="14"/>
      <x:c r="BS401" s="14"/>
      <x:c r="BT401" s="14"/>
      <x:c r="BU401" s="14"/>
      <x:c r="BV401" s="14"/>
      <x:c r="BW401" s="14"/>
      <x:c r="BX401" s="14"/>
      <x:c r="BY401" s="14"/>
      <x:c r="BZ401" s="14"/>
      <x:c r="CA401" s="14"/>
      <x:c r="CB401" s="14"/>
      <x:c r="CC401" s="14"/>
      <x:c r="CD401" s="14"/>
      <x:c r="CE401" s="14"/>
    </x:row>
    <x:row r="402">
      <x:c r="A402" s="14" t="n">
        <x:v>401</x:v>
      </x:c>
      <x:c r="B402" s="14"/>
      <x:c r="C402" s="14" t="str">
        <x:v>CHECKING_EVENT</x:v>
      </x:c>
      <x:c r="D402" s="14" t="str">
        <x:v>Exploratory_Checking_611_Positional_Surrogate.xlsx</x:v>
      </x:c>
      <x:c r="E402" s="14"/>
      <x:c r="F402" s="14"/>
      <x:c r="G402" s="14"/>
      <x:c r="H402" s="14"/>
      <x:c r="I402" s="14"/>
      <x:c r="J402" s="14"/>
      <x:c r="K402" s="14" t="str">
        <x:v>NEEDS_WINDOW_BINDING</x:v>
      </x:c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  <x:c r="AA402" s="14"/>
      <x:c r="AB402" s="14"/>
      <x:c r="AC402" s="14"/>
      <x:c r="AD402" s="14"/>
      <x:c r="AE402" s="14"/>
      <x:c r="AF402" s="14"/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/>
      <x:c r="AX402" s="14"/>
      <x:c r="AY402" s="14"/>
      <x:c r="AZ402" s="14"/>
      <x:c r="BA402" s="14"/>
      <x:c r="BB402" s="14"/>
      <x:c r="BC402" s="14"/>
      <x:c r="BD402" s="14"/>
      <x:c r="BE402" s="14"/>
      <x:c r="BF402" s="14"/>
      <x:c r="BG402" s="14"/>
      <x:c r="BH402" s="14"/>
      <x:c r="BI402" s="14"/>
      <x:c r="BJ402" s="14"/>
      <x:c r="BK402" s="14"/>
      <x:c r="BL402" s="14"/>
      <x:c r="BM402" s="14"/>
      <x:c r="BN402" s="14"/>
      <x:c r="BO402" s="14"/>
      <x:c r="BP402" s="14"/>
      <x:c r="BQ402" s="14"/>
      <x:c r="BR402" s="14"/>
      <x:c r="BS402" s="14"/>
      <x:c r="BT402" s="14"/>
      <x:c r="BU402" s="14"/>
      <x:c r="BV402" s="14"/>
      <x:c r="BW402" s="14"/>
      <x:c r="BX402" s="14"/>
      <x:c r="BY402" s="14"/>
      <x:c r="BZ402" s="14"/>
      <x:c r="CA402" s="14"/>
      <x:c r="CB402" s="14"/>
      <x:c r="CC402" s="14"/>
      <x:c r="CD402" s="14"/>
      <x:c r="CE402" s="14"/>
    </x:row>
    <x:row r="403">
      <x:c r="A403" s="14" t="n">
        <x:v>402</x:v>
      </x:c>
      <x:c r="B403" s="14"/>
      <x:c r="C403" s="14" t="str">
        <x:v>CHECKING_EVENT</x:v>
      </x:c>
      <x:c r="D403" s="14" t="str">
        <x:v>Exploratory_Checking_611_Positional_Surrogate.xlsx</x:v>
      </x:c>
      <x:c r="E403" s="14"/>
      <x:c r="F403" s="14"/>
      <x:c r="G403" s="14"/>
      <x:c r="H403" s="14"/>
      <x:c r="I403" s="14"/>
      <x:c r="J403" s="14"/>
      <x:c r="K403" s="14" t="str">
        <x:v>NEEDS_WINDOW_BINDING</x:v>
      </x:c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  <x:c r="AA403" s="14"/>
      <x:c r="AB403" s="14"/>
      <x:c r="AC403" s="14"/>
      <x:c r="AD403" s="14"/>
      <x:c r="AE403" s="14"/>
      <x:c r="AF403" s="14"/>
      <x:c r="AG403" s="14"/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/>
      <x:c r="AX403" s="14"/>
      <x:c r="AY403" s="14"/>
      <x:c r="AZ403" s="14"/>
      <x:c r="BA403" s="14"/>
      <x:c r="BB403" s="14"/>
      <x:c r="BC403" s="14"/>
      <x:c r="BD403" s="14"/>
      <x:c r="BE403" s="14"/>
      <x:c r="BF403" s="14"/>
      <x:c r="BG403" s="14"/>
      <x:c r="BH403" s="14"/>
      <x:c r="BI403" s="14"/>
      <x:c r="BJ403" s="14"/>
      <x:c r="BK403" s="14"/>
      <x:c r="BL403" s="14"/>
      <x:c r="BM403" s="14"/>
      <x:c r="BN403" s="14"/>
      <x:c r="BO403" s="14"/>
      <x:c r="BP403" s="14"/>
      <x:c r="BQ403" s="14"/>
      <x:c r="BR403" s="14"/>
      <x:c r="BS403" s="14"/>
      <x:c r="BT403" s="14"/>
      <x:c r="BU403" s="14"/>
      <x:c r="BV403" s="14"/>
      <x:c r="BW403" s="14"/>
      <x:c r="BX403" s="14"/>
      <x:c r="BY403" s="14"/>
      <x:c r="BZ403" s="14"/>
      <x:c r="CA403" s="14"/>
      <x:c r="CB403" s="14"/>
      <x:c r="CC403" s="14"/>
      <x:c r="CD403" s="14"/>
      <x:c r="CE403" s="14"/>
    </x:row>
    <x:row r="404">
      <x:c r="A404" s="14" t="n">
        <x:v>403</x:v>
      </x:c>
      <x:c r="B404" s="14"/>
      <x:c r="C404" s="14" t="str">
        <x:v>CHECKING_EVENT</x:v>
      </x:c>
      <x:c r="D404" s="14" t="str">
        <x:v>Exploratory_Checking_611_Positional_Surrogate.xlsx</x:v>
      </x:c>
      <x:c r="E404" s="14"/>
      <x:c r="F404" s="14"/>
      <x:c r="G404" s="14"/>
      <x:c r="H404" s="14"/>
      <x:c r="I404" s="14"/>
      <x:c r="J404" s="14"/>
      <x:c r="K404" s="14" t="str">
        <x:v>NEEDS_WINDOW_BINDING</x:v>
      </x:c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  <x:c r="AA404" s="14"/>
      <x:c r="AB404" s="14"/>
      <x:c r="AC404" s="14"/>
      <x:c r="AD404" s="14"/>
      <x:c r="AE404" s="14"/>
      <x:c r="AF404" s="14"/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/>
      <x:c r="BC404" s="14"/>
      <x:c r="BD404" s="14"/>
      <x:c r="BE404" s="14"/>
      <x:c r="BF404" s="14"/>
      <x:c r="BG404" s="14"/>
      <x:c r="BH404" s="14"/>
      <x:c r="BI404" s="14"/>
      <x:c r="BJ404" s="14"/>
      <x:c r="BK404" s="14"/>
      <x:c r="BL404" s="14"/>
      <x:c r="BM404" s="14"/>
      <x:c r="BN404" s="14"/>
      <x:c r="BO404" s="14"/>
      <x:c r="BP404" s="14"/>
      <x:c r="BQ404" s="14"/>
      <x:c r="BR404" s="14"/>
      <x:c r="BS404" s="14"/>
      <x:c r="BT404" s="14"/>
      <x:c r="BU404" s="14"/>
      <x:c r="BV404" s="14"/>
      <x:c r="BW404" s="14"/>
      <x:c r="BX404" s="14"/>
      <x:c r="BY404" s="14"/>
      <x:c r="BZ404" s="14"/>
      <x:c r="CA404" s="14"/>
      <x:c r="CB404" s="14"/>
      <x:c r="CC404" s="14"/>
      <x:c r="CD404" s="14"/>
      <x:c r="CE404" s="14"/>
    </x:row>
    <x:row r="405">
      <x:c r="A405" s="14" t="n">
        <x:v>404</x:v>
      </x:c>
      <x:c r="B405" s="14"/>
      <x:c r="C405" s="14" t="str">
        <x:v>CHECKING_EVENT</x:v>
      </x:c>
      <x:c r="D405" s="14" t="str">
        <x:v>Exploratory_Checking_611_Positional_Surrogate.xlsx</x:v>
      </x:c>
      <x:c r="E405" s="14"/>
      <x:c r="F405" s="14"/>
      <x:c r="G405" s="14"/>
      <x:c r="H405" s="14"/>
      <x:c r="I405" s="14"/>
      <x:c r="J405" s="14"/>
      <x:c r="K405" s="14" t="str">
        <x:v>NEEDS_WINDOW_BINDING</x:v>
      </x:c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  <x:c r="AB405" s="14"/>
      <x:c r="AC405" s="14"/>
      <x:c r="AD405" s="14"/>
      <x:c r="AE405" s="14"/>
      <x:c r="AF405" s="14"/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/>
      <x:c r="BC405" s="14"/>
      <x:c r="BD405" s="14"/>
      <x:c r="BE405" s="14"/>
      <x:c r="BF405" s="14"/>
      <x:c r="BG405" s="14"/>
      <x:c r="BH405" s="14"/>
      <x:c r="BI405" s="14"/>
      <x:c r="BJ405" s="14"/>
      <x:c r="BK405" s="14"/>
      <x:c r="BL405" s="14"/>
      <x:c r="BM405" s="14"/>
      <x:c r="BN405" s="14"/>
      <x:c r="BO405" s="14"/>
      <x:c r="BP405" s="14"/>
      <x:c r="BQ405" s="14"/>
      <x:c r="BR405" s="14"/>
      <x:c r="BS405" s="14"/>
      <x:c r="BT405" s="14"/>
      <x:c r="BU405" s="14"/>
      <x:c r="BV405" s="14"/>
      <x:c r="BW405" s="14"/>
      <x:c r="BX405" s="14"/>
      <x:c r="BY405" s="14"/>
      <x:c r="BZ405" s="14"/>
      <x:c r="CA405" s="14"/>
      <x:c r="CB405" s="14"/>
      <x:c r="CC405" s="14"/>
      <x:c r="CD405" s="14"/>
      <x:c r="CE405" s="14"/>
    </x:row>
    <x:row r="406">
      <x:c r="A406" s="14" t="n">
        <x:v>405</x:v>
      </x:c>
      <x:c r="B406" s="14"/>
      <x:c r="C406" s="14" t="str">
        <x:v>CHECKING_EVENT</x:v>
      </x:c>
      <x:c r="D406" s="14" t="str">
        <x:v>Exploratory_Checking_611_Positional_Surrogate.xlsx</x:v>
      </x:c>
      <x:c r="E406" s="14"/>
      <x:c r="F406" s="14"/>
      <x:c r="G406" s="14"/>
      <x:c r="H406" s="14"/>
      <x:c r="I406" s="14"/>
      <x:c r="J406" s="14"/>
      <x:c r="K406" s="14" t="str">
        <x:v>NEEDS_WINDOW_BINDING</x:v>
      </x:c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4"/>
      <x:c r="AJ406" s="14"/>
      <x:c r="AK406" s="14"/>
      <x:c r="AL406" s="14"/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/>
      <x:c r="BC406" s="14"/>
      <x:c r="BD406" s="14"/>
      <x:c r="BE406" s="14"/>
      <x:c r="BF406" s="14"/>
      <x:c r="BG406" s="14"/>
      <x:c r="BH406" s="14"/>
      <x:c r="BI406" s="14"/>
      <x:c r="BJ406" s="14"/>
      <x:c r="BK406" s="14"/>
      <x:c r="BL406" s="14"/>
      <x:c r="BM406" s="14"/>
      <x:c r="BN406" s="14"/>
      <x:c r="BO406" s="14"/>
      <x:c r="BP406" s="14"/>
      <x:c r="BQ406" s="14"/>
      <x:c r="BR406" s="14"/>
      <x:c r="BS406" s="14"/>
      <x:c r="BT406" s="14"/>
      <x:c r="BU406" s="14"/>
      <x:c r="BV406" s="14"/>
      <x:c r="BW406" s="14"/>
      <x:c r="BX406" s="14"/>
      <x:c r="BY406" s="14"/>
      <x:c r="BZ406" s="14"/>
      <x:c r="CA406" s="14"/>
      <x:c r="CB406" s="14"/>
      <x:c r="CC406" s="14"/>
      <x:c r="CD406" s="14"/>
      <x:c r="CE406" s="14"/>
    </x:row>
    <x:row r="407">
      <x:c r="A407" s="14" t="n">
        <x:v>406</x:v>
      </x:c>
      <x:c r="B407" s="14"/>
      <x:c r="C407" s="14" t="str">
        <x:v>CHECKING_EVENT</x:v>
      </x:c>
      <x:c r="D407" s="14" t="str">
        <x:v>Exploratory_Checking_611_Positional_Surrogate.xlsx</x:v>
      </x:c>
      <x:c r="E407" s="14"/>
      <x:c r="F407" s="14"/>
      <x:c r="G407" s="14"/>
      <x:c r="H407" s="14"/>
      <x:c r="I407" s="14"/>
      <x:c r="J407" s="14"/>
      <x:c r="K407" s="14" t="str">
        <x:v>NEEDS_WINDOW_BINDING</x:v>
      </x:c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  <x:c r="AA407" s="14"/>
      <x:c r="AB407" s="14"/>
      <x:c r="AC407" s="14"/>
      <x:c r="AD407" s="14"/>
      <x:c r="AE407" s="14"/>
      <x:c r="AF407" s="14"/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/>
      <x:c r="BC407" s="14"/>
      <x:c r="BD407" s="14"/>
      <x:c r="BE407" s="14"/>
      <x:c r="BF407" s="14"/>
      <x:c r="BG407" s="14"/>
      <x:c r="BH407" s="14"/>
      <x:c r="BI407" s="14"/>
      <x:c r="BJ407" s="14"/>
      <x:c r="BK407" s="14"/>
      <x:c r="BL407" s="14"/>
      <x:c r="BM407" s="14"/>
      <x:c r="BN407" s="14"/>
      <x:c r="BO407" s="14"/>
      <x:c r="BP407" s="14"/>
      <x:c r="BQ407" s="14"/>
      <x:c r="BR407" s="14"/>
      <x:c r="BS407" s="14"/>
      <x:c r="BT407" s="14"/>
      <x:c r="BU407" s="14"/>
      <x:c r="BV407" s="14"/>
      <x:c r="BW407" s="14"/>
      <x:c r="BX407" s="14"/>
      <x:c r="BY407" s="14"/>
      <x:c r="BZ407" s="14"/>
      <x:c r="CA407" s="14"/>
      <x:c r="CB407" s="14"/>
      <x:c r="CC407" s="14"/>
      <x:c r="CD407" s="14"/>
      <x:c r="CE407" s="14"/>
    </x:row>
    <x:row r="408">
      <x:c r="A408" s="14" t="n">
        <x:v>407</x:v>
      </x:c>
      <x:c r="B408" s="14"/>
      <x:c r="C408" s="14" t="str">
        <x:v>CHECKING_EVENT</x:v>
      </x:c>
      <x:c r="D408" s="14" t="str">
        <x:v>Exploratory_Checking_611_Positional_Surrogate.xlsx</x:v>
      </x:c>
      <x:c r="E408" s="14"/>
      <x:c r="F408" s="14"/>
      <x:c r="G408" s="14"/>
      <x:c r="H408" s="14"/>
      <x:c r="I408" s="14"/>
      <x:c r="J408" s="14"/>
      <x:c r="K408" s="14" t="str">
        <x:v>NEEDS_WINDOW_BINDING</x:v>
      </x:c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  <x:c r="AB408" s="14"/>
      <x:c r="AC408" s="14"/>
      <x:c r="AD408" s="14"/>
      <x:c r="AE408" s="14"/>
      <x:c r="AF408" s="14"/>
      <x:c r="AG408" s="14"/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/>
      <x:c r="BC408" s="14"/>
      <x:c r="BD408" s="14"/>
      <x:c r="BE408" s="14"/>
      <x:c r="BF408" s="14"/>
      <x:c r="BG408" s="14"/>
      <x:c r="BH408" s="14"/>
      <x:c r="BI408" s="14"/>
      <x:c r="BJ408" s="14"/>
      <x:c r="BK408" s="14"/>
      <x:c r="BL408" s="14"/>
      <x:c r="BM408" s="14"/>
      <x:c r="BN408" s="14"/>
      <x:c r="BO408" s="14"/>
      <x:c r="BP408" s="14"/>
      <x:c r="BQ408" s="14"/>
      <x:c r="BR408" s="14"/>
      <x:c r="BS408" s="14"/>
      <x:c r="BT408" s="14"/>
      <x:c r="BU408" s="14"/>
      <x:c r="BV408" s="14"/>
      <x:c r="BW408" s="14"/>
      <x:c r="BX408" s="14"/>
      <x:c r="BY408" s="14"/>
      <x:c r="BZ408" s="14"/>
      <x:c r="CA408" s="14"/>
      <x:c r="CB408" s="14"/>
      <x:c r="CC408" s="14"/>
      <x:c r="CD408" s="14"/>
      <x:c r="CE408" s="14"/>
    </x:row>
    <x:row r="409">
      <x:c r="A409" s="14" t="n">
        <x:v>408</x:v>
      </x:c>
      <x:c r="B409" s="14"/>
      <x:c r="C409" s="14" t="str">
        <x:v>CHECKING_EVENT</x:v>
      </x:c>
      <x:c r="D409" s="14" t="str">
        <x:v>Exploratory_Checking_611_Positional_Surrogate.xlsx</x:v>
      </x:c>
      <x:c r="E409" s="14"/>
      <x:c r="F409" s="14"/>
      <x:c r="G409" s="14"/>
      <x:c r="H409" s="14"/>
      <x:c r="I409" s="14"/>
      <x:c r="J409" s="14"/>
      <x:c r="K409" s="14" t="str">
        <x:v>NEEDS_WINDOW_BINDING</x:v>
      </x:c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  <x:c r="AA409" s="14"/>
      <x:c r="AB409" s="14"/>
      <x:c r="AC409" s="14"/>
      <x:c r="AD409" s="14"/>
      <x:c r="AE409" s="14"/>
      <x:c r="AF409" s="14"/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/>
      <x:c r="BC409" s="14"/>
      <x:c r="BD409" s="14"/>
      <x:c r="BE409" s="14"/>
      <x:c r="BF409" s="14"/>
      <x:c r="BG409" s="14"/>
      <x:c r="BH409" s="14"/>
      <x:c r="BI409" s="14"/>
      <x:c r="BJ409" s="14"/>
      <x:c r="BK409" s="14"/>
      <x:c r="BL409" s="14"/>
      <x:c r="BM409" s="14"/>
      <x:c r="BN409" s="14"/>
      <x:c r="BO409" s="14"/>
      <x:c r="BP409" s="14"/>
      <x:c r="BQ409" s="14"/>
      <x:c r="BR409" s="14"/>
      <x:c r="BS409" s="14"/>
      <x:c r="BT409" s="14"/>
      <x:c r="BU409" s="14"/>
      <x:c r="BV409" s="14"/>
      <x:c r="BW409" s="14"/>
      <x:c r="BX409" s="14"/>
      <x:c r="BY409" s="14"/>
      <x:c r="BZ409" s="14"/>
      <x:c r="CA409" s="14"/>
      <x:c r="CB409" s="14"/>
      <x:c r="CC409" s="14"/>
      <x:c r="CD409" s="14"/>
      <x:c r="CE409" s="14"/>
    </x:row>
    <x:row r="410">
      <x:c r="A410" s="14" t="n">
        <x:v>409</x:v>
      </x:c>
      <x:c r="B410" s="14"/>
      <x:c r="C410" s="14" t="str">
        <x:v>CHECKING_EVENT</x:v>
      </x:c>
      <x:c r="D410" s="14" t="str">
        <x:v>Exploratory_Checking_611_Positional_Surrogate.xlsx</x:v>
      </x:c>
      <x:c r="E410" s="14"/>
      <x:c r="F410" s="14"/>
      <x:c r="G410" s="14"/>
      <x:c r="H410" s="14"/>
      <x:c r="I410" s="14"/>
      <x:c r="J410" s="14"/>
      <x:c r="K410" s="14" t="str">
        <x:v>NEEDS_WINDOW_BINDING</x:v>
      </x:c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  <x:c r="AA410" s="14"/>
      <x:c r="AB410" s="14"/>
      <x:c r="AC410" s="14"/>
      <x:c r="AD410" s="14"/>
      <x:c r="AE410" s="14"/>
      <x:c r="AF410" s="14"/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/>
      <x:c r="BC410" s="14"/>
      <x:c r="BD410" s="14"/>
      <x:c r="BE410" s="14"/>
      <x:c r="BF410" s="14"/>
      <x:c r="BG410" s="14"/>
      <x:c r="BH410" s="14"/>
      <x:c r="BI410" s="14"/>
      <x:c r="BJ410" s="14"/>
      <x:c r="BK410" s="14"/>
      <x:c r="BL410" s="14"/>
      <x:c r="BM410" s="14"/>
      <x:c r="BN410" s="14"/>
      <x:c r="BO410" s="14"/>
      <x:c r="BP410" s="14"/>
      <x:c r="BQ410" s="14"/>
      <x:c r="BR410" s="14"/>
      <x:c r="BS410" s="14"/>
      <x:c r="BT410" s="14"/>
      <x:c r="BU410" s="14"/>
      <x:c r="BV410" s="14"/>
      <x:c r="BW410" s="14"/>
      <x:c r="BX410" s="14"/>
      <x:c r="BY410" s="14"/>
      <x:c r="BZ410" s="14"/>
      <x:c r="CA410" s="14"/>
      <x:c r="CB410" s="14"/>
      <x:c r="CC410" s="14"/>
      <x:c r="CD410" s="14"/>
      <x:c r="CE410" s="14"/>
    </x:row>
    <x:row r="411">
      <x:c r="A411" s="14" t="n">
        <x:v>410</x:v>
      </x:c>
      <x:c r="B411" s="14"/>
      <x:c r="C411" s="14" t="str">
        <x:v>CHECKING_EVENT</x:v>
      </x:c>
      <x:c r="D411" s="14" t="str">
        <x:v>Exploratory_Checking_611_Positional_Surrogate.xlsx</x:v>
      </x:c>
      <x:c r="E411" s="14"/>
      <x:c r="F411" s="14"/>
      <x:c r="G411" s="14"/>
      <x:c r="H411" s="14"/>
      <x:c r="I411" s="14"/>
      <x:c r="J411" s="14"/>
      <x:c r="K411" s="14" t="str">
        <x:v>NEEDS_WINDOW_BINDING</x:v>
      </x:c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  <x:c r="AB411" s="14"/>
      <x:c r="AC411" s="14"/>
      <x:c r="AD411" s="14"/>
      <x:c r="AE411" s="14"/>
      <x:c r="AF411" s="14"/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/>
      <x:c r="BC411" s="14"/>
      <x:c r="BD411" s="14"/>
      <x:c r="BE411" s="14"/>
      <x:c r="BF411" s="14"/>
      <x:c r="BG411" s="14"/>
      <x:c r="BH411" s="14"/>
      <x:c r="BI411" s="14"/>
      <x:c r="BJ411" s="14"/>
      <x:c r="BK411" s="14"/>
      <x:c r="BL411" s="14"/>
      <x:c r="BM411" s="14"/>
      <x:c r="BN411" s="14"/>
      <x:c r="BO411" s="14"/>
      <x:c r="BP411" s="14"/>
      <x:c r="BQ411" s="14"/>
      <x:c r="BR411" s="14"/>
      <x:c r="BS411" s="14"/>
      <x:c r="BT411" s="14"/>
      <x:c r="BU411" s="14"/>
      <x:c r="BV411" s="14"/>
      <x:c r="BW411" s="14"/>
      <x:c r="BX411" s="14"/>
      <x:c r="BY411" s="14"/>
      <x:c r="BZ411" s="14"/>
      <x:c r="CA411" s="14"/>
      <x:c r="CB411" s="14"/>
      <x:c r="CC411" s="14"/>
      <x:c r="CD411" s="14"/>
      <x:c r="CE411" s="14"/>
    </x:row>
    <x:row r="412">
      <x:c r="A412" s="14" t="n">
        <x:v>411</x:v>
      </x:c>
      <x:c r="B412" s="14"/>
      <x:c r="C412" s="14" t="str">
        <x:v>CHECKING_EVENT</x:v>
      </x:c>
      <x:c r="D412" s="14" t="str">
        <x:v>Exploratory_Checking_611_Positional_Surrogate.xlsx</x:v>
      </x:c>
      <x:c r="E412" s="14"/>
      <x:c r="F412" s="14"/>
      <x:c r="G412" s="14"/>
      <x:c r="H412" s="14"/>
      <x:c r="I412" s="14"/>
      <x:c r="J412" s="14"/>
      <x:c r="K412" s="14" t="str">
        <x:v>NEEDS_WINDOW_BINDING</x:v>
      </x:c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  <x:c r="AB412" s="14"/>
      <x:c r="AC412" s="14"/>
      <x:c r="AD412" s="14"/>
      <x:c r="AE412" s="14"/>
      <x:c r="AF412" s="14"/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4"/>
      <x:c r="BC412" s="14"/>
      <x:c r="BD412" s="14"/>
      <x:c r="BE412" s="14"/>
      <x:c r="BF412" s="14"/>
      <x:c r="BG412" s="14"/>
      <x:c r="BH412" s="14"/>
      <x:c r="BI412" s="14"/>
      <x:c r="BJ412" s="14"/>
      <x:c r="BK412" s="14"/>
      <x:c r="BL412" s="14"/>
      <x:c r="BM412" s="14"/>
      <x:c r="BN412" s="14"/>
      <x:c r="BO412" s="14"/>
      <x:c r="BP412" s="14"/>
      <x:c r="BQ412" s="14"/>
      <x:c r="BR412" s="14"/>
      <x:c r="BS412" s="14"/>
      <x:c r="BT412" s="14"/>
      <x:c r="BU412" s="14"/>
      <x:c r="BV412" s="14"/>
      <x:c r="BW412" s="14"/>
      <x:c r="BX412" s="14"/>
      <x:c r="BY412" s="14"/>
      <x:c r="BZ412" s="14"/>
      <x:c r="CA412" s="14"/>
      <x:c r="CB412" s="14"/>
      <x:c r="CC412" s="14"/>
      <x:c r="CD412" s="14"/>
      <x:c r="CE412" s="14"/>
    </x:row>
    <x:row r="413">
      <x:c r="A413" s="14" t="n">
        <x:v>412</x:v>
      </x:c>
      <x:c r="B413" s="14"/>
      <x:c r="C413" s="14" t="str">
        <x:v>CHECKING_EVENT</x:v>
      </x:c>
      <x:c r="D413" s="14" t="str">
        <x:v>Exploratory_Checking_611_Positional_Surrogate.xlsx</x:v>
      </x:c>
      <x:c r="E413" s="14"/>
      <x:c r="F413" s="14"/>
      <x:c r="G413" s="14"/>
      <x:c r="H413" s="14"/>
      <x:c r="I413" s="14"/>
      <x:c r="J413" s="14"/>
      <x:c r="K413" s="14" t="str">
        <x:v>NEEDS_WINDOW_BINDING</x:v>
      </x:c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4"/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/>
      <x:c r="BC413" s="14"/>
      <x:c r="BD413" s="14"/>
      <x:c r="BE413" s="14"/>
      <x:c r="BF413" s="14"/>
      <x:c r="BG413" s="14"/>
      <x:c r="BH413" s="14"/>
      <x:c r="BI413" s="14"/>
      <x:c r="BJ413" s="14"/>
      <x:c r="BK413" s="14"/>
      <x:c r="BL413" s="14"/>
      <x:c r="BM413" s="14"/>
      <x:c r="BN413" s="14"/>
      <x:c r="BO413" s="14"/>
      <x:c r="BP413" s="14"/>
      <x:c r="BQ413" s="14"/>
      <x:c r="BR413" s="14"/>
      <x:c r="BS413" s="14"/>
      <x:c r="BT413" s="14"/>
      <x:c r="BU413" s="14"/>
      <x:c r="BV413" s="14"/>
      <x:c r="BW413" s="14"/>
      <x:c r="BX413" s="14"/>
      <x:c r="BY413" s="14"/>
      <x:c r="BZ413" s="14"/>
      <x:c r="CA413" s="14"/>
      <x:c r="CB413" s="14"/>
      <x:c r="CC413" s="14"/>
      <x:c r="CD413" s="14"/>
      <x:c r="CE413" s="14"/>
    </x:row>
    <x:row r="414">
      <x:c r="A414" s="14" t="n">
        <x:v>413</x:v>
      </x:c>
      <x:c r="B414" s="14"/>
      <x:c r="C414" s="14" t="str">
        <x:v>CHECKING_EVENT</x:v>
      </x:c>
      <x:c r="D414" s="14" t="str">
        <x:v>Exploratory_Checking_611_Positional_Surrogate.xlsx</x:v>
      </x:c>
      <x:c r="E414" s="14"/>
      <x:c r="F414" s="14"/>
      <x:c r="G414" s="14"/>
      <x:c r="H414" s="14"/>
      <x:c r="I414" s="14"/>
      <x:c r="J414" s="14"/>
      <x:c r="K414" s="14" t="str">
        <x:v>NEEDS_WINDOW_BINDING</x:v>
      </x:c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  <x:c r="AB414" s="14"/>
      <x:c r="AC414" s="14"/>
      <x:c r="AD414" s="14"/>
      <x:c r="AE414" s="14"/>
      <x:c r="AF414" s="14"/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/>
      <x:c r="BC414" s="14"/>
      <x:c r="BD414" s="14"/>
      <x:c r="BE414" s="14"/>
      <x:c r="BF414" s="14"/>
      <x:c r="BG414" s="14"/>
      <x:c r="BH414" s="14"/>
      <x:c r="BI414" s="14"/>
      <x:c r="BJ414" s="14"/>
      <x:c r="BK414" s="14"/>
      <x:c r="BL414" s="14"/>
      <x:c r="BM414" s="14"/>
      <x:c r="BN414" s="14"/>
      <x:c r="BO414" s="14"/>
      <x:c r="BP414" s="14"/>
      <x:c r="BQ414" s="14"/>
      <x:c r="BR414" s="14"/>
      <x:c r="BS414" s="14"/>
      <x:c r="BT414" s="14"/>
      <x:c r="BU414" s="14"/>
      <x:c r="BV414" s="14"/>
      <x:c r="BW414" s="14"/>
      <x:c r="BX414" s="14"/>
      <x:c r="BY414" s="14"/>
      <x:c r="BZ414" s="14"/>
      <x:c r="CA414" s="14"/>
      <x:c r="CB414" s="14"/>
      <x:c r="CC414" s="14"/>
      <x:c r="CD414" s="14"/>
      <x:c r="CE414" s="14"/>
    </x:row>
    <x:row r="415">
      <x:c r="A415" s="14" t="n">
        <x:v>414</x:v>
      </x:c>
      <x:c r="B415" s="14"/>
      <x:c r="C415" s="14" t="str">
        <x:v>CHECKING_EVENT</x:v>
      </x:c>
      <x:c r="D415" s="14" t="str">
        <x:v>Exploratory_Checking_611_Positional_Surrogate.xlsx</x:v>
      </x:c>
      <x:c r="E415" s="14"/>
      <x:c r="F415" s="14"/>
      <x:c r="G415" s="14"/>
      <x:c r="H415" s="14"/>
      <x:c r="I415" s="14"/>
      <x:c r="J415" s="14"/>
      <x:c r="K415" s="14" t="str">
        <x:v>NEEDS_WINDOW_BINDING</x:v>
      </x:c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  <x:c r="AB415" s="14"/>
      <x:c r="AC415" s="14"/>
      <x:c r="AD415" s="14"/>
      <x:c r="AE415" s="14"/>
      <x:c r="AF415" s="14"/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/>
      <x:c r="BC415" s="14"/>
      <x:c r="BD415" s="14"/>
      <x:c r="BE415" s="14"/>
      <x:c r="BF415" s="14"/>
      <x:c r="BG415" s="14"/>
      <x:c r="BH415" s="14"/>
      <x:c r="BI415" s="14"/>
      <x:c r="BJ415" s="14"/>
      <x:c r="BK415" s="14"/>
      <x:c r="BL415" s="14"/>
      <x:c r="BM415" s="14"/>
      <x:c r="BN415" s="14"/>
      <x:c r="BO415" s="14"/>
      <x:c r="BP415" s="14"/>
      <x:c r="BQ415" s="14"/>
      <x:c r="BR415" s="14"/>
      <x:c r="BS415" s="14"/>
      <x:c r="BT415" s="14"/>
      <x:c r="BU415" s="14"/>
      <x:c r="BV415" s="14"/>
      <x:c r="BW415" s="14"/>
      <x:c r="BX415" s="14"/>
      <x:c r="BY415" s="14"/>
      <x:c r="BZ415" s="14"/>
      <x:c r="CA415" s="14"/>
      <x:c r="CB415" s="14"/>
      <x:c r="CC415" s="14"/>
      <x:c r="CD415" s="14"/>
      <x:c r="CE415" s="14"/>
    </x:row>
    <x:row r="416">
      <x:c r="A416" s="14" t="n">
        <x:v>415</x:v>
      </x:c>
      <x:c r="B416" s="14"/>
      <x:c r="C416" s="14" t="str">
        <x:v>CHECKING_EVENT</x:v>
      </x:c>
      <x:c r="D416" s="14" t="str">
        <x:v>Exploratory_Checking_611_Positional_Surrogate.xlsx</x:v>
      </x:c>
      <x:c r="E416" s="14"/>
      <x:c r="F416" s="14"/>
      <x:c r="G416" s="14"/>
      <x:c r="H416" s="14"/>
      <x:c r="I416" s="14"/>
      <x:c r="J416" s="14"/>
      <x:c r="K416" s="14" t="str">
        <x:v>NEEDS_WINDOW_BINDING</x:v>
      </x:c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  <x:c r="AA416" s="14"/>
      <x:c r="AB416" s="14"/>
      <x:c r="AC416" s="14"/>
      <x:c r="AD416" s="14"/>
      <x:c r="AE416" s="14"/>
      <x:c r="AF416" s="14"/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/>
      <x:c r="BC416" s="14"/>
      <x:c r="BD416" s="14"/>
      <x:c r="BE416" s="14"/>
      <x:c r="BF416" s="14"/>
      <x:c r="BG416" s="14"/>
      <x:c r="BH416" s="14"/>
      <x:c r="BI416" s="14"/>
      <x:c r="BJ416" s="14"/>
      <x:c r="BK416" s="14"/>
      <x:c r="BL416" s="14"/>
      <x:c r="BM416" s="14"/>
      <x:c r="BN416" s="14"/>
      <x:c r="BO416" s="14"/>
      <x:c r="BP416" s="14"/>
      <x:c r="BQ416" s="14"/>
      <x:c r="BR416" s="14"/>
      <x:c r="BS416" s="14"/>
      <x:c r="BT416" s="14"/>
      <x:c r="BU416" s="14"/>
      <x:c r="BV416" s="14"/>
      <x:c r="BW416" s="14"/>
      <x:c r="BX416" s="14"/>
      <x:c r="BY416" s="14"/>
      <x:c r="BZ416" s="14"/>
      <x:c r="CA416" s="14"/>
      <x:c r="CB416" s="14"/>
      <x:c r="CC416" s="14"/>
      <x:c r="CD416" s="14"/>
      <x:c r="CE416" s="14"/>
    </x:row>
    <x:row r="417">
      <x:c r="A417" s="14" t="n">
        <x:v>416</x:v>
      </x:c>
      <x:c r="B417" s="14"/>
      <x:c r="C417" s="14" t="str">
        <x:v>CHECKING_EVENT</x:v>
      </x:c>
      <x:c r="D417" s="14" t="str">
        <x:v>Exploratory_Checking_611_Positional_Surrogate.xlsx</x:v>
      </x:c>
      <x:c r="E417" s="14"/>
      <x:c r="F417" s="14"/>
      <x:c r="G417" s="14"/>
      <x:c r="H417" s="14"/>
      <x:c r="I417" s="14"/>
      <x:c r="J417" s="14"/>
      <x:c r="K417" s="14" t="str">
        <x:v>NEEDS_WINDOW_BINDING</x:v>
      </x:c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4"/>
      <x:c r="AB417" s="14"/>
      <x:c r="AC417" s="14"/>
      <x:c r="AD417" s="14"/>
      <x:c r="AE417" s="14"/>
      <x:c r="AF417" s="14"/>
      <x:c r="AG417" s="14"/>
      <x:c r="AH417" s="14"/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/>
      <x:c r="BC417" s="14"/>
      <x:c r="BD417" s="14"/>
      <x:c r="BE417" s="14"/>
      <x:c r="BF417" s="14"/>
      <x:c r="BG417" s="14"/>
      <x:c r="BH417" s="14"/>
      <x:c r="BI417" s="14"/>
      <x:c r="BJ417" s="14"/>
      <x:c r="BK417" s="14"/>
      <x:c r="BL417" s="14"/>
      <x:c r="BM417" s="14"/>
      <x:c r="BN417" s="14"/>
      <x:c r="BO417" s="14"/>
      <x:c r="BP417" s="14"/>
      <x:c r="BQ417" s="14"/>
      <x:c r="BR417" s="14"/>
      <x:c r="BS417" s="14"/>
      <x:c r="BT417" s="14"/>
      <x:c r="BU417" s="14"/>
      <x:c r="BV417" s="14"/>
      <x:c r="BW417" s="14"/>
      <x:c r="BX417" s="14"/>
      <x:c r="BY417" s="14"/>
      <x:c r="BZ417" s="14"/>
      <x:c r="CA417" s="14"/>
      <x:c r="CB417" s="14"/>
      <x:c r="CC417" s="14"/>
      <x:c r="CD417" s="14"/>
      <x:c r="CE417" s="14"/>
    </x:row>
    <x:row r="418">
      <x:c r="A418" s="14" t="n">
        <x:v>417</x:v>
      </x:c>
      <x:c r="B418" s="14"/>
      <x:c r="C418" s="14" t="str">
        <x:v>CHECKING_EVENT</x:v>
      </x:c>
      <x:c r="D418" s="14" t="str">
        <x:v>Exploratory_Checking_611_Positional_Surrogate.xlsx</x:v>
      </x:c>
      <x:c r="E418" s="14"/>
      <x:c r="F418" s="14"/>
      <x:c r="G418" s="14"/>
      <x:c r="H418" s="14"/>
      <x:c r="I418" s="14"/>
      <x:c r="J418" s="14"/>
      <x:c r="K418" s="14" t="str">
        <x:v>NEEDS_WINDOW_BINDING</x:v>
      </x:c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  <x:c r="AB418" s="14"/>
      <x:c r="AC418" s="14"/>
      <x:c r="AD418" s="14"/>
      <x:c r="AE418" s="14"/>
      <x:c r="AF418" s="14"/>
      <x:c r="AG418" s="14"/>
      <x:c r="AH418" s="14"/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/>
      <x:c r="BC418" s="14"/>
      <x:c r="BD418" s="14"/>
      <x:c r="BE418" s="14"/>
      <x:c r="BF418" s="14"/>
      <x:c r="BG418" s="14"/>
      <x:c r="BH418" s="14"/>
      <x:c r="BI418" s="14"/>
      <x:c r="BJ418" s="14"/>
      <x:c r="BK418" s="14"/>
      <x:c r="BL418" s="14"/>
      <x:c r="BM418" s="14"/>
      <x:c r="BN418" s="14"/>
      <x:c r="BO418" s="14"/>
      <x:c r="BP418" s="14"/>
      <x:c r="BQ418" s="14"/>
      <x:c r="BR418" s="14"/>
      <x:c r="BS418" s="14"/>
      <x:c r="BT418" s="14"/>
      <x:c r="BU418" s="14"/>
      <x:c r="BV418" s="14"/>
      <x:c r="BW418" s="14"/>
      <x:c r="BX418" s="14"/>
      <x:c r="BY418" s="14"/>
      <x:c r="BZ418" s="14"/>
      <x:c r="CA418" s="14"/>
      <x:c r="CB418" s="14"/>
      <x:c r="CC418" s="14"/>
      <x:c r="CD418" s="14"/>
      <x:c r="CE418" s="14"/>
    </x:row>
    <x:row r="419">
      <x:c r="A419" s="14" t="n">
        <x:v>418</x:v>
      </x:c>
      <x:c r="B419" s="14"/>
      <x:c r="C419" s="14" t="str">
        <x:v>CHECKING_EVENT</x:v>
      </x:c>
      <x:c r="D419" s="14" t="str">
        <x:v>Exploratory_Checking_611_Positional_Surrogate.xlsx</x:v>
      </x:c>
      <x:c r="E419" s="14"/>
      <x:c r="F419" s="14"/>
      <x:c r="G419" s="14"/>
      <x:c r="H419" s="14"/>
      <x:c r="I419" s="14"/>
      <x:c r="J419" s="14"/>
      <x:c r="K419" s="14" t="str">
        <x:v>NEEDS_WINDOW_BINDING</x:v>
      </x:c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  <x:c r="AB419" s="14"/>
      <x:c r="AC419" s="14"/>
      <x:c r="AD419" s="14"/>
      <x:c r="AE419" s="14"/>
      <x:c r="AF419" s="14"/>
      <x:c r="AG419" s="14"/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/>
      <x:c r="BC419" s="14"/>
      <x:c r="BD419" s="14"/>
      <x:c r="BE419" s="14"/>
      <x:c r="BF419" s="14"/>
      <x:c r="BG419" s="14"/>
      <x:c r="BH419" s="14"/>
      <x:c r="BI419" s="14"/>
      <x:c r="BJ419" s="14"/>
      <x:c r="BK419" s="14"/>
      <x:c r="BL419" s="14"/>
      <x:c r="BM419" s="14"/>
      <x:c r="BN419" s="14"/>
      <x:c r="BO419" s="14"/>
      <x:c r="BP419" s="14"/>
      <x:c r="BQ419" s="14"/>
      <x:c r="BR419" s="14"/>
      <x:c r="BS419" s="14"/>
      <x:c r="BT419" s="14"/>
      <x:c r="BU419" s="14"/>
      <x:c r="BV419" s="14"/>
      <x:c r="BW419" s="14"/>
      <x:c r="BX419" s="14"/>
      <x:c r="BY419" s="14"/>
      <x:c r="BZ419" s="14"/>
      <x:c r="CA419" s="14"/>
      <x:c r="CB419" s="14"/>
      <x:c r="CC419" s="14"/>
      <x:c r="CD419" s="14"/>
      <x:c r="CE419" s="14"/>
    </x:row>
    <x:row r="420">
      <x:c r="A420" s="14" t="n">
        <x:v>419</x:v>
      </x:c>
      <x:c r="B420" s="14"/>
      <x:c r="C420" s="14" t="str">
        <x:v>CHECKING_EVENT</x:v>
      </x:c>
      <x:c r="D420" s="14" t="str">
        <x:v>Exploratory_Checking_611_Positional_Surrogate.xlsx</x:v>
      </x:c>
      <x:c r="E420" s="14"/>
      <x:c r="F420" s="14"/>
      <x:c r="G420" s="14"/>
      <x:c r="H420" s="14"/>
      <x:c r="I420" s="14"/>
      <x:c r="J420" s="14"/>
      <x:c r="K420" s="14" t="str">
        <x:v>NEEDS_WINDOW_BINDING</x:v>
      </x:c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4"/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/>
      <x:c r="BC420" s="14"/>
      <x:c r="BD420" s="14"/>
      <x:c r="BE420" s="14"/>
      <x:c r="BF420" s="14"/>
      <x:c r="BG420" s="14"/>
      <x:c r="BH420" s="14"/>
      <x:c r="BI420" s="14"/>
      <x:c r="BJ420" s="14"/>
      <x:c r="BK420" s="14"/>
      <x:c r="BL420" s="14"/>
      <x:c r="BM420" s="14"/>
      <x:c r="BN420" s="14"/>
      <x:c r="BO420" s="14"/>
      <x:c r="BP420" s="14"/>
      <x:c r="BQ420" s="14"/>
      <x:c r="BR420" s="14"/>
      <x:c r="BS420" s="14"/>
      <x:c r="BT420" s="14"/>
      <x:c r="BU420" s="14"/>
      <x:c r="BV420" s="14"/>
      <x:c r="BW420" s="14"/>
      <x:c r="BX420" s="14"/>
      <x:c r="BY420" s="14"/>
      <x:c r="BZ420" s="14"/>
      <x:c r="CA420" s="14"/>
      <x:c r="CB420" s="14"/>
      <x:c r="CC420" s="14"/>
      <x:c r="CD420" s="14"/>
      <x:c r="CE420" s="14"/>
    </x:row>
    <x:row r="421">
      <x:c r="A421" s="14" t="n">
        <x:v>420</x:v>
      </x:c>
      <x:c r="B421" s="14"/>
      <x:c r="C421" s="14" t="str">
        <x:v>CHECKING_EVENT</x:v>
      </x:c>
      <x:c r="D421" s="14" t="str">
        <x:v>Exploratory_Checking_611_Positional_Surrogate.xlsx</x:v>
      </x:c>
      <x:c r="E421" s="14"/>
      <x:c r="F421" s="14"/>
      <x:c r="G421" s="14"/>
      <x:c r="H421" s="14"/>
      <x:c r="I421" s="14"/>
      <x:c r="J421" s="14"/>
      <x:c r="K421" s="14" t="str">
        <x:v>NEEDS_WINDOW_BINDING</x:v>
      </x:c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  <x:c r="AA421" s="14"/>
      <x:c r="AB421" s="14"/>
      <x:c r="AC421" s="14"/>
      <x:c r="AD421" s="14"/>
      <x:c r="AE421" s="14"/>
      <x:c r="AF421" s="14"/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/>
      <x:c r="BC421" s="14"/>
      <x:c r="BD421" s="14"/>
      <x:c r="BE421" s="14"/>
      <x:c r="BF421" s="14"/>
      <x:c r="BG421" s="14"/>
      <x:c r="BH421" s="14"/>
      <x:c r="BI421" s="14"/>
      <x:c r="BJ421" s="14"/>
      <x:c r="BK421" s="14"/>
      <x:c r="BL421" s="14"/>
      <x:c r="BM421" s="14"/>
      <x:c r="BN421" s="14"/>
      <x:c r="BO421" s="14"/>
      <x:c r="BP421" s="14"/>
      <x:c r="BQ421" s="14"/>
      <x:c r="BR421" s="14"/>
      <x:c r="BS421" s="14"/>
      <x:c r="BT421" s="14"/>
      <x:c r="BU421" s="14"/>
      <x:c r="BV421" s="14"/>
      <x:c r="BW421" s="14"/>
      <x:c r="BX421" s="14"/>
      <x:c r="BY421" s="14"/>
      <x:c r="BZ421" s="14"/>
      <x:c r="CA421" s="14"/>
      <x:c r="CB421" s="14"/>
      <x:c r="CC421" s="14"/>
      <x:c r="CD421" s="14"/>
      <x:c r="CE421" s="14"/>
    </x:row>
    <x:row r="422">
      <x:c r="A422" s="14" t="n">
        <x:v>421</x:v>
      </x:c>
      <x:c r="B422" s="14"/>
      <x:c r="C422" s="14" t="str">
        <x:v>CHECKING_EVENT</x:v>
      </x:c>
      <x:c r="D422" s="14" t="str">
        <x:v>Exploratory_Checking_611_Positional_Surrogate.xlsx</x:v>
      </x:c>
      <x:c r="E422" s="14"/>
      <x:c r="F422" s="14"/>
      <x:c r="G422" s="14"/>
      <x:c r="H422" s="14"/>
      <x:c r="I422" s="14"/>
      <x:c r="J422" s="14"/>
      <x:c r="K422" s="14" t="str">
        <x:v>NEEDS_WINDOW_BINDING</x:v>
      </x:c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4"/>
      <x:c r="AB422" s="14"/>
      <x:c r="AC422" s="14"/>
      <x:c r="AD422" s="14"/>
      <x:c r="AE422" s="14"/>
      <x:c r="AF422" s="14"/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/>
      <x:c r="AX422" s="14"/>
      <x:c r="AY422" s="14"/>
      <x:c r="AZ422" s="14"/>
      <x:c r="BA422" s="14"/>
      <x:c r="BB422" s="14"/>
      <x:c r="BC422" s="14"/>
      <x:c r="BD422" s="14"/>
      <x:c r="BE422" s="14"/>
      <x:c r="BF422" s="14"/>
      <x:c r="BG422" s="14"/>
      <x:c r="BH422" s="14"/>
      <x:c r="BI422" s="14"/>
      <x:c r="BJ422" s="14"/>
      <x:c r="BK422" s="14"/>
      <x:c r="BL422" s="14"/>
      <x:c r="BM422" s="14"/>
      <x:c r="BN422" s="14"/>
      <x:c r="BO422" s="14"/>
      <x:c r="BP422" s="14"/>
      <x:c r="BQ422" s="14"/>
      <x:c r="BR422" s="14"/>
      <x:c r="BS422" s="14"/>
      <x:c r="BT422" s="14"/>
      <x:c r="BU422" s="14"/>
      <x:c r="BV422" s="14"/>
      <x:c r="BW422" s="14"/>
      <x:c r="BX422" s="14"/>
      <x:c r="BY422" s="14"/>
      <x:c r="BZ422" s="14"/>
      <x:c r="CA422" s="14"/>
      <x:c r="CB422" s="14"/>
      <x:c r="CC422" s="14"/>
      <x:c r="CD422" s="14"/>
      <x:c r="CE422" s="14"/>
    </x:row>
    <x:row r="423">
      <x:c r="A423" s="14" t="n">
        <x:v>422</x:v>
      </x:c>
      <x:c r="B423" s="14"/>
      <x:c r="C423" s="14" t="str">
        <x:v>CHECKING_EVENT</x:v>
      </x:c>
      <x:c r="D423" s="14" t="str">
        <x:v>Exploratory_Checking_611_Positional_Surrogate.xlsx</x:v>
      </x:c>
      <x:c r="E423" s="14"/>
      <x:c r="F423" s="14"/>
      <x:c r="G423" s="14"/>
      <x:c r="H423" s="14"/>
      <x:c r="I423" s="14"/>
      <x:c r="J423" s="14"/>
      <x:c r="K423" s="14" t="str">
        <x:v>NEEDS_WINDOW_BINDING</x:v>
      </x:c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  <x:c r="AB423" s="14"/>
      <x:c r="AC423" s="14"/>
      <x:c r="AD423" s="14"/>
      <x:c r="AE423" s="14"/>
      <x:c r="AF423" s="14"/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/>
      <x:c r="BC423" s="14"/>
      <x:c r="BD423" s="14"/>
      <x:c r="BE423" s="14"/>
      <x:c r="BF423" s="14"/>
      <x:c r="BG423" s="14"/>
      <x:c r="BH423" s="14"/>
      <x:c r="BI423" s="14"/>
      <x:c r="BJ423" s="14"/>
      <x:c r="BK423" s="14"/>
      <x:c r="BL423" s="14"/>
      <x:c r="BM423" s="14"/>
      <x:c r="BN423" s="14"/>
      <x:c r="BO423" s="14"/>
      <x:c r="BP423" s="14"/>
      <x:c r="BQ423" s="14"/>
      <x:c r="BR423" s="14"/>
      <x:c r="BS423" s="14"/>
      <x:c r="BT423" s="14"/>
      <x:c r="BU423" s="14"/>
      <x:c r="BV423" s="14"/>
      <x:c r="BW423" s="14"/>
      <x:c r="BX423" s="14"/>
      <x:c r="BY423" s="14"/>
      <x:c r="BZ423" s="14"/>
      <x:c r="CA423" s="14"/>
      <x:c r="CB423" s="14"/>
      <x:c r="CC423" s="14"/>
      <x:c r="CD423" s="14"/>
      <x:c r="CE423" s="14"/>
    </x:row>
    <x:row r="424">
      <x:c r="A424" s="14" t="n">
        <x:v>423</x:v>
      </x:c>
      <x:c r="B424" s="14"/>
      <x:c r="C424" s="14" t="str">
        <x:v>CHECKING_EVENT</x:v>
      </x:c>
      <x:c r="D424" s="14" t="str">
        <x:v>Exploratory_Checking_611_Positional_Surrogate.xlsx</x:v>
      </x:c>
      <x:c r="E424" s="14"/>
      <x:c r="F424" s="14"/>
      <x:c r="G424" s="14"/>
      <x:c r="H424" s="14"/>
      <x:c r="I424" s="14"/>
      <x:c r="J424" s="14"/>
      <x:c r="K424" s="14" t="str">
        <x:v>NEEDS_WINDOW_BINDING</x:v>
      </x:c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  <x:c r="AB424" s="14"/>
      <x:c r="AC424" s="14"/>
      <x:c r="AD424" s="14"/>
      <x:c r="AE424" s="14"/>
      <x:c r="AF424" s="14"/>
      <x:c r="AG424" s="14"/>
      <x:c r="AH424" s="14"/>
      <x:c r="AI424" s="14"/>
      <x:c r="AJ424" s="14"/>
      <x:c r="AK424" s="14"/>
      <x:c r="AL424" s="14"/>
      <x:c r="AM424" s="14"/>
      <x:c r="AN424" s="14"/>
      <x:c r="AO424" s="14"/>
      <x:c r="AP424" s="14"/>
      <x:c r="AQ424" s="14"/>
      <x:c r="AR424" s="14"/>
      <x:c r="AS424" s="14"/>
      <x:c r="AT424" s="14"/>
      <x:c r="AU424" s="14"/>
      <x:c r="AV424" s="14"/>
      <x:c r="AW424" s="14"/>
      <x:c r="AX424" s="14"/>
      <x:c r="AY424" s="14"/>
      <x:c r="AZ424" s="14"/>
      <x:c r="BA424" s="14"/>
      <x:c r="BB424" s="14"/>
      <x:c r="BC424" s="14"/>
      <x:c r="BD424" s="14"/>
      <x:c r="BE424" s="14"/>
      <x:c r="BF424" s="14"/>
      <x:c r="BG424" s="14"/>
      <x:c r="BH424" s="14"/>
      <x:c r="BI424" s="14"/>
      <x:c r="BJ424" s="14"/>
      <x:c r="BK424" s="14"/>
      <x:c r="BL424" s="14"/>
      <x:c r="BM424" s="14"/>
      <x:c r="BN424" s="14"/>
      <x:c r="BO424" s="14"/>
      <x:c r="BP424" s="14"/>
      <x:c r="BQ424" s="14"/>
      <x:c r="BR424" s="14"/>
      <x:c r="BS424" s="14"/>
      <x:c r="BT424" s="14"/>
      <x:c r="BU424" s="14"/>
      <x:c r="BV424" s="14"/>
      <x:c r="BW424" s="14"/>
      <x:c r="BX424" s="14"/>
      <x:c r="BY424" s="14"/>
      <x:c r="BZ424" s="14"/>
      <x:c r="CA424" s="14"/>
      <x:c r="CB424" s="14"/>
      <x:c r="CC424" s="14"/>
      <x:c r="CD424" s="14"/>
      <x:c r="CE424" s="14"/>
    </x:row>
    <x:row r="425">
      <x:c r="A425" s="14" t="n">
        <x:v>424</x:v>
      </x:c>
      <x:c r="B425" s="14"/>
      <x:c r="C425" s="14" t="str">
        <x:v>CHECKING_EVENT</x:v>
      </x:c>
      <x:c r="D425" s="14" t="str">
        <x:v>Exploratory_Checking_611_Positional_Surrogate.xlsx</x:v>
      </x:c>
      <x:c r="E425" s="14"/>
      <x:c r="F425" s="14"/>
      <x:c r="G425" s="14"/>
      <x:c r="H425" s="14"/>
      <x:c r="I425" s="14"/>
      <x:c r="J425" s="14"/>
      <x:c r="K425" s="14" t="str">
        <x:v>NEEDS_WINDOW_BINDING</x:v>
      </x:c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  <x:c r="AA425" s="14"/>
      <x:c r="AB425" s="14"/>
      <x:c r="AC425" s="14"/>
      <x:c r="AD425" s="14"/>
      <x:c r="AE425" s="14"/>
      <x:c r="AF425" s="14"/>
      <x:c r="AG425" s="14"/>
      <x:c r="AH425" s="14"/>
      <x:c r="AI425" s="14"/>
      <x:c r="AJ425" s="14"/>
      <x:c r="AK425" s="14"/>
      <x:c r="AL425" s="14"/>
      <x:c r="AM425" s="14"/>
      <x:c r="AN425" s="14"/>
      <x:c r="AO425" s="14"/>
      <x:c r="AP425" s="14"/>
      <x:c r="AQ425" s="14"/>
      <x:c r="AR425" s="14"/>
      <x:c r="AS425" s="14"/>
      <x:c r="AT425" s="14"/>
      <x:c r="AU425" s="14"/>
      <x:c r="AV425" s="14"/>
      <x:c r="AW425" s="14"/>
      <x:c r="AX425" s="14"/>
      <x:c r="AY425" s="14"/>
      <x:c r="AZ425" s="14"/>
      <x:c r="BA425" s="14"/>
      <x:c r="BB425" s="14"/>
      <x:c r="BC425" s="14"/>
      <x:c r="BD425" s="14"/>
      <x:c r="BE425" s="14"/>
      <x:c r="BF425" s="14"/>
      <x:c r="BG425" s="14"/>
      <x:c r="BH425" s="14"/>
      <x:c r="BI425" s="14"/>
      <x:c r="BJ425" s="14"/>
      <x:c r="BK425" s="14"/>
      <x:c r="BL425" s="14"/>
      <x:c r="BM425" s="14"/>
      <x:c r="BN425" s="14"/>
      <x:c r="BO425" s="14"/>
      <x:c r="BP425" s="14"/>
      <x:c r="BQ425" s="14"/>
      <x:c r="BR425" s="14"/>
      <x:c r="BS425" s="14"/>
      <x:c r="BT425" s="14"/>
      <x:c r="BU425" s="14"/>
      <x:c r="BV425" s="14"/>
      <x:c r="BW425" s="14"/>
      <x:c r="BX425" s="14"/>
      <x:c r="BY425" s="14"/>
      <x:c r="BZ425" s="14"/>
      <x:c r="CA425" s="14"/>
      <x:c r="CB425" s="14"/>
      <x:c r="CC425" s="14"/>
      <x:c r="CD425" s="14"/>
      <x:c r="CE425" s="14"/>
    </x:row>
    <x:row r="426">
      <x:c r="A426" s="14" t="n">
        <x:v>425</x:v>
      </x:c>
      <x:c r="B426" s="14"/>
      <x:c r="C426" s="14" t="str">
        <x:v>CHECKING_EVENT</x:v>
      </x:c>
      <x:c r="D426" s="14" t="str">
        <x:v>Exploratory_Checking_611_Positional_Surrogate.xlsx</x:v>
      </x:c>
      <x:c r="E426" s="14"/>
      <x:c r="F426" s="14"/>
      <x:c r="G426" s="14"/>
      <x:c r="H426" s="14"/>
      <x:c r="I426" s="14"/>
      <x:c r="J426" s="14"/>
      <x:c r="K426" s="14" t="str">
        <x:v>NEEDS_WINDOW_BINDING</x:v>
      </x:c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  <x:c r="AA426" s="14"/>
      <x:c r="AB426" s="14"/>
      <x:c r="AC426" s="14"/>
      <x:c r="AD426" s="14"/>
      <x:c r="AE426" s="14"/>
      <x:c r="AF426" s="14"/>
      <x:c r="AG426" s="14"/>
      <x:c r="AH426" s="14"/>
      <x:c r="AI426" s="14"/>
      <x:c r="AJ426" s="14"/>
      <x:c r="AK426" s="14"/>
      <x:c r="AL426" s="14"/>
      <x:c r="AM426" s="14"/>
      <x:c r="AN426" s="14"/>
      <x:c r="AO426" s="14"/>
      <x:c r="AP426" s="14"/>
      <x:c r="AQ426" s="14"/>
      <x:c r="AR426" s="14"/>
      <x:c r="AS426" s="14"/>
      <x:c r="AT426" s="14"/>
      <x:c r="AU426" s="14"/>
      <x:c r="AV426" s="14"/>
      <x:c r="AW426" s="14"/>
      <x:c r="AX426" s="14"/>
      <x:c r="AY426" s="14"/>
      <x:c r="AZ426" s="14"/>
      <x:c r="BA426" s="14"/>
      <x:c r="BB426" s="14"/>
      <x:c r="BC426" s="14"/>
      <x:c r="BD426" s="14"/>
      <x:c r="BE426" s="14"/>
      <x:c r="BF426" s="14"/>
      <x:c r="BG426" s="14"/>
      <x:c r="BH426" s="14"/>
      <x:c r="BI426" s="14"/>
      <x:c r="BJ426" s="14"/>
      <x:c r="BK426" s="14"/>
      <x:c r="BL426" s="14"/>
      <x:c r="BM426" s="14"/>
      <x:c r="BN426" s="14"/>
      <x:c r="BO426" s="14"/>
      <x:c r="BP426" s="14"/>
      <x:c r="BQ426" s="14"/>
      <x:c r="BR426" s="14"/>
      <x:c r="BS426" s="14"/>
      <x:c r="BT426" s="14"/>
      <x:c r="BU426" s="14"/>
      <x:c r="BV426" s="14"/>
      <x:c r="BW426" s="14"/>
      <x:c r="BX426" s="14"/>
      <x:c r="BY426" s="14"/>
      <x:c r="BZ426" s="14"/>
      <x:c r="CA426" s="14"/>
      <x:c r="CB426" s="14"/>
      <x:c r="CC426" s="14"/>
      <x:c r="CD426" s="14"/>
      <x:c r="CE426" s="14"/>
    </x:row>
    <x:row r="427">
      <x:c r="A427" s="14" t="n">
        <x:v>426</x:v>
      </x:c>
      <x:c r="B427" s="14"/>
      <x:c r="C427" s="14" t="str">
        <x:v>CHECKING_EVENT</x:v>
      </x:c>
      <x:c r="D427" s="14" t="str">
        <x:v>Exploratory_Checking_611_Positional_Surrogate.xlsx</x:v>
      </x:c>
      <x:c r="E427" s="14"/>
      <x:c r="F427" s="14"/>
      <x:c r="G427" s="14"/>
      <x:c r="H427" s="14"/>
      <x:c r="I427" s="14"/>
      <x:c r="J427" s="14"/>
      <x:c r="K427" s="14" t="str">
        <x:v>NEEDS_WINDOW_BINDING</x:v>
      </x:c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  <x:c r="AA427" s="14"/>
      <x:c r="AB427" s="14"/>
      <x:c r="AC427" s="14"/>
      <x:c r="AD427" s="14"/>
      <x:c r="AE427" s="14"/>
      <x:c r="AF427" s="14"/>
      <x:c r="AG427" s="14"/>
      <x:c r="AH427" s="14"/>
      <x:c r="AI427" s="14"/>
      <x:c r="AJ427" s="14"/>
      <x:c r="AK427" s="14"/>
      <x:c r="AL427" s="14"/>
      <x:c r="AM427" s="14"/>
      <x:c r="AN427" s="14"/>
      <x:c r="AO427" s="14"/>
      <x:c r="AP427" s="14"/>
      <x:c r="AQ427" s="14"/>
      <x:c r="AR427" s="14"/>
      <x:c r="AS427" s="14"/>
      <x:c r="AT427" s="14"/>
      <x:c r="AU427" s="14"/>
      <x:c r="AV427" s="14"/>
      <x:c r="AW427" s="14"/>
      <x:c r="AX427" s="14"/>
      <x:c r="AY427" s="14"/>
      <x:c r="AZ427" s="14"/>
      <x:c r="BA427" s="14"/>
      <x:c r="BB427" s="14"/>
      <x:c r="BC427" s="14"/>
      <x:c r="BD427" s="14"/>
      <x:c r="BE427" s="14"/>
      <x:c r="BF427" s="14"/>
      <x:c r="BG427" s="14"/>
      <x:c r="BH427" s="14"/>
      <x:c r="BI427" s="14"/>
      <x:c r="BJ427" s="14"/>
      <x:c r="BK427" s="14"/>
      <x:c r="BL427" s="14"/>
      <x:c r="BM427" s="14"/>
      <x:c r="BN427" s="14"/>
      <x:c r="BO427" s="14"/>
      <x:c r="BP427" s="14"/>
      <x:c r="BQ427" s="14"/>
      <x:c r="BR427" s="14"/>
      <x:c r="BS427" s="14"/>
      <x:c r="BT427" s="14"/>
      <x:c r="BU427" s="14"/>
      <x:c r="BV427" s="14"/>
      <x:c r="BW427" s="14"/>
      <x:c r="BX427" s="14"/>
      <x:c r="BY427" s="14"/>
      <x:c r="BZ427" s="14"/>
      <x:c r="CA427" s="14"/>
      <x:c r="CB427" s="14"/>
      <x:c r="CC427" s="14"/>
      <x:c r="CD427" s="14"/>
      <x:c r="CE427" s="14"/>
    </x:row>
    <x:row r="428">
      <x:c r="A428" s="14" t="n">
        <x:v>427</x:v>
      </x:c>
      <x:c r="B428" s="14"/>
      <x:c r="C428" s="14" t="str">
        <x:v>CHECKING_EVENT</x:v>
      </x:c>
      <x:c r="D428" s="14" t="str">
        <x:v>Exploratory_Checking_611_Positional_Surrogate.xlsx</x:v>
      </x:c>
      <x:c r="E428" s="14"/>
      <x:c r="F428" s="14"/>
      <x:c r="G428" s="14"/>
      <x:c r="H428" s="14"/>
      <x:c r="I428" s="14"/>
      <x:c r="J428" s="14"/>
      <x:c r="K428" s="14" t="str">
        <x:v>NEEDS_WINDOW_BINDING</x:v>
      </x:c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4"/>
      <x:c r="AJ428" s="14"/>
      <x:c r="AK428" s="14"/>
      <x:c r="AL428" s="14"/>
      <x:c r="AM428" s="14"/>
      <x:c r="AN428" s="14"/>
      <x:c r="AO428" s="14"/>
      <x:c r="AP428" s="14"/>
      <x:c r="AQ428" s="14"/>
      <x:c r="AR428" s="14"/>
      <x:c r="AS428" s="14"/>
      <x:c r="AT428" s="14"/>
      <x:c r="AU428" s="14"/>
      <x:c r="AV428" s="14"/>
      <x:c r="AW428" s="14"/>
      <x:c r="AX428" s="14"/>
      <x:c r="AY428" s="14"/>
      <x:c r="AZ428" s="14"/>
      <x:c r="BA428" s="14"/>
      <x:c r="BB428" s="14"/>
      <x:c r="BC428" s="14"/>
      <x:c r="BD428" s="14"/>
      <x:c r="BE428" s="14"/>
      <x:c r="BF428" s="14"/>
      <x:c r="BG428" s="14"/>
      <x:c r="BH428" s="14"/>
      <x:c r="BI428" s="14"/>
      <x:c r="BJ428" s="14"/>
      <x:c r="BK428" s="14"/>
      <x:c r="BL428" s="14"/>
      <x:c r="BM428" s="14"/>
      <x:c r="BN428" s="14"/>
      <x:c r="BO428" s="14"/>
      <x:c r="BP428" s="14"/>
      <x:c r="BQ428" s="14"/>
      <x:c r="BR428" s="14"/>
      <x:c r="BS428" s="14"/>
      <x:c r="BT428" s="14"/>
      <x:c r="BU428" s="14"/>
      <x:c r="BV428" s="14"/>
      <x:c r="BW428" s="14"/>
      <x:c r="BX428" s="14"/>
      <x:c r="BY428" s="14"/>
      <x:c r="BZ428" s="14"/>
      <x:c r="CA428" s="14"/>
      <x:c r="CB428" s="14"/>
      <x:c r="CC428" s="14"/>
      <x:c r="CD428" s="14"/>
      <x:c r="CE428" s="14"/>
    </x:row>
    <x:row r="429">
      <x:c r="A429" s="14" t="n">
        <x:v>428</x:v>
      </x:c>
      <x:c r="B429" s="14"/>
      <x:c r="C429" s="14" t="str">
        <x:v>CHECKING_EVENT</x:v>
      </x:c>
      <x:c r="D429" s="14" t="str">
        <x:v>Exploratory_Checking_611_Positional_Surrogate.xlsx</x:v>
      </x:c>
      <x:c r="E429" s="14"/>
      <x:c r="F429" s="14"/>
      <x:c r="G429" s="14"/>
      <x:c r="H429" s="14"/>
      <x:c r="I429" s="14"/>
      <x:c r="J429" s="14"/>
      <x:c r="K429" s="14" t="str">
        <x:v>NEEDS_WINDOW_BINDING</x:v>
      </x:c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4"/>
      <x:c r="AJ429" s="14"/>
      <x:c r="AK429" s="14"/>
      <x:c r="AL429" s="14"/>
      <x:c r="AM429" s="14"/>
      <x:c r="AN429" s="14"/>
      <x:c r="AO429" s="14"/>
      <x:c r="AP429" s="14"/>
      <x:c r="AQ429" s="14"/>
      <x:c r="AR429" s="14"/>
      <x:c r="AS429" s="14"/>
      <x:c r="AT429" s="14"/>
      <x:c r="AU429" s="14"/>
      <x:c r="AV429" s="14"/>
      <x:c r="AW429" s="14"/>
      <x:c r="AX429" s="14"/>
      <x:c r="AY429" s="14"/>
      <x:c r="AZ429" s="14"/>
      <x:c r="BA429" s="14"/>
      <x:c r="BB429" s="14"/>
      <x:c r="BC429" s="14"/>
      <x:c r="BD429" s="14"/>
      <x:c r="BE429" s="14"/>
      <x:c r="BF429" s="14"/>
      <x:c r="BG429" s="14"/>
      <x:c r="BH429" s="14"/>
      <x:c r="BI429" s="14"/>
      <x:c r="BJ429" s="14"/>
      <x:c r="BK429" s="14"/>
      <x:c r="BL429" s="14"/>
      <x:c r="BM429" s="14"/>
      <x:c r="BN429" s="14"/>
      <x:c r="BO429" s="14"/>
      <x:c r="BP429" s="14"/>
      <x:c r="BQ429" s="14"/>
      <x:c r="BR429" s="14"/>
      <x:c r="BS429" s="14"/>
      <x:c r="BT429" s="14"/>
      <x:c r="BU429" s="14"/>
      <x:c r="BV429" s="14"/>
      <x:c r="BW429" s="14"/>
      <x:c r="BX429" s="14"/>
      <x:c r="BY429" s="14"/>
      <x:c r="BZ429" s="14"/>
      <x:c r="CA429" s="14"/>
      <x:c r="CB429" s="14"/>
      <x:c r="CC429" s="14"/>
      <x:c r="CD429" s="14"/>
      <x:c r="CE429" s="14"/>
    </x:row>
    <x:row r="430">
      <x:c r="A430" s="14" t="n">
        <x:v>429</x:v>
      </x:c>
      <x:c r="B430" s="14"/>
      <x:c r="C430" s="14" t="str">
        <x:v>CHECKING_EVENT</x:v>
      </x:c>
      <x:c r="D430" s="14" t="str">
        <x:v>Exploratory_Checking_611_Positional_Surrogate.xlsx</x:v>
      </x:c>
      <x:c r="E430" s="14"/>
      <x:c r="F430" s="14"/>
      <x:c r="G430" s="14"/>
      <x:c r="H430" s="14"/>
      <x:c r="I430" s="14"/>
      <x:c r="J430" s="14"/>
      <x:c r="K430" s="14" t="str">
        <x:v>NEEDS_WINDOW_BINDING</x:v>
      </x:c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4"/>
      <x:c r="AB430" s="14"/>
      <x:c r="AC430" s="14"/>
      <x:c r="AD430" s="14"/>
      <x:c r="AE430" s="14"/>
      <x:c r="AF430" s="14"/>
      <x:c r="AG430" s="14"/>
      <x:c r="AH430" s="14"/>
      <x:c r="AI430" s="14"/>
      <x:c r="AJ430" s="14"/>
      <x:c r="AK430" s="14"/>
      <x:c r="AL430" s="14"/>
      <x:c r="AM430" s="14"/>
      <x:c r="AN430" s="14"/>
      <x:c r="AO430" s="14"/>
      <x:c r="AP430" s="14"/>
      <x:c r="AQ430" s="14"/>
      <x:c r="AR430" s="14"/>
      <x:c r="AS430" s="14"/>
      <x:c r="AT430" s="14"/>
      <x:c r="AU430" s="14"/>
      <x:c r="AV430" s="14"/>
      <x:c r="AW430" s="14"/>
      <x:c r="AX430" s="14"/>
      <x:c r="AY430" s="14"/>
      <x:c r="AZ430" s="14"/>
      <x:c r="BA430" s="14"/>
      <x:c r="BB430" s="14"/>
      <x:c r="BC430" s="14"/>
      <x:c r="BD430" s="14"/>
      <x:c r="BE430" s="14"/>
      <x:c r="BF430" s="14"/>
      <x:c r="BG430" s="14"/>
      <x:c r="BH430" s="14"/>
      <x:c r="BI430" s="14"/>
      <x:c r="BJ430" s="14"/>
      <x:c r="BK430" s="14"/>
      <x:c r="BL430" s="14"/>
      <x:c r="BM430" s="14"/>
      <x:c r="BN430" s="14"/>
      <x:c r="BO430" s="14"/>
      <x:c r="BP430" s="14"/>
      <x:c r="BQ430" s="14"/>
      <x:c r="BR430" s="14"/>
      <x:c r="BS430" s="14"/>
      <x:c r="BT430" s="14"/>
      <x:c r="BU430" s="14"/>
      <x:c r="BV430" s="14"/>
      <x:c r="BW430" s="14"/>
      <x:c r="BX430" s="14"/>
      <x:c r="BY430" s="14"/>
      <x:c r="BZ430" s="14"/>
      <x:c r="CA430" s="14"/>
      <x:c r="CB430" s="14"/>
      <x:c r="CC430" s="14"/>
      <x:c r="CD430" s="14"/>
      <x:c r="CE430" s="14"/>
    </x:row>
    <x:row r="431">
      <x:c r="A431" s="14" t="n">
        <x:v>430</x:v>
      </x:c>
      <x:c r="B431" s="14"/>
      <x:c r="C431" s="14" t="str">
        <x:v>CHECKING_EVENT</x:v>
      </x:c>
      <x:c r="D431" s="14" t="str">
        <x:v>Exploratory_Checking_611_Positional_Surrogate.xlsx</x:v>
      </x:c>
      <x:c r="E431" s="14"/>
      <x:c r="F431" s="14"/>
      <x:c r="G431" s="14"/>
      <x:c r="H431" s="14"/>
      <x:c r="I431" s="14"/>
      <x:c r="J431" s="14"/>
      <x:c r="K431" s="14" t="str">
        <x:v>NEEDS_WINDOW_BINDING</x:v>
      </x:c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  <x:c r="AB431" s="14"/>
      <x:c r="AC431" s="14"/>
      <x:c r="AD431" s="14"/>
      <x:c r="AE431" s="14"/>
      <x:c r="AF431" s="14"/>
      <x:c r="AG431" s="14"/>
      <x:c r="AH431" s="14"/>
      <x:c r="AI431" s="14"/>
      <x:c r="AJ431" s="14"/>
      <x:c r="AK431" s="14"/>
      <x:c r="AL431" s="14"/>
      <x:c r="AM431" s="14"/>
      <x:c r="AN431" s="14"/>
      <x:c r="AO431" s="14"/>
      <x:c r="AP431" s="14"/>
      <x:c r="AQ431" s="14"/>
      <x:c r="AR431" s="14"/>
      <x:c r="AS431" s="14"/>
      <x:c r="AT431" s="14"/>
      <x:c r="AU431" s="14"/>
      <x:c r="AV431" s="14"/>
      <x:c r="AW431" s="14"/>
      <x:c r="AX431" s="14"/>
      <x:c r="AY431" s="14"/>
      <x:c r="AZ431" s="14"/>
      <x:c r="BA431" s="14"/>
      <x:c r="BB431" s="14"/>
      <x:c r="BC431" s="14"/>
      <x:c r="BD431" s="14"/>
      <x:c r="BE431" s="14"/>
      <x:c r="BF431" s="14"/>
      <x:c r="BG431" s="14"/>
      <x:c r="BH431" s="14"/>
      <x:c r="BI431" s="14"/>
      <x:c r="BJ431" s="14"/>
      <x:c r="BK431" s="14"/>
      <x:c r="BL431" s="14"/>
      <x:c r="BM431" s="14"/>
      <x:c r="BN431" s="14"/>
      <x:c r="BO431" s="14"/>
      <x:c r="BP431" s="14"/>
      <x:c r="BQ431" s="14"/>
      <x:c r="BR431" s="14"/>
      <x:c r="BS431" s="14"/>
      <x:c r="BT431" s="14"/>
      <x:c r="BU431" s="14"/>
      <x:c r="BV431" s="14"/>
      <x:c r="BW431" s="14"/>
      <x:c r="BX431" s="14"/>
      <x:c r="BY431" s="14"/>
      <x:c r="BZ431" s="14"/>
      <x:c r="CA431" s="14"/>
      <x:c r="CB431" s="14"/>
      <x:c r="CC431" s="14"/>
      <x:c r="CD431" s="14"/>
      <x:c r="CE431" s="14"/>
    </x:row>
    <x:row r="432">
      <x:c r="A432" s="14" t="n">
        <x:v>431</x:v>
      </x:c>
      <x:c r="B432" s="14"/>
      <x:c r="C432" s="14" t="str">
        <x:v>CHECKING_EVENT</x:v>
      </x:c>
      <x:c r="D432" s="14" t="str">
        <x:v>Exploratory_Checking_611_Positional_Surrogate.xlsx</x:v>
      </x:c>
      <x:c r="E432" s="14"/>
      <x:c r="F432" s="14"/>
      <x:c r="G432" s="14"/>
      <x:c r="H432" s="14"/>
      <x:c r="I432" s="14"/>
      <x:c r="J432" s="14"/>
      <x:c r="K432" s="14" t="str">
        <x:v>NEEDS_WINDOW_BINDING</x:v>
      </x:c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  <x:c r="AA432" s="14"/>
      <x:c r="AB432" s="14"/>
      <x:c r="AC432" s="14"/>
      <x:c r="AD432" s="14"/>
      <x:c r="AE432" s="14"/>
      <x:c r="AF432" s="14"/>
      <x:c r="AG432" s="14"/>
      <x:c r="AH432" s="14"/>
      <x:c r="AI432" s="14"/>
      <x:c r="AJ432" s="14"/>
      <x:c r="AK432" s="14"/>
      <x:c r="AL432" s="14"/>
      <x:c r="AM432" s="14"/>
      <x:c r="AN432" s="14"/>
      <x:c r="AO432" s="14"/>
      <x:c r="AP432" s="14"/>
      <x:c r="AQ432" s="14"/>
      <x:c r="AR432" s="14"/>
      <x:c r="AS432" s="14"/>
      <x:c r="AT432" s="14"/>
      <x:c r="AU432" s="14"/>
      <x:c r="AV432" s="14"/>
      <x:c r="AW432" s="14"/>
      <x:c r="AX432" s="14"/>
      <x:c r="AY432" s="14"/>
      <x:c r="AZ432" s="14"/>
      <x:c r="BA432" s="14"/>
      <x:c r="BB432" s="14"/>
      <x:c r="BC432" s="14"/>
      <x:c r="BD432" s="14"/>
      <x:c r="BE432" s="14"/>
      <x:c r="BF432" s="14"/>
      <x:c r="BG432" s="14"/>
      <x:c r="BH432" s="14"/>
      <x:c r="BI432" s="14"/>
      <x:c r="BJ432" s="14"/>
      <x:c r="BK432" s="14"/>
      <x:c r="BL432" s="14"/>
      <x:c r="BM432" s="14"/>
      <x:c r="BN432" s="14"/>
      <x:c r="BO432" s="14"/>
      <x:c r="BP432" s="14"/>
      <x:c r="BQ432" s="14"/>
      <x:c r="BR432" s="14"/>
      <x:c r="BS432" s="14"/>
      <x:c r="BT432" s="14"/>
      <x:c r="BU432" s="14"/>
      <x:c r="BV432" s="14"/>
      <x:c r="BW432" s="14"/>
      <x:c r="BX432" s="14"/>
      <x:c r="BY432" s="14"/>
      <x:c r="BZ432" s="14"/>
      <x:c r="CA432" s="14"/>
      <x:c r="CB432" s="14"/>
      <x:c r="CC432" s="14"/>
      <x:c r="CD432" s="14"/>
      <x:c r="CE432" s="14"/>
    </x:row>
    <x:row r="433">
      <x:c r="A433" s="14" t="n">
        <x:v>432</x:v>
      </x:c>
      <x:c r="B433" s="14"/>
      <x:c r="C433" s="14" t="str">
        <x:v>CHECKING_EVENT</x:v>
      </x:c>
      <x:c r="D433" s="14" t="str">
        <x:v>Exploratory_Checking_611_Positional_Surrogate.xlsx</x:v>
      </x:c>
      <x:c r="E433" s="14"/>
      <x:c r="F433" s="14"/>
      <x:c r="G433" s="14"/>
      <x:c r="H433" s="14"/>
      <x:c r="I433" s="14"/>
      <x:c r="J433" s="14"/>
      <x:c r="K433" s="14" t="str">
        <x:v>NEEDS_WINDOW_BINDING</x:v>
      </x:c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  <x:c r="AA433" s="14"/>
      <x:c r="AB433" s="14"/>
      <x:c r="AC433" s="14"/>
      <x:c r="AD433" s="14"/>
      <x:c r="AE433" s="14"/>
      <x:c r="AF433" s="14"/>
      <x:c r="AG433" s="14"/>
      <x:c r="AH433" s="14"/>
      <x:c r="AI433" s="14"/>
      <x:c r="AJ433" s="14"/>
      <x:c r="AK433" s="14"/>
      <x:c r="AL433" s="14"/>
      <x:c r="AM433" s="14"/>
      <x:c r="AN433" s="14"/>
      <x:c r="AO433" s="14"/>
      <x:c r="AP433" s="14"/>
      <x:c r="AQ433" s="14"/>
      <x:c r="AR433" s="14"/>
      <x:c r="AS433" s="14"/>
      <x:c r="AT433" s="14"/>
      <x:c r="AU433" s="14"/>
      <x:c r="AV433" s="14"/>
      <x:c r="AW433" s="14"/>
      <x:c r="AX433" s="14"/>
      <x:c r="AY433" s="14"/>
      <x:c r="AZ433" s="14"/>
      <x:c r="BA433" s="14"/>
      <x:c r="BB433" s="14"/>
      <x:c r="BC433" s="14"/>
      <x:c r="BD433" s="14"/>
      <x:c r="BE433" s="14"/>
      <x:c r="BF433" s="14"/>
      <x:c r="BG433" s="14"/>
      <x:c r="BH433" s="14"/>
      <x:c r="BI433" s="14"/>
      <x:c r="BJ433" s="14"/>
      <x:c r="BK433" s="14"/>
      <x:c r="BL433" s="14"/>
      <x:c r="BM433" s="14"/>
      <x:c r="BN433" s="14"/>
      <x:c r="BO433" s="14"/>
      <x:c r="BP433" s="14"/>
      <x:c r="BQ433" s="14"/>
      <x:c r="BR433" s="14"/>
      <x:c r="BS433" s="14"/>
      <x:c r="BT433" s="14"/>
      <x:c r="BU433" s="14"/>
      <x:c r="BV433" s="14"/>
      <x:c r="BW433" s="14"/>
      <x:c r="BX433" s="14"/>
      <x:c r="BY433" s="14"/>
      <x:c r="BZ433" s="14"/>
      <x:c r="CA433" s="14"/>
      <x:c r="CB433" s="14"/>
      <x:c r="CC433" s="14"/>
      <x:c r="CD433" s="14"/>
      <x:c r="CE433" s="14"/>
    </x:row>
    <x:row r="434">
      <x:c r="A434" s="14" t="n">
        <x:v>433</x:v>
      </x:c>
      <x:c r="B434" s="14"/>
      <x:c r="C434" s="14" t="str">
        <x:v>CHECKING_EVENT</x:v>
      </x:c>
      <x:c r="D434" s="14" t="str">
        <x:v>Exploratory_Checking_611_Positional_Surrogate.xlsx</x:v>
      </x:c>
      <x:c r="E434" s="14"/>
      <x:c r="F434" s="14"/>
      <x:c r="G434" s="14"/>
      <x:c r="H434" s="14"/>
      <x:c r="I434" s="14"/>
      <x:c r="J434" s="14"/>
      <x:c r="K434" s="14" t="str">
        <x:v>NEEDS_WINDOW_BINDING</x:v>
      </x:c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  <x:c r="AA434" s="14"/>
      <x:c r="AB434" s="14"/>
      <x:c r="AC434" s="14"/>
      <x:c r="AD434" s="14"/>
      <x:c r="AE434" s="14"/>
      <x:c r="AF434" s="14"/>
      <x:c r="AG434" s="14"/>
      <x:c r="AH434" s="14"/>
      <x:c r="AI434" s="14"/>
      <x:c r="AJ434" s="14"/>
      <x:c r="AK434" s="14"/>
      <x:c r="AL434" s="14"/>
      <x:c r="AM434" s="14"/>
      <x:c r="AN434" s="14"/>
      <x:c r="AO434" s="14"/>
      <x:c r="AP434" s="14"/>
      <x:c r="AQ434" s="14"/>
      <x:c r="AR434" s="14"/>
      <x:c r="AS434" s="14"/>
      <x:c r="AT434" s="14"/>
      <x:c r="AU434" s="14"/>
      <x:c r="AV434" s="14"/>
      <x:c r="AW434" s="14"/>
      <x:c r="AX434" s="14"/>
      <x:c r="AY434" s="14"/>
      <x:c r="AZ434" s="14"/>
      <x:c r="BA434" s="14"/>
      <x:c r="BB434" s="14"/>
      <x:c r="BC434" s="14"/>
      <x:c r="BD434" s="14"/>
      <x:c r="BE434" s="14"/>
      <x:c r="BF434" s="14"/>
      <x:c r="BG434" s="14"/>
      <x:c r="BH434" s="14"/>
      <x:c r="BI434" s="14"/>
      <x:c r="BJ434" s="14"/>
      <x:c r="BK434" s="14"/>
      <x:c r="BL434" s="14"/>
      <x:c r="BM434" s="14"/>
      <x:c r="BN434" s="14"/>
      <x:c r="BO434" s="14"/>
      <x:c r="BP434" s="14"/>
      <x:c r="BQ434" s="14"/>
      <x:c r="BR434" s="14"/>
      <x:c r="BS434" s="14"/>
      <x:c r="BT434" s="14"/>
      <x:c r="BU434" s="14"/>
      <x:c r="BV434" s="14"/>
      <x:c r="BW434" s="14"/>
      <x:c r="BX434" s="14"/>
      <x:c r="BY434" s="14"/>
      <x:c r="BZ434" s="14"/>
      <x:c r="CA434" s="14"/>
      <x:c r="CB434" s="14"/>
      <x:c r="CC434" s="14"/>
      <x:c r="CD434" s="14"/>
      <x:c r="CE434" s="14"/>
    </x:row>
    <x:row r="435">
      <x:c r="A435" s="14" t="n">
        <x:v>434</x:v>
      </x:c>
      <x:c r="B435" s="14"/>
      <x:c r="C435" s="14" t="str">
        <x:v>CHECKING_EVENT</x:v>
      </x:c>
      <x:c r="D435" s="14" t="str">
        <x:v>Exploratory_Checking_611_Positional_Surrogate.xlsx</x:v>
      </x:c>
      <x:c r="E435" s="14"/>
      <x:c r="F435" s="14"/>
      <x:c r="G435" s="14"/>
      <x:c r="H435" s="14"/>
      <x:c r="I435" s="14"/>
      <x:c r="J435" s="14"/>
      <x:c r="K435" s="14" t="str">
        <x:v>NEEDS_WINDOW_BINDING</x:v>
      </x:c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  <x:c r="AB435" s="14"/>
      <x:c r="AC435" s="14"/>
      <x:c r="AD435" s="14"/>
      <x:c r="AE435" s="14"/>
      <x:c r="AF435" s="14"/>
      <x:c r="AG435" s="14"/>
      <x:c r="AH435" s="14"/>
      <x:c r="AI435" s="14"/>
      <x:c r="AJ435" s="14"/>
      <x:c r="AK435" s="14"/>
      <x:c r="AL435" s="14"/>
      <x:c r="AM435" s="14"/>
      <x:c r="AN435" s="14"/>
      <x:c r="AO435" s="14"/>
      <x:c r="AP435" s="14"/>
      <x:c r="AQ435" s="14"/>
      <x:c r="AR435" s="14"/>
      <x:c r="AS435" s="14"/>
      <x:c r="AT435" s="14"/>
      <x:c r="AU435" s="14"/>
      <x:c r="AV435" s="14"/>
      <x:c r="AW435" s="14"/>
      <x:c r="AX435" s="14"/>
      <x:c r="AY435" s="14"/>
      <x:c r="AZ435" s="14"/>
      <x:c r="BA435" s="14"/>
      <x:c r="BB435" s="14"/>
      <x:c r="BC435" s="14"/>
      <x:c r="BD435" s="14"/>
      <x:c r="BE435" s="14"/>
      <x:c r="BF435" s="14"/>
      <x:c r="BG435" s="14"/>
      <x:c r="BH435" s="14"/>
      <x:c r="BI435" s="14"/>
      <x:c r="BJ435" s="14"/>
      <x:c r="BK435" s="14"/>
      <x:c r="BL435" s="14"/>
      <x:c r="BM435" s="14"/>
      <x:c r="BN435" s="14"/>
      <x:c r="BO435" s="14"/>
      <x:c r="BP435" s="14"/>
      <x:c r="BQ435" s="14"/>
      <x:c r="BR435" s="14"/>
      <x:c r="BS435" s="14"/>
      <x:c r="BT435" s="14"/>
      <x:c r="BU435" s="14"/>
      <x:c r="BV435" s="14"/>
      <x:c r="BW435" s="14"/>
      <x:c r="BX435" s="14"/>
      <x:c r="BY435" s="14"/>
      <x:c r="BZ435" s="14"/>
      <x:c r="CA435" s="14"/>
      <x:c r="CB435" s="14"/>
      <x:c r="CC435" s="14"/>
      <x:c r="CD435" s="14"/>
      <x:c r="CE435" s="14"/>
    </x:row>
    <x:row r="436">
      <x:c r="A436" s="14" t="n">
        <x:v>435</x:v>
      </x:c>
      <x:c r="B436" s="14"/>
      <x:c r="C436" s="14" t="str">
        <x:v>CHECKING_EVENT</x:v>
      </x:c>
      <x:c r="D436" s="14" t="str">
        <x:v>Exploratory_Checking_611_Positional_Surrogate.xlsx</x:v>
      </x:c>
      <x:c r="E436" s="14"/>
      <x:c r="F436" s="14"/>
      <x:c r="G436" s="14"/>
      <x:c r="H436" s="14"/>
      <x:c r="I436" s="14"/>
      <x:c r="J436" s="14"/>
      <x:c r="K436" s="14" t="str">
        <x:v>NEEDS_WINDOW_BINDING</x:v>
      </x:c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4"/>
      <x:c r="AB436" s="14"/>
      <x:c r="AC436" s="14"/>
      <x:c r="AD436" s="14"/>
      <x:c r="AE436" s="14"/>
      <x:c r="AF436" s="14"/>
      <x:c r="AG436" s="14"/>
      <x:c r="AH436" s="14"/>
      <x:c r="AI436" s="14"/>
      <x:c r="AJ436" s="14"/>
      <x:c r="AK436" s="14"/>
      <x:c r="AL436" s="14"/>
      <x:c r="AM436" s="14"/>
      <x:c r="AN436" s="14"/>
      <x:c r="AO436" s="14"/>
      <x:c r="AP436" s="14"/>
      <x:c r="AQ436" s="14"/>
      <x:c r="AR436" s="14"/>
      <x:c r="AS436" s="14"/>
      <x:c r="AT436" s="14"/>
      <x:c r="AU436" s="14"/>
      <x:c r="AV436" s="14"/>
      <x:c r="AW436" s="14"/>
      <x:c r="AX436" s="14"/>
      <x:c r="AY436" s="14"/>
      <x:c r="AZ436" s="14"/>
      <x:c r="BA436" s="14"/>
      <x:c r="BB436" s="14"/>
      <x:c r="BC436" s="14"/>
      <x:c r="BD436" s="14"/>
      <x:c r="BE436" s="14"/>
      <x:c r="BF436" s="14"/>
      <x:c r="BG436" s="14"/>
      <x:c r="BH436" s="14"/>
      <x:c r="BI436" s="14"/>
      <x:c r="BJ436" s="14"/>
      <x:c r="BK436" s="14"/>
      <x:c r="BL436" s="14"/>
      <x:c r="BM436" s="14"/>
      <x:c r="BN436" s="14"/>
      <x:c r="BO436" s="14"/>
      <x:c r="BP436" s="14"/>
      <x:c r="BQ436" s="14"/>
      <x:c r="BR436" s="14"/>
      <x:c r="BS436" s="14"/>
      <x:c r="BT436" s="14"/>
      <x:c r="BU436" s="14"/>
      <x:c r="BV436" s="14"/>
      <x:c r="BW436" s="14"/>
      <x:c r="BX436" s="14"/>
      <x:c r="BY436" s="14"/>
      <x:c r="BZ436" s="14"/>
      <x:c r="CA436" s="14"/>
      <x:c r="CB436" s="14"/>
      <x:c r="CC436" s="14"/>
      <x:c r="CD436" s="14"/>
      <x:c r="CE436" s="14"/>
    </x:row>
    <x:row r="437">
      <x:c r="A437" s="14" t="n">
        <x:v>436</x:v>
      </x:c>
      <x:c r="B437" s="14"/>
      <x:c r="C437" s="14" t="str">
        <x:v>CHECKING_EVENT</x:v>
      </x:c>
      <x:c r="D437" s="14" t="str">
        <x:v>Exploratory_Checking_611_Positional_Surrogate.xlsx</x:v>
      </x:c>
      <x:c r="E437" s="14"/>
      <x:c r="F437" s="14"/>
      <x:c r="G437" s="14"/>
      <x:c r="H437" s="14"/>
      <x:c r="I437" s="14"/>
      <x:c r="J437" s="14"/>
      <x:c r="K437" s="14" t="str">
        <x:v>NEEDS_WINDOW_BINDING</x:v>
      </x:c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  <x:c r="AA437" s="14"/>
      <x:c r="AB437" s="14"/>
      <x:c r="AC437" s="14"/>
      <x:c r="AD437" s="14"/>
      <x:c r="AE437" s="14"/>
      <x:c r="AF437" s="14"/>
      <x:c r="AG437" s="14"/>
      <x:c r="AH437" s="14"/>
      <x:c r="AI437" s="14"/>
      <x:c r="AJ437" s="14"/>
      <x:c r="AK437" s="14"/>
      <x:c r="AL437" s="14"/>
      <x:c r="AM437" s="14"/>
      <x:c r="AN437" s="14"/>
      <x:c r="AO437" s="14"/>
      <x:c r="AP437" s="14"/>
      <x:c r="AQ437" s="14"/>
      <x:c r="AR437" s="14"/>
      <x:c r="AS437" s="14"/>
      <x:c r="AT437" s="14"/>
      <x:c r="AU437" s="14"/>
      <x:c r="AV437" s="14"/>
      <x:c r="AW437" s="14"/>
      <x:c r="AX437" s="14"/>
      <x:c r="AY437" s="14"/>
      <x:c r="AZ437" s="14"/>
      <x:c r="BA437" s="14"/>
      <x:c r="BB437" s="14"/>
      <x:c r="BC437" s="14"/>
      <x:c r="BD437" s="14"/>
      <x:c r="BE437" s="14"/>
      <x:c r="BF437" s="14"/>
      <x:c r="BG437" s="14"/>
      <x:c r="BH437" s="14"/>
      <x:c r="BI437" s="14"/>
      <x:c r="BJ437" s="14"/>
      <x:c r="BK437" s="14"/>
      <x:c r="BL437" s="14"/>
      <x:c r="BM437" s="14"/>
      <x:c r="BN437" s="14"/>
      <x:c r="BO437" s="14"/>
      <x:c r="BP437" s="14"/>
      <x:c r="BQ437" s="14"/>
      <x:c r="BR437" s="14"/>
      <x:c r="BS437" s="14"/>
      <x:c r="BT437" s="14"/>
      <x:c r="BU437" s="14"/>
      <x:c r="BV437" s="14"/>
      <x:c r="BW437" s="14"/>
      <x:c r="BX437" s="14"/>
      <x:c r="BY437" s="14"/>
      <x:c r="BZ437" s="14"/>
      <x:c r="CA437" s="14"/>
      <x:c r="CB437" s="14"/>
      <x:c r="CC437" s="14"/>
      <x:c r="CD437" s="14"/>
      <x:c r="CE437" s="14"/>
    </x:row>
    <x:row r="438">
      <x:c r="A438" s="14" t="n">
        <x:v>437</x:v>
      </x:c>
      <x:c r="B438" s="14"/>
      <x:c r="C438" s="14" t="str">
        <x:v>CHECKING_EVENT</x:v>
      </x:c>
      <x:c r="D438" s="14" t="str">
        <x:v>Exploratory_Checking_611_Positional_Surrogate.xlsx</x:v>
      </x:c>
      <x:c r="E438" s="14"/>
      <x:c r="F438" s="14"/>
      <x:c r="G438" s="14"/>
      <x:c r="H438" s="14"/>
      <x:c r="I438" s="14"/>
      <x:c r="J438" s="14"/>
      <x:c r="K438" s="14" t="str">
        <x:v>NEEDS_WINDOW_BINDING</x:v>
      </x:c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4"/>
      <x:c r="AI438" s="14"/>
      <x:c r="AJ438" s="14"/>
      <x:c r="AK438" s="14"/>
      <x:c r="AL438" s="14"/>
      <x:c r="AM438" s="14"/>
      <x:c r="AN438" s="14"/>
      <x:c r="AO438" s="14"/>
      <x:c r="AP438" s="14"/>
      <x:c r="AQ438" s="14"/>
      <x:c r="AR438" s="14"/>
      <x:c r="AS438" s="14"/>
      <x:c r="AT438" s="14"/>
      <x:c r="AU438" s="14"/>
      <x:c r="AV438" s="14"/>
      <x:c r="AW438" s="14"/>
      <x:c r="AX438" s="14"/>
      <x:c r="AY438" s="14"/>
      <x:c r="AZ438" s="14"/>
      <x:c r="BA438" s="14"/>
      <x:c r="BB438" s="14"/>
      <x:c r="BC438" s="14"/>
      <x:c r="BD438" s="14"/>
      <x:c r="BE438" s="14"/>
      <x:c r="BF438" s="14"/>
      <x:c r="BG438" s="14"/>
      <x:c r="BH438" s="14"/>
      <x:c r="BI438" s="14"/>
      <x:c r="BJ438" s="14"/>
      <x:c r="BK438" s="14"/>
      <x:c r="BL438" s="14"/>
      <x:c r="BM438" s="14"/>
      <x:c r="BN438" s="14"/>
      <x:c r="BO438" s="14"/>
      <x:c r="BP438" s="14"/>
      <x:c r="BQ438" s="14"/>
      <x:c r="BR438" s="14"/>
      <x:c r="BS438" s="14"/>
      <x:c r="BT438" s="14"/>
      <x:c r="BU438" s="14"/>
      <x:c r="BV438" s="14"/>
      <x:c r="BW438" s="14"/>
      <x:c r="BX438" s="14"/>
      <x:c r="BY438" s="14"/>
      <x:c r="BZ438" s="14"/>
      <x:c r="CA438" s="14"/>
      <x:c r="CB438" s="14"/>
      <x:c r="CC438" s="14"/>
      <x:c r="CD438" s="14"/>
      <x:c r="CE438" s="14"/>
    </x:row>
    <x:row r="439">
      <x:c r="A439" s="14" t="n">
        <x:v>438</x:v>
      </x:c>
      <x:c r="B439" s="14"/>
      <x:c r="C439" s="14" t="str">
        <x:v>CHECKING_EVENT</x:v>
      </x:c>
      <x:c r="D439" s="14" t="str">
        <x:v>Exploratory_Checking_611_Positional_Surrogate.xlsx</x:v>
      </x:c>
      <x:c r="E439" s="14"/>
      <x:c r="F439" s="14"/>
      <x:c r="G439" s="14"/>
      <x:c r="H439" s="14"/>
      <x:c r="I439" s="14"/>
      <x:c r="J439" s="14"/>
      <x:c r="K439" s="14" t="str">
        <x:v>NEEDS_WINDOW_BINDING</x:v>
      </x:c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4"/>
      <x:c r="AB439" s="14"/>
      <x:c r="AC439" s="14"/>
      <x:c r="AD439" s="14"/>
      <x:c r="AE439" s="14"/>
      <x:c r="AF439" s="14"/>
      <x:c r="AG439" s="14"/>
      <x:c r="AH439" s="14"/>
      <x:c r="AI439" s="14"/>
      <x:c r="AJ439" s="14"/>
      <x:c r="AK439" s="14"/>
      <x:c r="AL439" s="14"/>
      <x:c r="AM439" s="14"/>
      <x:c r="AN439" s="14"/>
      <x:c r="AO439" s="14"/>
      <x:c r="AP439" s="14"/>
      <x:c r="AQ439" s="14"/>
      <x:c r="AR439" s="14"/>
      <x:c r="AS439" s="14"/>
      <x:c r="AT439" s="14"/>
      <x:c r="AU439" s="14"/>
      <x:c r="AV439" s="14"/>
      <x:c r="AW439" s="14"/>
      <x:c r="AX439" s="14"/>
      <x:c r="AY439" s="14"/>
      <x:c r="AZ439" s="14"/>
      <x:c r="BA439" s="14"/>
      <x:c r="BB439" s="14"/>
      <x:c r="BC439" s="14"/>
      <x:c r="BD439" s="14"/>
      <x:c r="BE439" s="14"/>
      <x:c r="BF439" s="14"/>
      <x:c r="BG439" s="14"/>
      <x:c r="BH439" s="14"/>
      <x:c r="BI439" s="14"/>
      <x:c r="BJ439" s="14"/>
      <x:c r="BK439" s="14"/>
      <x:c r="BL439" s="14"/>
      <x:c r="BM439" s="14"/>
      <x:c r="BN439" s="14"/>
      <x:c r="BO439" s="14"/>
      <x:c r="BP439" s="14"/>
      <x:c r="BQ439" s="14"/>
      <x:c r="BR439" s="14"/>
      <x:c r="BS439" s="14"/>
      <x:c r="BT439" s="14"/>
      <x:c r="BU439" s="14"/>
      <x:c r="BV439" s="14"/>
      <x:c r="BW439" s="14"/>
      <x:c r="BX439" s="14"/>
      <x:c r="BY439" s="14"/>
      <x:c r="BZ439" s="14"/>
      <x:c r="CA439" s="14"/>
      <x:c r="CB439" s="14"/>
      <x:c r="CC439" s="14"/>
      <x:c r="CD439" s="14"/>
      <x:c r="CE439" s="14"/>
    </x:row>
    <x:row r="440">
      <x:c r="A440" s="14" t="n">
        <x:v>439</x:v>
      </x:c>
      <x:c r="B440" s="14"/>
      <x:c r="C440" s="14" t="str">
        <x:v>CHECKING_EVENT</x:v>
      </x:c>
      <x:c r="D440" s="14" t="str">
        <x:v>Exploratory_Checking_611_Positional_Surrogate.xlsx</x:v>
      </x:c>
      <x:c r="E440" s="14"/>
      <x:c r="F440" s="14"/>
      <x:c r="G440" s="14"/>
      <x:c r="H440" s="14"/>
      <x:c r="I440" s="14"/>
      <x:c r="J440" s="14"/>
      <x:c r="K440" s="14" t="str">
        <x:v>NEEDS_WINDOW_BINDING</x:v>
      </x:c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4"/>
      <x:c r="AJ440" s="14"/>
      <x:c r="AK440" s="14"/>
      <x:c r="AL440" s="14"/>
      <x:c r="AM440" s="14"/>
      <x:c r="AN440" s="14"/>
      <x:c r="AO440" s="14"/>
      <x:c r="AP440" s="14"/>
      <x:c r="AQ440" s="14"/>
      <x:c r="AR440" s="14"/>
      <x:c r="AS440" s="14"/>
      <x:c r="AT440" s="14"/>
      <x:c r="AU440" s="14"/>
      <x:c r="AV440" s="14"/>
      <x:c r="AW440" s="14"/>
      <x:c r="AX440" s="14"/>
      <x:c r="AY440" s="14"/>
      <x:c r="AZ440" s="14"/>
      <x:c r="BA440" s="14"/>
      <x:c r="BB440" s="14"/>
      <x:c r="BC440" s="14"/>
      <x:c r="BD440" s="14"/>
      <x:c r="BE440" s="14"/>
      <x:c r="BF440" s="14"/>
      <x:c r="BG440" s="14"/>
      <x:c r="BH440" s="14"/>
      <x:c r="BI440" s="14"/>
      <x:c r="BJ440" s="14"/>
      <x:c r="BK440" s="14"/>
      <x:c r="BL440" s="14"/>
      <x:c r="BM440" s="14"/>
      <x:c r="BN440" s="14"/>
      <x:c r="BO440" s="14"/>
      <x:c r="BP440" s="14"/>
      <x:c r="BQ440" s="14"/>
      <x:c r="BR440" s="14"/>
      <x:c r="BS440" s="14"/>
      <x:c r="BT440" s="14"/>
      <x:c r="BU440" s="14"/>
      <x:c r="BV440" s="14"/>
      <x:c r="BW440" s="14"/>
      <x:c r="BX440" s="14"/>
      <x:c r="BY440" s="14"/>
      <x:c r="BZ440" s="14"/>
      <x:c r="CA440" s="14"/>
      <x:c r="CB440" s="14"/>
      <x:c r="CC440" s="14"/>
      <x:c r="CD440" s="14"/>
      <x:c r="CE440" s="14"/>
    </x:row>
    <x:row r="441">
      <x:c r="A441" s="14" t="n">
        <x:v>440</x:v>
      </x:c>
      <x:c r="B441" s="14"/>
      <x:c r="C441" s="14" t="str">
        <x:v>CHECKING_EVENT</x:v>
      </x:c>
      <x:c r="D441" s="14" t="str">
        <x:v>Exploratory_Checking_611_Positional_Surrogate.xlsx</x:v>
      </x:c>
      <x:c r="E441" s="14"/>
      <x:c r="F441" s="14"/>
      <x:c r="G441" s="14"/>
      <x:c r="H441" s="14"/>
      <x:c r="I441" s="14"/>
      <x:c r="J441" s="14"/>
      <x:c r="K441" s="14" t="str">
        <x:v>NEEDS_WINDOW_BINDING</x:v>
      </x:c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4"/>
      <x:c r="AJ441" s="14"/>
      <x:c r="AK441" s="14"/>
      <x:c r="AL441" s="14"/>
      <x:c r="AM441" s="14"/>
      <x:c r="AN441" s="14"/>
      <x:c r="AO441" s="14"/>
      <x:c r="AP441" s="14"/>
      <x:c r="AQ441" s="14"/>
      <x:c r="AR441" s="14"/>
      <x:c r="AS441" s="14"/>
      <x:c r="AT441" s="14"/>
      <x:c r="AU441" s="14"/>
      <x:c r="AV441" s="14"/>
      <x:c r="AW441" s="14"/>
      <x:c r="AX441" s="14"/>
      <x:c r="AY441" s="14"/>
      <x:c r="AZ441" s="14"/>
      <x:c r="BA441" s="14"/>
      <x:c r="BB441" s="14"/>
      <x:c r="BC441" s="14"/>
      <x:c r="BD441" s="14"/>
      <x:c r="BE441" s="14"/>
      <x:c r="BF441" s="14"/>
      <x:c r="BG441" s="14"/>
      <x:c r="BH441" s="14"/>
      <x:c r="BI441" s="14"/>
      <x:c r="BJ441" s="14"/>
      <x:c r="BK441" s="14"/>
      <x:c r="BL441" s="14"/>
      <x:c r="BM441" s="14"/>
      <x:c r="BN441" s="14"/>
      <x:c r="BO441" s="14"/>
      <x:c r="BP441" s="14"/>
      <x:c r="BQ441" s="14"/>
      <x:c r="BR441" s="14"/>
      <x:c r="BS441" s="14"/>
      <x:c r="BT441" s="14"/>
      <x:c r="BU441" s="14"/>
      <x:c r="BV441" s="14"/>
      <x:c r="BW441" s="14"/>
      <x:c r="BX441" s="14"/>
      <x:c r="BY441" s="14"/>
      <x:c r="BZ441" s="14"/>
      <x:c r="CA441" s="14"/>
      <x:c r="CB441" s="14"/>
      <x:c r="CC441" s="14"/>
      <x:c r="CD441" s="14"/>
      <x:c r="CE441" s="14"/>
    </x:row>
    <x:row r="442">
      <x:c r="A442" s="14" t="n">
        <x:v>441</x:v>
      </x:c>
      <x:c r="B442" s="14"/>
      <x:c r="C442" s="14" t="str">
        <x:v>CHECKING_EVENT</x:v>
      </x:c>
      <x:c r="D442" s="14" t="str">
        <x:v>Exploratory_Checking_611_Positional_Surrogate.xlsx</x:v>
      </x:c>
      <x:c r="E442" s="14"/>
      <x:c r="F442" s="14"/>
      <x:c r="G442" s="14"/>
      <x:c r="H442" s="14"/>
      <x:c r="I442" s="14"/>
      <x:c r="J442" s="14"/>
      <x:c r="K442" s="14" t="str">
        <x:v>NEEDS_WINDOW_BINDING</x:v>
      </x:c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  <x:c r="AA442" s="14"/>
      <x:c r="AB442" s="14"/>
      <x:c r="AC442" s="14"/>
      <x:c r="AD442" s="14"/>
      <x:c r="AE442" s="14"/>
      <x:c r="AF442" s="14"/>
      <x:c r="AG442" s="14"/>
      <x:c r="AH442" s="14"/>
      <x:c r="AI442" s="14"/>
      <x:c r="AJ442" s="14"/>
      <x:c r="AK442" s="14"/>
      <x:c r="AL442" s="14"/>
      <x:c r="AM442" s="14"/>
      <x:c r="AN442" s="14"/>
      <x:c r="AO442" s="14"/>
      <x:c r="AP442" s="14"/>
      <x:c r="AQ442" s="14"/>
      <x:c r="AR442" s="14"/>
      <x:c r="AS442" s="14"/>
      <x:c r="AT442" s="14"/>
      <x:c r="AU442" s="14"/>
      <x:c r="AV442" s="14"/>
      <x:c r="AW442" s="14"/>
      <x:c r="AX442" s="14"/>
      <x:c r="AY442" s="14"/>
      <x:c r="AZ442" s="14"/>
      <x:c r="BA442" s="14"/>
      <x:c r="BB442" s="14"/>
      <x:c r="BC442" s="14"/>
      <x:c r="BD442" s="14"/>
      <x:c r="BE442" s="14"/>
      <x:c r="BF442" s="14"/>
      <x:c r="BG442" s="14"/>
      <x:c r="BH442" s="14"/>
      <x:c r="BI442" s="14"/>
      <x:c r="BJ442" s="14"/>
      <x:c r="BK442" s="14"/>
      <x:c r="BL442" s="14"/>
      <x:c r="BM442" s="14"/>
      <x:c r="BN442" s="14"/>
      <x:c r="BO442" s="14"/>
      <x:c r="BP442" s="14"/>
      <x:c r="BQ442" s="14"/>
      <x:c r="BR442" s="14"/>
      <x:c r="BS442" s="14"/>
      <x:c r="BT442" s="14"/>
      <x:c r="BU442" s="14"/>
      <x:c r="BV442" s="14"/>
      <x:c r="BW442" s="14"/>
      <x:c r="BX442" s="14"/>
      <x:c r="BY442" s="14"/>
      <x:c r="BZ442" s="14"/>
      <x:c r="CA442" s="14"/>
      <x:c r="CB442" s="14"/>
      <x:c r="CC442" s="14"/>
      <x:c r="CD442" s="14"/>
      <x:c r="CE442" s="14"/>
    </x:row>
    <x:row r="443">
      <x:c r="A443" s="14" t="n">
        <x:v>442</x:v>
      </x:c>
      <x:c r="B443" s="14"/>
      <x:c r="C443" s="14" t="str">
        <x:v>CHECKING_EVENT</x:v>
      </x:c>
      <x:c r="D443" s="14" t="str">
        <x:v>Exploratory_Checking_611_Positional_Surrogate.xlsx</x:v>
      </x:c>
      <x:c r="E443" s="14"/>
      <x:c r="F443" s="14"/>
      <x:c r="G443" s="14"/>
      <x:c r="H443" s="14"/>
      <x:c r="I443" s="14"/>
      <x:c r="J443" s="14"/>
      <x:c r="K443" s="14" t="str">
        <x:v>NEEDS_WINDOW_BINDING</x:v>
      </x:c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  <x:c r="AA443" s="14"/>
      <x:c r="AB443" s="14"/>
      <x:c r="AC443" s="14"/>
      <x:c r="AD443" s="14"/>
      <x:c r="AE443" s="14"/>
      <x:c r="AF443" s="14"/>
      <x:c r="AG443" s="14"/>
      <x:c r="AH443" s="14"/>
      <x:c r="AI443" s="14"/>
      <x:c r="AJ443" s="14"/>
      <x:c r="AK443" s="14"/>
      <x:c r="AL443" s="14"/>
      <x:c r="AM443" s="14"/>
      <x:c r="AN443" s="14"/>
      <x:c r="AO443" s="14"/>
      <x:c r="AP443" s="14"/>
      <x:c r="AQ443" s="14"/>
      <x:c r="AR443" s="14"/>
      <x:c r="AS443" s="14"/>
      <x:c r="AT443" s="14"/>
      <x:c r="AU443" s="14"/>
      <x:c r="AV443" s="14"/>
      <x:c r="AW443" s="14"/>
      <x:c r="AX443" s="14"/>
      <x:c r="AY443" s="14"/>
      <x:c r="AZ443" s="14"/>
      <x:c r="BA443" s="14"/>
      <x:c r="BB443" s="14"/>
      <x:c r="BC443" s="14"/>
      <x:c r="BD443" s="14"/>
      <x:c r="BE443" s="14"/>
      <x:c r="BF443" s="14"/>
      <x:c r="BG443" s="14"/>
      <x:c r="BH443" s="14"/>
      <x:c r="BI443" s="14"/>
      <x:c r="BJ443" s="14"/>
      <x:c r="BK443" s="14"/>
      <x:c r="BL443" s="14"/>
      <x:c r="BM443" s="14"/>
      <x:c r="BN443" s="14"/>
      <x:c r="BO443" s="14"/>
      <x:c r="BP443" s="14"/>
      <x:c r="BQ443" s="14"/>
      <x:c r="BR443" s="14"/>
      <x:c r="BS443" s="14"/>
      <x:c r="BT443" s="14"/>
      <x:c r="BU443" s="14"/>
      <x:c r="BV443" s="14"/>
      <x:c r="BW443" s="14"/>
      <x:c r="BX443" s="14"/>
      <x:c r="BY443" s="14"/>
      <x:c r="BZ443" s="14"/>
      <x:c r="CA443" s="14"/>
      <x:c r="CB443" s="14"/>
      <x:c r="CC443" s="14"/>
      <x:c r="CD443" s="14"/>
      <x:c r="CE443" s="14"/>
    </x:row>
    <x:row r="444">
      <x:c r="A444" s="14" t="n">
        <x:v>443</x:v>
      </x:c>
      <x:c r="B444" s="14"/>
      <x:c r="C444" s="14" t="str">
        <x:v>CHECKING_EVENT</x:v>
      </x:c>
      <x:c r="D444" s="14" t="str">
        <x:v>Exploratory_Checking_611_Positional_Surrogate.xlsx</x:v>
      </x:c>
      <x:c r="E444" s="14"/>
      <x:c r="F444" s="14"/>
      <x:c r="G444" s="14"/>
      <x:c r="H444" s="14"/>
      <x:c r="I444" s="14"/>
      <x:c r="J444" s="14"/>
      <x:c r="K444" s="14" t="str">
        <x:v>NEEDS_WINDOW_BINDING</x:v>
      </x:c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  <x:c r="AA444" s="14"/>
      <x:c r="AB444" s="14"/>
      <x:c r="AC444" s="14"/>
      <x:c r="AD444" s="14"/>
      <x:c r="AE444" s="14"/>
      <x:c r="AF444" s="14"/>
      <x:c r="AG444" s="14"/>
      <x:c r="AH444" s="14"/>
      <x:c r="AI444" s="14"/>
      <x:c r="AJ444" s="14"/>
      <x:c r="AK444" s="14"/>
      <x:c r="AL444" s="14"/>
      <x:c r="AM444" s="14"/>
      <x:c r="AN444" s="14"/>
      <x:c r="AO444" s="14"/>
      <x:c r="AP444" s="14"/>
      <x:c r="AQ444" s="14"/>
      <x:c r="AR444" s="14"/>
      <x:c r="AS444" s="14"/>
      <x:c r="AT444" s="14"/>
      <x:c r="AU444" s="14"/>
      <x:c r="AV444" s="14"/>
      <x:c r="AW444" s="14"/>
      <x:c r="AX444" s="14"/>
      <x:c r="AY444" s="14"/>
      <x:c r="AZ444" s="14"/>
      <x:c r="BA444" s="14"/>
      <x:c r="BB444" s="14"/>
      <x:c r="BC444" s="14"/>
      <x:c r="BD444" s="14"/>
      <x:c r="BE444" s="14"/>
      <x:c r="BF444" s="14"/>
      <x:c r="BG444" s="14"/>
      <x:c r="BH444" s="14"/>
      <x:c r="BI444" s="14"/>
      <x:c r="BJ444" s="14"/>
      <x:c r="BK444" s="14"/>
      <x:c r="BL444" s="14"/>
      <x:c r="BM444" s="14"/>
      <x:c r="BN444" s="14"/>
      <x:c r="BO444" s="14"/>
      <x:c r="BP444" s="14"/>
      <x:c r="BQ444" s="14"/>
      <x:c r="BR444" s="14"/>
      <x:c r="BS444" s="14"/>
      <x:c r="BT444" s="14"/>
      <x:c r="BU444" s="14"/>
      <x:c r="BV444" s="14"/>
      <x:c r="BW444" s="14"/>
      <x:c r="BX444" s="14"/>
      <x:c r="BY444" s="14"/>
      <x:c r="BZ444" s="14"/>
      <x:c r="CA444" s="14"/>
      <x:c r="CB444" s="14"/>
      <x:c r="CC444" s="14"/>
      <x:c r="CD444" s="14"/>
      <x:c r="CE444" s="14"/>
    </x:row>
    <x:row r="445">
      <x:c r="A445" s="14" t="n">
        <x:v>444</x:v>
      </x:c>
      <x:c r="B445" s="14"/>
      <x:c r="C445" s="14" t="str">
        <x:v>CHECKING_EVENT</x:v>
      </x:c>
      <x:c r="D445" s="14" t="str">
        <x:v>Exploratory_Checking_611_Positional_Surrogate.xlsx</x:v>
      </x:c>
      <x:c r="E445" s="14"/>
      <x:c r="F445" s="14"/>
      <x:c r="G445" s="14"/>
      <x:c r="H445" s="14"/>
      <x:c r="I445" s="14"/>
      <x:c r="J445" s="14"/>
      <x:c r="K445" s="14" t="str">
        <x:v>NEEDS_WINDOW_BINDING</x:v>
      </x:c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4"/>
      <x:c r="AB445" s="14"/>
      <x:c r="AC445" s="14"/>
      <x:c r="AD445" s="14"/>
      <x:c r="AE445" s="14"/>
      <x:c r="AF445" s="14"/>
      <x:c r="AG445" s="14"/>
      <x:c r="AH445" s="14"/>
      <x:c r="AI445" s="14"/>
      <x:c r="AJ445" s="14"/>
      <x:c r="AK445" s="14"/>
      <x:c r="AL445" s="14"/>
      <x:c r="AM445" s="14"/>
      <x:c r="AN445" s="14"/>
      <x:c r="AO445" s="14"/>
      <x:c r="AP445" s="14"/>
      <x:c r="AQ445" s="14"/>
      <x:c r="AR445" s="14"/>
      <x:c r="AS445" s="14"/>
      <x:c r="AT445" s="14"/>
      <x:c r="AU445" s="14"/>
      <x:c r="AV445" s="14"/>
      <x:c r="AW445" s="14"/>
      <x:c r="AX445" s="14"/>
      <x:c r="AY445" s="14"/>
      <x:c r="AZ445" s="14"/>
      <x:c r="BA445" s="14"/>
      <x:c r="BB445" s="14"/>
      <x:c r="BC445" s="14"/>
      <x:c r="BD445" s="14"/>
      <x:c r="BE445" s="14"/>
      <x:c r="BF445" s="14"/>
      <x:c r="BG445" s="14"/>
      <x:c r="BH445" s="14"/>
      <x:c r="BI445" s="14"/>
      <x:c r="BJ445" s="14"/>
      <x:c r="BK445" s="14"/>
      <x:c r="BL445" s="14"/>
      <x:c r="BM445" s="14"/>
      <x:c r="BN445" s="14"/>
      <x:c r="BO445" s="14"/>
      <x:c r="BP445" s="14"/>
      <x:c r="BQ445" s="14"/>
      <x:c r="BR445" s="14"/>
      <x:c r="BS445" s="14"/>
      <x:c r="BT445" s="14"/>
      <x:c r="BU445" s="14"/>
      <x:c r="BV445" s="14"/>
      <x:c r="BW445" s="14"/>
      <x:c r="BX445" s="14"/>
      <x:c r="BY445" s="14"/>
      <x:c r="BZ445" s="14"/>
      <x:c r="CA445" s="14"/>
      <x:c r="CB445" s="14"/>
      <x:c r="CC445" s="14"/>
      <x:c r="CD445" s="14"/>
      <x:c r="CE445" s="14"/>
    </x:row>
    <x:row r="446">
      <x:c r="A446" s="14" t="n">
        <x:v>445</x:v>
      </x:c>
      <x:c r="B446" s="14"/>
      <x:c r="C446" s="14" t="str">
        <x:v>CHECKING_EVENT</x:v>
      </x:c>
      <x:c r="D446" s="14" t="str">
        <x:v>Exploratory_Checking_611_Positional_Surrogate.xlsx</x:v>
      </x:c>
      <x:c r="E446" s="14"/>
      <x:c r="F446" s="14"/>
      <x:c r="G446" s="14"/>
      <x:c r="H446" s="14"/>
      <x:c r="I446" s="14"/>
      <x:c r="J446" s="14"/>
      <x:c r="K446" s="14" t="str">
        <x:v>NEEDS_WINDOW_BINDING</x:v>
      </x:c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  <x:c r="AB446" s="14"/>
      <x:c r="AC446" s="14"/>
      <x:c r="AD446" s="14"/>
      <x:c r="AE446" s="14"/>
      <x:c r="AF446" s="14"/>
      <x:c r="AG446" s="14"/>
      <x:c r="AH446" s="14"/>
      <x:c r="AI446" s="14"/>
      <x:c r="AJ446" s="14"/>
      <x:c r="AK446" s="14"/>
      <x:c r="AL446" s="14"/>
      <x:c r="AM446" s="14"/>
      <x:c r="AN446" s="14"/>
      <x:c r="AO446" s="14"/>
      <x:c r="AP446" s="14"/>
      <x:c r="AQ446" s="14"/>
      <x:c r="AR446" s="14"/>
      <x:c r="AS446" s="14"/>
      <x:c r="AT446" s="14"/>
      <x:c r="AU446" s="14"/>
      <x:c r="AV446" s="14"/>
      <x:c r="AW446" s="14"/>
      <x:c r="AX446" s="14"/>
      <x:c r="AY446" s="14"/>
      <x:c r="AZ446" s="14"/>
      <x:c r="BA446" s="14"/>
      <x:c r="BB446" s="14"/>
      <x:c r="BC446" s="14"/>
      <x:c r="BD446" s="14"/>
      <x:c r="BE446" s="14"/>
      <x:c r="BF446" s="14"/>
      <x:c r="BG446" s="14"/>
      <x:c r="BH446" s="14"/>
      <x:c r="BI446" s="14"/>
      <x:c r="BJ446" s="14"/>
      <x:c r="BK446" s="14"/>
      <x:c r="BL446" s="14"/>
      <x:c r="BM446" s="14"/>
      <x:c r="BN446" s="14"/>
      <x:c r="BO446" s="14"/>
      <x:c r="BP446" s="14"/>
      <x:c r="BQ446" s="14"/>
      <x:c r="BR446" s="14"/>
      <x:c r="BS446" s="14"/>
      <x:c r="BT446" s="14"/>
      <x:c r="BU446" s="14"/>
      <x:c r="BV446" s="14"/>
      <x:c r="BW446" s="14"/>
      <x:c r="BX446" s="14"/>
      <x:c r="BY446" s="14"/>
      <x:c r="BZ446" s="14"/>
      <x:c r="CA446" s="14"/>
      <x:c r="CB446" s="14"/>
      <x:c r="CC446" s="14"/>
      <x:c r="CD446" s="14"/>
      <x:c r="CE446" s="14"/>
    </x:row>
    <x:row r="447">
      <x:c r="A447" s="14" t="n">
        <x:v>446</x:v>
      </x:c>
      <x:c r="B447" s="14"/>
      <x:c r="C447" s="14" t="str">
        <x:v>CHECKING_EVENT</x:v>
      </x:c>
      <x:c r="D447" s="14" t="str">
        <x:v>Exploratory_Checking_611_Positional_Surrogate.xlsx</x:v>
      </x:c>
      <x:c r="E447" s="14"/>
      <x:c r="F447" s="14"/>
      <x:c r="G447" s="14"/>
      <x:c r="H447" s="14"/>
      <x:c r="I447" s="14"/>
      <x:c r="J447" s="14"/>
      <x:c r="K447" s="14" t="str">
        <x:v>NEEDS_WINDOW_BINDING</x:v>
      </x:c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  <x:c r="AA447" s="14"/>
      <x:c r="AB447" s="14"/>
      <x:c r="AC447" s="14"/>
      <x:c r="AD447" s="14"/>
      <x:c r="AE447" s="14"/>
      <x:c r="AF447" s="14"/>
      <x:c r="AG447" s="14"/>
      <x:c r="AH447" s="14"/>
      <x:c r="AI447" s="14"/>
      <x:c r="AJ447" s="14"/>
      <x:c r="AK447" s="14"/>
      <x:c r="AL447" s="14"/>
      <x:c r="AM447" s="14"/>
      <x:c r="AN447" s="14"/>
      <x:c r="AO447" s="14"/>
      <x:c r="AP447" s="14"/>
      <x:c r="AQ447" s="14"/>
      <x:c r="AR447" s="14"/>
      <x:c r="AS447" s="14"/>
      <x:c r="AT447" s="14"/>
      <x:c r="AU447" s="14"/>
      <x:c r="AV447" s="14"/>
      <x:c r="AW447" s="14"/>
      <x:c r="AX447" s="14"/>
      <x:c r="AY447" s="14"/>
      <x:c r="AZ447" s="14"/>
      <x:c r="BA447" s="14"/>
      <x:c r="BB447" s="14"/>
      <x:c r="BC447" s="14"/>
      <x:c r="BD447" s="14"/>
      <x:c r="BE447" s="14"/>
      <x:c r="BF447" s="14"/>
      <x:c r="BG447" s="14"/>
      <x:c r="BH447" s="14"/>
      <x:c r="BI447" s="14"/>
      <x:c r="BJ447" s="14"/>
      <x:c r="BK447" s="14"/>
      <x:c r="BL447" s="14"/>
      <x:c r="BM447" s="14"/>
      <x:c r="BN447" s="14"/>
      <x:c r="BO447" s="14"/>
      <x:c r="BP447" s="14"/>
      <x:c r="BQ447" s="14"/>
      <x:c r="BR447" s="14"/>
      <x:c r="BS447" s="14"/>
      <x:c r="BT447" s="14"/>
      <x:c r="BU447" s="14"/>
      <x:c r="BV447" s="14"/>
      <x:c r="BW447" s="14"/>
      <x:c r="BX447" s="14"/>
      <x:c r="BY447" s="14"/>
      <x:c r="BZ447" s="14"/>
      <x:c r="CA447" s="14"/>
      <x:c r="CB447" s="14"/>
      <x:c r="CC447" s="14"/>
      <x:c r="CD447" s="14"/>
      <x:c r="CE447" s="14"/>
    </x:row>
    <x:row r="448">
      <x:c r="A448" s="14" t="n">
        <x:v>447</x:v>
      </x:c>
      <x:c r="B448" s="14"/>
      <x:c r="C448" s="14" t="str">
        <x:v>CHECKING_EVENT</x:v>
      </x:c>
      <x:c r="D448" s="14" t="str">
        <x:v>Exploratory_Checking_611_Positional_Surrogate.xlsx</x:v>
      </x:c>
      <x:c r="E448" s="14"/>
      <x:c r="F448" s="14"/>
      <x:c r="G448" s="14"/>
      <x:c r="H448" s="14"/>
      <x:c r="I448" s="14"/>
      <x:c r="J448" s="14"/>
      <x:c r="K448" s="14" t="str">
        <x:v>NEEDS_WINDOW_BINDING</x:v>
      </x:c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  <x:c r="AA448" s="14"/>
      <x:c r="AB448" s="14"/>
      <x:c r="AC448" s="14"/>
      <x:c r="AD448" s="14"/>
      <x:c r="AE448" s="14"/>
      <x:c r="AF448" s="14"/>
      <x:c r="AG448" s="14"/>
      <x:c r="AH448" s="14"/>
      <x:c r="AI448" s="14"/>
      <x:c r="AJ448" s="14"/>
      <x:c r="AK448" s="14"/>
      <x:c r="AL448" s="14"/>
      <x:c r="AM448" s="14"/>
      <x:c r="AN448" s="14"/>
      <x:c r="AO448" s="14"/>
      <x:c r="AP448" s="14"/>
      <x:c r="AQ448" s="14"/>
      <x:c r="AR448" s="14"/>
      <x:c r="AS448" s="14"/>
      <x:c r="AT448" s="14"/>
      <x:c r="AU448" s="14"/>
      <x:c r="AV448" s="14"/>
      <x:c r="AW448" s="14"/>
      <x:c r="AX448" s="14"/>
      <x:c r="AY448" s="14"/>
      <x:c r="AZ448" s="14"/>
      <x:c r="BA448" s="14"/>
      <x:c r="BB448" s="14"/>
      <x:c r="BC448" s="14"/>
      <x:c r="BD448" s="14"/>
      <x:c r="BE448" s="14"/>
      <x:c r="BF448" s="14"/>
      <x:c r="BG448" s="14"/>
      <x:c r="BH448" s="14"/>
      <x:c r="BI448" s="14"/>
      <x:c r="BJ448" s="14"/>
      <x:c r="BK448" s="14"/>
      <x:c r="BL448" s="14"/>
      <x:c r="BM448" s="14"/>
      <x:c r="BN448" s="14"/>
      <x:c r="BO448" s="14"/>
      <x:c r="BP448" s="14"/>
      <x:c r="BQ448" s="14"/>
      <x:c r="BR448" s="14"/>
      <x:c r="BS448" s="14"/>
      <x:c r="BT448" s="14"/>
      <x:c r="BU448" s="14"/>
      <x:c r="BV448" s="14"/>
      <x:c r="BW448" s="14"/>
      <x:c r="BX448" s="14"/>
      <x:c r="BY448" s="14"/>
      <x:c r="BZ448" s="14"/>
      <x:c r="CA448" s="14"/>
      <x:c r="CB448" s="14"/>
      <x:c r="CC448" s="14"/>
      <x:c r="CD448" s="14"/>
      <x:c r="CE448" s="14"/>
    </x:row>
    <x:row r="449">
      <x:c r="A449" s="14" t="n">
        <x:v>448</x:v>
      </x:c>
      <x:c r="B449" s="14"/>
      <x:c r="C449" s="14" t="str">
        <x:v>CHECKING_EVENT</x:v>
      </x:c>
      <x:c r="D449" s="14" t="str">
        <x:v>Exploratory_Checking_611_Positional_Surrogate.xlsx</x:v>
      </x:c>
      <x:c r="E449" s="14"/>
      <x:c r="F449" s="14"/>
      <x:c r="G449" s="14"/>
      <x:c r="H449" s="14"/>
      <x:c r="I449" s="14"/>
      <x:c r="J449" s="14"/>
      <x:c r="K449" s="14" t="str">
        <x:v>NEEDS_WINDOW_BINDING</x:v>
      </x:c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  <x:c r="AA449" s="14"/>
      <x:c r="AB449" s="14"/>
      <x:c r="AC449" s="14"/>
      <x:c r="AD449" s="14"/>
      <x:c r="AE449" s="14"/>
      <x:c r="AF449" s="14"/>
      <x:c r="AG449" s="14"/>
      <x:c r="AH449" s="14"/>
      <x:c r="AI449" s="14"/>
      <x:c r="AJ449" s="14"/>
      <x:c r="AK449" s="14"/>
      <x:c r="AL449" s="14"/>
      <x:c r="AM449" s="14"/>
      <x:c r="AN449" s="14"/>
      <x:c r="AO449" s="14"/>
      <x:c r="AP449" s="14"/>
      <x:c r="AQ449" s="14"/>
      <x:c r="AR449" s="14"/>
      <x:c r="AS449" s="14"/>
      <x:c r="AT449" s="14"/>
      <x:c r="AU449" s="14"/>
      <x:c r="AV449" s="14"/>
      <x:c r="AW449" s="14"/>
      <x:c r="AX449" s="14"/>
      <x:c r="AY449" s="14"/>
      <x:c r="AZ449" s="14"/>
      <x:c r="BA449" s="14"/>
      <x:c r="BB449" s="14"/>
      <x:c r="BC449" s="14"/>
      <x:c r="BD449" s="14"/>
      <x:c r="BE449" s="14"/>
      <x:c r="BF449" s="14"/>
      <x:c r="BG449" s="14"/>
      <x:c r="BH449" s="14"/>
      <x:c r="BI449" s="14"/>
      <x:c r="BJ449" s="14"/>
      <x:c r="BK449" s="14"/>
      <x:c r="BL449" s="14"/>
      <x:c r="BM449" s="14"/>
      <x:c r="BN449" s="14"/>
      <x:c r="BO449" s="14"/>
      <x:c r="BP449" s="14"/>
      <x:c r="BQ449" s="14"/>
      <x:c r="BR449" s="14"/>
      <x:c r="BS449" s="14"/>
      <x:c r="BT449" s="14"/>
      <x:c r="BU449" s="14"/>
      <x:c r="BV449" s="14"/>
      <x:c r="BW449" s="14"/>
      <x:c r="BX449" s="14"/>
      <x:c r="BY449" s="14"/>
      <x:c r="BZ449" s="14"/>
      <x:c r="CA449" s="14"/>
      <x:c r="CB449" s="14"/>
      <x:c r="CC449" s="14"/>
      <x:c r="CD449" s="14"/>
      <x:c r="CE449" s="14"/>
    </x:row>
    <x:row r="450">
      <x:c r="A450" s="14" t="n">
        <x:v>449</x:v>
      </x:c>
      <x:c r="B450" s="14"/>
      <x:c r="C450" s="14" t="str">
        <x:v>CHECKING_EVENT</x:v>
      </x:c>
      <x:c r="D450" s="14" t="str">
        <x:v>Exploratory_Checking_611_Positional_Surrogate.xlsx</x:v>
      </x:c>
      <x:c r="E450" s="14"/>
      <x:c r="F450" s="14"/>
      <x:c r="G450" s="14"/>
      <x:c r="H450" s="14"/>
      <x:c r="I450" s="14"/>
      <x:c r="J450" s="14"/>
      <x:c r="K450" s="14" t="str">
        <x:v>NEEDS_WINDOW_BINDING</x:v>
      </x:c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  <x:c r="AA450" s="14"/>
      <x:c r="AB450" s="14"/>
      <x:c r="AC450" s="14"/>
      <x:c r="AD450" s="14"/>
      <x:c r="AE450" s="14"/>
      <x:c r="AF450" s="14"/>
      <x:c r="AG450" s="14"/>
      <x:c r="AH450" s="14"/>
      <x:c r="AI450" s="14"/>
      <x:c r="AJ450" s="14"/>
      <x:c r="AK450" s="14"/>
      <x:c r="AL450" s="14"/>
      <x:c r="AM450" s="14"/>
      <x:c r="AN450" s="14"/>
      <x:c r="AO450" s="14"/>
      <x:c r="AP450" s="14"/>
      <x:c r="AQ450" s="14"/>
      <x:c r="AR450" s="14"/>
      <x:c r="AS450" s="14"/>
      <x:c r="AT450" s="14"/>
      <x:c r="AU450" s="14"/>
      <x:c r="AV450" s="14"/>
      <x:c r="AW450" s="14"/>
      <x:c r="AX450" s="14"/>
      <x:c r="AY450" s="14"/>
      <x:c r="AZ450" s="14"/>
      <x:c r="BA450" s="14"/>
      <x:c r="BB450" s="14"/>
      <x:c r="BC450" s="14"/>
      <x:c r="BD450" s="14"/>
      <x:c r="BE450" s="14"/>
      <x:c r="BF450" s="14"/>
      <x:c r="BG450" s="14"/>
      <x:c r="BH450" s="14"/>
      <x:c r="BI450" s="14"/>
      <x:c r="BJ450" s="14"/>
      <x:c r="BK450" s="14"/>
      <x:c r="BL450" s="14"/>
      <x:c r="BM450" s="14"/>
      <x:c r="BN450" s="14"/>
      <x:c r="BO450" s="14"/>
      <x:c r="BP450" s="14"/>
      <x:c r="BQ450" s="14"/>
      <x:c r="BR450" s="14"/>
      <x:c r="BS450" s="14"/>
      <x:c r="BT450" s="14"/>
      <x:c r="BU450" s="14"/>
      <x:c r="BV450" s="14"/>
      <x:c r="BW450" s="14"/>
      <x:c r="BX450" s="14"/>
      <x:c r="BY450" s="14"/>
      <x:c r="BZ450" s="14"/>
      <x:c r="CA450" s="14"/>
      <x:c r="CB450" s="14"/>
      <x:c r="CC450" s="14"/>
      <x:c r="CD450" s="14"/>
      <x:c r="CE450" s="14"/>
    </x:row>
    <x:row r="451">
      <x:c r="A451" s="14" t="n">
        <x:v>450</x:v>
      </x:c>
      <x:c r="B451" s="14"/>
      <x:c r="C451" s="14" t="str">
        <x:v>CHECKING_EVENT</x:v>
      </x:c>
      <x:c r="D451" s="14" t="str">
        <x:v>Exploratory_Checking_611_Positional_Surrogate.xlsx</x:v>
      </x:c>
      <x:c r="E451" s="14"/>
      <x:c r="F451" s="14"/>
      <x:c r="G451" s="14"/>
      <x:c r="H451" s="14"/>
      <x:c r="I451" s="14"/>
      <x:c r="J451" s="14"/>
      <x:c r="K451" s="14" t="str">
        <x:v>NEEDS_WINDOW_BINDING</x:v>
      </x:c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  <x:c r="AA451" s="14"/>
      <x:c r="AB451" s="14"/>
      <x:c r="AC451" s="14"/>
      <x:c r="AD451" s="14"/>
      <x:c r="AE451" s="14"/>
      <x:c r="AF451" s="14"/>
      <x:c r="AG451" s="14"/>
      <x:c r="AH451" s="14"/>
      <x:c r="AI451" s="14"/>
      <x:c r="AJ451" s="14"/>
      <x:c r="AK451" s="14"/>
      <x:c r="AL451" s="14"/>
      <x:c r="AM451" s="14"/>
      <x:c r="AN451" s="14"/>
      <x:c r="AO451" s="14"/>
      <x:c r="AP451" s="14"/>
      <x:c r="AQ451" s="14"/>
      <x:c r="AR451" s="14"/>
      <x:c r="AS451" s="14"/>
      <x:c r="AT451" s="14"/>
      <x:c r="AU451" s="14"/>
      <x:c r="AV451" s="14"/>
      <x:c r="AW451" s="14"/>
      <x:c r="AX451" s="14"/>
      <x:c r="AY451" s="14"/>
      <x:c r="AZ451" s="14"/>
      <x:c r="BA451" s="14"/>
      <x:c r="BB451" s="14"/>
      <x:c r="BC451" s="14"/>
      <x:c r="BD451" s="14"/>
      <x:c r="BE451" s="14"/>
      <x:c r="BF451" s="14"/>
      <x:c r="BG451" s="14"/>
      <x:c r="BH451" s="14"/>
      <x:c r="BI451" s="14"/>
      <x:c r="BJ451" s="14"/>
      <x:c r="BK451" s="14"/>
      <x:c r="BL451" s="14"/>
      <x:c r="BM451" s="14"/>
      <x:c r="BN451" s="14"/>
      <x:c r="BO451" s="14"/>
      <x:c r="BP451" s="14"/>
      <x:c r="BQ451" s="14"/>
      <x:c r="BR451" s="14"/>
      <x:c r="BS451" s="14"/>
      <x:c r="BT451" s="14"/>
      <x:c r="BU451" s="14"/>
      <x:c r="BV451" s="14"/>
      <x:c r="BW451" s="14"/>
      <x:c r="BX451" s="14"/>
      <x:c r="BY451" s="14"/>
      <x:c r="BZ451" s="14"/>
      <x:c r="CA451" s="14"/>
      <x:c r="CB451" s="14"/>
      <x:c r="CC451" s="14"/>
      <x:c r="CD451" s="14"/>
      <x:c r="CE451" s="14"/>
    </x:row>
    <x:row r="452">
      <x:c r="A452" s="14" t="n">
        <x:v>451</x:v>
      </x:c>
      <x:c r="B452" s="14"/>
      <x:c r="C452" s="14" t="str">
        <x:v>CHECKING_EVENT</x:v>
      </x:c>
      <x:c r="D452" s="14" t="str">
        <x:v>Exploratory_Checking_611_Positional_Surrogate.xlsx</x:v>
      </x:c>
      <x:c r="E452" s="14"/>
      <x:c r="F452" s="14"/>
      <x:c r="G452" s="14"/>
      <x:c r="H452" s="14"/>
      <x:c r="I452" s="14"/>
      <x:c r="J452" s="14"/>
      <x:c r="K452" s="14" t="str">
        <x:v>NEEDS_WINDOW_BINDING</x:v>
      </x:c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  <x:c r="AA452" s="14"/>
      <x:c r="AB452" s="14"/>
      <x:c r="AC452" s="14"/>
      <x:c r="AD452" s="14"/>
      <x:c r="AE452" s="14"/>
      <x:c r="AF452" s="14"/>
      <x:c r="AG452" s="14"/>
      <x:c r="AH452" s="14"/>
      <x:c r="AI452" s="14"/>
      <x:c r="AJ452" s="14"/>
      <x:c r="AK452" s="14"/>
      <x:c r="AL452" s="14"/>
      <x:c r="AM452" s="14"/>
      <x:c r="AN452" s="14"/>
      <x:c r="AO452" s="14"/>
      <x:c r="AP452" s="14"/>
      <x:c r="AQ452" s="14"/>
      <x:c r="AR452" s="14"/>
      <x:c r="AS452" s="14"/>
      <x:c r="AT452" s="14"/>
      <x:c r="AU452" s="14"/>
      <x:c r="AV452" s="14"/>
      <x:c r="AW452" s="14"/>
      <x:c r="AX452" s="14"/>
      <x:c r="AY452" s="14"/>
      <x:c r="AZ452" s="14"/>
      <x:c r="BA452" s="14"/>
      <x:c r="BB452" s="14"/>
      <x:c r="BC452" s="14"/>
      <x:c r="BD452" s="14"/>
      <x:c r="BE452" s="14"/>
      <x:c r="BF452" s="14"/>
      <x:c r="BG452" s="14"/>
      <x:c r="BH452" s="14"/>
      <x:c r="BI452" s="14"/>
      <x:c r="BJ452" s="14"/>
      <x:c r="BK452" s="14"/>
      <x:c r="BL452" s="14"/>
      <x:c r="BM452" s="14"/>
      <x:c r="BN452" s="14"/>
      <x:c r="BO452" s="14"/>
      <x:c r="BP452" s="14"/>
      <x:c r="BQ452" s="14"/>
      <x:c r="BR452" s="14"/>
      <x:c r="BS452" s="14"/>
      <x:c r="BT452" s="14"/>
      <x:c r="BU452" s="14"/>
      <x:c r="BV452" s="14"/>
      <x:c r="BW452" s="14"/>
      <x:c r="BX452" s="14"/>
      <x:c r="BY452" s="14"/>
      <x:c r="BZ452" s="14"/>
      <x:c r="CA452" s="14"/>
      <x:c r="CB452" s="14"/>
      <x:c r="CC452" s="14"/>
      <x:c r="CD452" s="14"/>
      <x:c r="CE452" s="14"/>
    </x:row>
    <x:row r="453">
      <x:c r="A453" s="14" t="n">
        <x:v>452</x:v>
      </x:c>
      <x:c r="B453" s="14"/>
      <x:c r="C453" s="14" t="str">
        <x:v>CHECKING_EVENT</x:v>
      </x:c>
      <x:c r="D453" s="14" t="str">
        <x:v>Exploratory_Checking_611_Positional_Surrogate.xlsx</x:v>
      </x:c>
      <x:c r="E453" s="14"/>
      <x:c r="F453" s="14"/>
      <x:c r="G453" s="14"/>
      <x:c r="H453" s="14"/>
      <x:c r="I453" s="14"/>
      <x:c r="J453" s="14"/>
      <x:c r="K453" s="14" t="str">
        <x:v>NEEDS_WINDOW_BINDING</x:v>
      </x:c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  <x:c r="AA453" s="14"/>
      <x:c r="AB453" s="14"/>
      <x:c r="AC453" s="14"/>
      <x:c r="AD453" s="14"/>
      <x:c r="AE453" s="14"/>
      <x:c r="AF453" s="14"/>
      <x:c r="AG453" s="14"/>
      <x:c r="AH453" s="14"/>
      <x:c r="AI453" s="14"/>
      <x:c r="AJ453" s="14"/>
      <x:c r="AK453" s="14"/>
      <x:c r="AL453" s="14"/>
      <x:c r="AM453" s="14"/>
      <x:c r="AN453" s="14"/>
      <x:c r="AO453" s="14"/>
      <x:c r="AP453" s="14"/>
      <x:c r="AQ453" s="14"/>
      <x:c r="AR453" s="14"/>
      <x:c r="AS453" s="14"/>
      <x:c r="AT453" s="14"/>
      <x:c r="AU453" s="14"/>
      <x:c r="AV453" s="14"/>
      <x:c r="AW453" s="14"/>
      <x:c r="AX453" s="14"/>
      <x:c r="AY453" s="14"/>
      <x:c r="AZ453" s="14"/>
      <x:c r="BA453" s="14"/>
      <x:c r="BB453" s="14"/>
      <x:c r="BC453" s="14"/>
      <x:c r="BD453" s="14"/>
      <x:c r="BE453" s="14"/>
      <x:c r="BF453" s="14"/>
      <x:c r="BG453" s="14"/>
      <x:c r="BH453" s="14"/>
      <x:c r="BI453" s="14"/>
      <x:c r="BJ453" s="14"/>
      <x:c r="BK453" s="14"/>
      <x:c r="BL453" s="14"/>
      <x:c r="BM453" s="14"/>
      <x:c r="BN453" s="14"/>
      <x:c r="BO453" s="14"/>
      <x:c r="BP453" s="14"/>
      <x:c r="BQ453" s="14"/>
      <x:c r="BR453" s="14"/>
      <x:c r="BS453" s="14"/>
      <x:c r="BT453" s="14"/>
      <x:c r="BU453" s="14"/>
      <x:c r="BV453" s="14"/>
      <x:c r="BW453" s="14"/>
      <x:c r="BX453" s="14"/>
      <x:c r="BY453" s="14"/>
      <x:c r="BZ453" s="14"/>
      <x:c r="CA453" s="14"/>
      <x:c r="CB453" s="14"/>
      <x:c r="CC453" s="14"/>
      <x:c r="CD453" s="14"/>
      <x:c r="CE453" s="14"/>
    </x:row>
    <x:row r="454">
      <x:c r="A454" s="14" t="n">
        <x:v>453</x:v>
      </x:c>
      <x:c r="B454" s="14"/>
      <x:c r="C454" s="14" t="str">
        <x:v>CHECKING_EVENT</x:v>
      </x:c>
      <x:c r="D454" s="14" t="str">
        <x:v>Exploratory_Checking_611_Positional_Surrogate.xlsx</x:v>
      </x:c>
      <x:c r="E454" s="14"/>
      <x:c r="F454" s="14"/>
      <x:c r="G454" s="14"/>
      <x:c r="H454" s="14"/>
      <x:c r="I454" s="14"/>
      <x:c r="J454" s="14"/>
      <x:c r="K454" s="14" t="str">
        <x:v>NEEDS_WINDOW_BINDING</x:v>
      </x:c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  <x:c r="AA454" s="14"/>
      <x:c r="AB454" s="14"/>
      <x:c r="AC454" s="14"/>
      <x:c r="AD454" s="14"/>
      <x:c r="AE454" s="14"/>
      <x:c r="AF454" s="14"/>
      <x:c r="AG454" s="14"/>
      <x:c r="AH454" s="14"/>
      <x:c r="AI454" s="14"/>
      <x:c r="AJ454" s="14"/>
      <x:c r="AK454" s="14"/>
      <x:c r="AL454" s="14"/>
      <x:c r="AM454" s="14"/>
      <x:c r="AN454" s="14"/>
      <x:c r="AO454" s="14"/>
      <x:c r="AP454" s="14"/>
      <x:c r="AQ454" s="14"/>
      <x:c r="AR454" s="14"/>
      <x:c r="AS454" s="14"/>
      <x:c r="AT454" s="14"/>
      <x:c r="AU454" s="14"/>
      <x:c r="AV454" s="14"/>
      <x:c r="AW454" s="14"/>
      <x:c r="AX454" s="14"/>
      <x:c r="AY454" s="14"/>
      <x:c r="AZ454" s="14"/>
      <x:c r="BA454" s="14"/>
      <x:c r="BB454" s="14"/>
      <x:c r="BC454" s="14"/>
      <x:c r="BD454" s="14"/>
      <x:c r="BE454" s="14"/>
      <x:c r="BF454" s="14"/>
      <x:c r="BG454" s="14"/>
      <x:c r="BH454" s="14"/>
      <x:c r="BI454" s="14"/>
      <x:c r="BJ454" s="14"/>
      <x:c r="BK454" s="14"/>
      <x:c r="BL454" s="14"/>
      <x:c r="BM454" s="14"/>
      <x:c r="BN454" s="14"/>
      <x:c r="BO454" s="14"/>
      <x:c r="BP454" s="14"/>
      <x:c r="BQ454" s="14"/>
      <x:c r="BR454" s="14"/>
      <x:c r="BS454" s="14"/>
      <x:c r="BT454" s="14"/>
      <x:c r="BU454" s="14"/>
      <x:c r="BV454" s="14"/>
      <x:c r="BW454" s="14"/>
      <x:c r="BX454" s="14"/>
      <x:c r="BY454" s="14"/>
      <x:c r="BZ454" s="14"/>
      <x:c r="CA454" s="14"/>
      <x:c r="CB454" s="14"/>
      <x:c r="CC454" s="14"/>
      <x:c r="CD454" s="14"/>
      <x:c r="CE454" s="14"/>
    </x:row>
    <x:row r="455">
      <x:c r="A455" s="14" t="n">
        <x:v>454</x:v>
      </x:c>
      <x:c r="B455" s="14"/>
      <x:c r="C455" s="14" t="str">
        <x:v>CHECKING_EVENT</x:v>
      </x:c>
      <x:c r="D455" s="14" t="str">
        <x:v>Exploratory_Checking_611_Positional_Surrogate.xlsx</x:v>
      </x:c>
      <x:c r="E455" s="14"/>
      <x:c r="F455" s="14"/>
      <x:c r="G455" s="14"/>
      <x:c r="H455" s="14"/>
      <x:c r="I455" s="14"/>
      <x:c r="J455" s="14"/>
      <x:c r="K455" s="14" t="str">
        <x:v>NEEDS_WINDOW_BINDING</x:v>
      </x:c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  <x:c r="AA455" s="14"/>
      <x:c r="AB455" s="14"/>
      <x:c r="AC455" s="14"/>
      <x:c r="AD455" s="14"/>
      <x:c r="AE455" s="14"/>
      <x:c r="AF455" s="14"/>
      <x:c r="AG455" s="14"/>
      <x:c r="AH455" s="14"/>
      <x:c r="AI455" s="14"/>
      <x:c r="AJ455" s="14"/>
      <x:c r="AK455" s="14"/>
      <x:c r="AL455" s="14"/>
      <x:c r="AM455" s="14"/>
      <x:c r="AN455" s="14"/>
      <x:c r="AO455" s="14"/>
      <x:c r="AP455" s="14"/>
      <x:c r="AQ455" s="14"/>
      <x:c r="AR455" s="14"/>
      <x:c r="AS455" s="14"/>
      <x:c r="AT455" s="14"/>
      <x:c r="AU455" s="14"/>
      <x:c r="AV455" s="14"/>
      <x:c r="AW455" s="14"/>
      <x:c r="AX455" s="14"/>
      <x:c r="AY455" s="14"/>
      <x:c r="AZ455" s="14"/>
      <x:c r="BA455" s="14"/>
      <x:c r="BB455" s="14"/>
      <x:c r="BC455" s="14"/>
      <x:c r="BD455" s="14"/>
      <x:c r="BE455" s="14"/>
      <x:c r="BF455" s="14"/>
      <x:c r="BG455" s="14"/>
      <x:c r="BH455" s="14"/>
      <x:c r="BI455" s="14"/>
      <x:c r="BJ455" s="14"/>
      <x:c r="BK455" s="14"/>
      <x:c r="BL455" s="14"/>
      <x:c r="BM455" s="14"/>
      <x:c r="BN455" s="14"/>
      <x:c r="BO455" s="14"/>
      <x:c r="BP455" s="14"/>
      <x:c r="BQ455" s="14"/>
      <x:c r="BR455" s="14"/>
      <x:c r="BS455" s="14"/>
      <x:c r="BT455" s="14"/>
      <x:c r="BU455" s="14"/>
      <x:c r="BV455" s="14"/>
      <x:c r="BW455" s="14"/>
      <x:c r="BX455" s="14"/>
      <x:c r="BY455" s="14"/>
      <x:c r="BZ455" s="14"/>
      <x:c r="CA455" s="14"/>
      <x:c r="CB455" s="14"/>
      <x:c r="CC455" s="14"/>
      <x:c r="CD455" s="14"/>
      <x:c r="CE455" s="14"/>
    </x:row>
    <x:row r="456">
      <x:c r="A456" s="14" t="n">
        <x:v>455</x:v>
      </x:c>
      <x:c r="B456" s="14"/>
      <x:c r="C456" s="14" t="str">
        <x:v>CHECKING_EVENT</x:v>
      </x:c>
      <x:c r="D456" s="14" t="str">
        <x:v>Exploratory_Checking_611_Positional_Surrogate.xlsx</x:v>
      </x:c>
      <x:c r="E456" s="14"/>
      <x:c r="F456" s="14"/>
      <x:c r="G456" s="14"/>
      <x:c r="H456" s="14"/>
      <x:c r="I456" s="14"/>
      <x:c r="J456" s="14"/>
      <x:c r="K456" s="14" t="str">
        <x:v>NEEDS_WINDOW_BINDING</x:v>
      </x:c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4"/>
      <x:c r="AJ456" s="14"/>
      <x:c r="AK456" s="14"/>
      <x:c r="AL456" s="14"/>
      <x:c r="AM456" s="14"/>
      <x:c r="AN456" s="14"/>
      <x:c r="AO456" s="14"/>
      <x:c r="AP456" s="14"/>
      <x:c r="AQ456" s="14"/>
      <x:c r="AR456" s="14"/>
      <x:c r="AS456" s="14"/>
      <x:c r="AT456" s="14"/>
      <x:c r="AU456" s="14"/>
      <x:c r="AV456" s="14"/>
      <x:c r="AW456" s="14"/>
      <x:c r="AX456" s="14"/>
      <x:c r="AY456" s="14"/>
      <x:c r="AZ456" s="14"/>
      <x:c r="BA456" s="14"/>
      <x:c r="BB456" s="14"/>
      <x:c r="BC456" s="14"/>
      <x:c r="BD456" s="14"/>
      <x:c r="BE456" s="14"/>
      <x:c r="BF456" s="14"/>
      <x:c r="BG456" s="14"/>
      <x:c r="BH456" s="14"/>
      <x:c r="BI456" s="14"/>
      <x:c r="BJ456" s="14"/>
      <x:c r="BK456" s="14"/>
      <x:c r="BL456" s="14"/>
      <x:c r="BM456" s="14"/>
      <x:c r="BN456" s="14"/>
      <x:c r="BO456" s="14"/>
      <x:c r="BP456" s="14"/>
      <x:c r="BQ456" s="14"/>
      <x:c r="BR456" s="14"/>
      <x:c r="BS456" s="14"/>
      <x:c r="BT456" s="14"/>
      <x:c r="BU456" s="14"/>
      <x:c r="BV456" s="14"/>
      <x:c r="BW456" s="14"/>
      <x:c r="BX456" s="14"/>
      <x:c r="BY456" s="14"/>
      <x:c r="BZ456" s="14"/>
      <x:c r="CA456" s="14"/>
      <x:c r="CB456" s="14"/>
      <x:c r="CC456" s="14"/>
      <x:c r="CD456" s="14"/>
      <x:c r="CE456" s="14"/>
    </x:row>
    <x:row r="457">
      <x:c r="A457" s="14" t="n">
        <x:v>456</x:v>
      </x:c>
      <x:c r="B457" s="14"/>
      <x:c r="C457" s="14" t="str">
        <x:v>CHECKING_EVENT</x:v>
      </x:c>
      <x:c r="D457" s="14" t="str">
        <x:v>Exploratory_Checking_611_Positional_Surrogate.xlsx</x:v>
      </x:c>
      <x:c r="E457" s="14"/>
      <x:c r="F457" s="14"/>
      <x:c r="G457" s="14"/>
      <x:c r="H457" s="14"/>
      <x:c r="I457" s="14"/>
      <x:c r="J457" s="14"/>
      <x:c r="K457" s="14" t="str">
        <x:v>NEEDS_WINDOW_BINDING</x:v>
      </x:c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  <x:c r="AA457" s="14"/>
      <x:c r="AB457" s="14"/>
      <x:c r="AC457" s="14"/>
      <x:c r="AD457" s="14"/>
      <x:c r="AE457" s="14"/>
      <x:c r="AF457" s="14"/>
      <x:c r="AG457" s="14"/>
      <x:c r="AH457" s="14"/>
      <x:c r="AI457" s="14"/>
      <x:c r="AJ457" s="14"/>
      <x:c r="AK457" s="14"/>
      <x:c r="AL457" s="14"/>
      <x:c r="AM457" s="14"/>
      <x:c r="AN457" s="14"/>
      <x:c r="AO457" s="14"/>
      <x:c r="AP457" s="14"/>
      <x:c r="AQ457" s="14"/>
      <x:c r="AR457" s="14"/>
      <x:c r="AS457" s="14"/>
      <x:c r="AT457" s="14"/>
      <x:c r="AU457" s="14"/>
      <x:c r="AV457" s="14"/>
      <x:c r="AW457" s="14"/>
      <x:c r="AX457" s="14"/>
      <x:c r="AY457" s="14"/>
      <x:c r="AZ457" s="14"/>
      <x:c r="BA457" s="14"/>
      <x:c r="BB457" s="14"/>
      <x:c r="BC457" s="14"/>
      <x:c r="BD457" s="14"/>
      <x:c r="BE457" s="14"/>
      <x:c r="BF457" s="14"/>
      <x:c r="BG457" s="14"/>
      <x:c r="BH457" s="14"/>
      <x:c r="BI457" s="14"/>
      <x:c r="BJ457" s="14"/>
      <x:c r="BK457" s="14"/>
      <x:c r="BL457" s="14"/>
      <x:c r="BM457" s="14"/>
      <x:c r="BN457" s="14"/>
      <x:c r="BO457" s="14"/>
      <x:c r="BP457" s="14"/>
      <x:c r="BQ457" s="14"/>
      <x:c r="BR457" s="14"/>
      <x:c r="BS457" s="14"/>
      <x:c r="BT457" s="14"/>
      <x:c r="BU457" s="14"/>
      <x:c r="BV457" s="14"/>
      <x:c r="BW457" s="14"/>
      <x:c r="BX457" s="14"/>
      <x:c r="BY457" s="14"/>
      <x:c r="BZ457" s="14"/>
      <x:c r="CA457" s="14"/>
      <x:c r="CB457" s="14"/>
      <x:c r="CC457" s="14"/>
      <x:c r="CD457" s="14"/>
      <x:c r="CE457" s="14"/>
    </x:row>
    <x:row r="458">
      <x:c r="A458" s="14" t="n">
        <x:v>457</x:v>
      </x:c>
      <x:c r="B458" s="14"/>
      <x:c r="C458" s="14" t="str">
        <x:v>CHECKING_EVENT</x:v>
      </x:c>
      <x:c r="D458" s="14" t="str">
        <x:v>Exploratory_Checking_611_Positional_Surrogate.xlsx</x:v>
      </x:c>
      <x:c r="E458" s="14"/>
      <x:c r="F458" s="14"/>
      <x:c r="G458" s="14"/>
      <x:c r="H458" s="14"/>
      <x:c r="I458" s="14"/>
      <x:c r="J458" s="14"/>
      <x:c r="K458" s="14" t="str">
        <x:v>NEEDS_WINDOW_BINDING</x:v>
      </x:c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  <x:c r="AA458" s="14"/>
      <x:c r="AB458" s="14"/>
      <x:c r="AC458" s="14"/>
      <x:c r="AD458" s="14"/>
      <x:c r="AE458" s="14"/>
      <x:c r="AF458" s="14"/>
      <x:c r="AG458" s="14"/>
      <x:c r="AH458" s="14"/>
      <x:c r="AI458" s="14"/>
      <x:c r="AJ458" s="14"/>
      <x:c r="AK458" s="14"/>
      <x:c r="AL458" s="14"/>
      <x:c r="AM458" s="14"/>
      <x:c r="AN458" s="14"/>
      <x:c r="AO458" s="14"/>
      <x:c r="AP458" s="14"/>
      <x:c r="AQ458" s="14"/>
      <x:c r="AR458" s="14"/>
      <x:c r="AS458" s="14"/>
      <x:c r="AT458" s="14"/>
      <x:c r="AU458" s="14"/>
      <x:c r="AV458" s="14"/>
      <x:c r="AW458" s="14"/>
      <x:c r="AX458" s="14"/>
      <x:c r="AY458" s="14"/>
      <x:c r="AZ458" s="14"/>
      <x:c r="BA458" s="14"/>
      <x:c r="BB458" s="14"/>
      <x:c r="BC458" s="14"/>
      <x:c r="BD458" s="14"/>
      <x:c r="BE458" s="14"/>
      <x:c r="BF458" s="14"/>
      <x:c r="BG458" s="14"/>
      <x:c r="BH458" s="14"/>
      <x:c r="BI458" s="14"/>
      <x:c r="BJ458" s="14"/>
      <x:c r="BK458" s="14"/>
      <x:c r="BL458" s="14"/>
      <x:c r="BM458" s="14"/>
      <x:c r="BN458" s="14"/>
      <x:c r="BO458" s="14"/>
      <x:c r="BP458" s="14"/>
      <x:c r="BQ458" s="14"/>
      <x:c r="BR458" s="14"/>
      <x:c r="BS458" s="14"/>
      <x:c r="BT458" s="14"/>
      <x:c r="BU458" s="14"/>
      <x:c r="BV458" s="14"/>
      <x:c r="BW458" s="14"/>
      <x:c r="BX458" s="14"/>
      <x:c r="BY458" s="14"/>
      <x:c r="BZ458" s="14"/>
      <x:c r="CA458" s="14"/>
      <x:c r="CB458" s="14"/>
      <x:c r="CC458" s="14"/>
      <x:c r="CD458" s="14"/>
      <x:c r="CE458" s="14"/>
    </x:row>
    <x:row r="459">
      <x:c r="A459" s="14" t="n">
        <x:v>458</x:v>
      </x:c>
      <x:c r="B459" s="14"/>
      <x:c r="C459" s="14" t="str">
        <x:v>CHECKING_EVENT</x:v>
      </x:c>
      <x:c r="D459" s="14" t="str">
        <x:v>Exploratory_Checking_611_Positional_Surrogate.xlsx</x:v>
      </x:c>
      <x:c r="E459" s="14"/>
      <x:c r="F459" s="14"/>
      <x:c r="G459" s="14"/>
      <x:c r="H459" s="14"/>
      <x:c r="I459" s="14"/>
      <x:c r="J459" s="14"/>
      <x:c r="K459" s="14" t="str">
        <x:v>NEEDS_WINDOW_BINDING</x:v>
      </x:c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  <x:c r="AA459" s="14"/>
      <x:c r="AB459" s="14"/>
      <x:c r="AC459" s="14"/>
      <x:c r="AD459" s="14"/>
      <x:c r="AE459" s="14"/>
      <x:c r="AF459" s="14"/>
      <x:c r="AG459" s="14"/>
      <x:c r="AH459" s="14"/>
      <x:c r="AI459" s="14"/>
      <x:c r="AJ459" s="14"/>
      <x:c r="AK459" s="14"/>
      <x:c r="AL459" s="14"/>
      <x:c r="AM459" s="14"/>
      <x:c r="AN459" s="14"/>
      <x:c r="AO459" s="14"/>
      <x:c r="AP459" s="14"/>
      <x:c r="AQ459" s="14"/>
      <x:c r="AR459" s="14"/>
      <x:c r="AS459" s="14"/>
      <x:c r="AT459" s="14"/>
      <x:c r="AU459" s="14"/>
      <x:c r="AV459" s="14"/>
      <x:c r="AW459" s="14"/>
      <x:c r="AX459" s="14"/>
      <x:c r="AY459" s="14"/>
      <x:c r="AZ459" s="14"/>
      <x:c r="BA459" s="14"/>
      <x:c r="BB459" s="14"/>
      <x:c r="BC459" s="14"/>
      <x:c r="BD459" s="14"/>
      <x:c r="BE459" s="14"/>
      <x:c r="BF459" s="14"/>
      <x:c r="BG459" s="14"/>
      <x:c r="BH459" s="14"/>
      <x:c r="BI459" s="14"/>
      <x:c r="BJ459" s="14"/>
      <x:c r="BK459" s="14"/>
      <x:c r="BL459" s="14"/>
      <x:c r="BM459" s="14"/>
      <x:c r="BN459" s="14"/>
      <x:c r="BO459" s="14"/>
      <x:c r="BP459" s="14"/>
      <x:c r="BQ459" s="14"/>
      <x:c r="BR459" s="14"/>
      <x:c r="BS459" s="14"/>
      <x:c r="BT459" s="14"/>
      <x:c r="BU459" s="14"/>
      <x:c r="BV459" s="14"/>
      <x:c r="BW459" s="14"/>
      <x:c r="BX459" s="14"/>
      <x:c r="BY459" s="14"/>
      <x:c r="BZ459" s="14"/>
      <x:c r="CA459" s="14"/>
      <x:c r="CB459" s="14"/>
      <x:c r="CC459" s="14"/>
      <x:c r="CD459" s="14"/>
      <x:c r="CE459" s="14"/>
    </x:row>
    <x:row r="460">
      <x:c r="A460" s="14" t="n">
        <x:v>459</x:v>
      </x:c>
      <x:c r="B460" s="14"/>
      <x:c r="C460" s="14" t="str">
        <x:v>CHECKING_EVENT</x:v>
      </x:c>
      <x:c r="D460" s="14" t="str">
        <x:v>Exploratory_Checking_611_Positional_Surrogate.xlsx</x:v>
      </x:c>
      <x:c r="E460" s="14"/>
      <x:c r="F460" s="14"/>
      <x:c r="G460" s="14"/>
      <x:c r="H460" s="14"/>
      <x:c r="I460" s="14"/>
      <x:c r="J460" s="14"/>
      <x:c r="K460" s="14" t="str">
        <x:v>NEEDS_WINDOW_BINDING</x:v>
      </x:c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  <x:c r="AA460" s="14"/>
      <x:c r="AB460" s="14"/>
      <x:c r="AC460" s="14"/>
      <x:c r="AD460" s="14"/>
      <x:c r="AE460" s="14"/>
      <x:c r="AF460" s="14"/>
      <x:c r="AG460" s="14"/>
      <x:c r="AH460" s="14"/>
      <x:c r="AI460" s="14"/>
      <x:c r="AJ460" s="14"/>
      <x:c r="AK460" s="14"/>
      <x:c r="AL460" s="14"/>
      <x:c r="AM460" s="14"/>
      <x:c r="AN460" s="14"/>
      <x:c r="AO460" s="14"/>
      <x:c r="AP460" s="14"/>
      <x:c r="AQ460" s="14"/>
      <x:c r="AR460" s="14"/>
      <x:c r="AS460" s="14"/>
      <x:c r="AT460" s="14"/>
      <x:c r="AU460" s="14"/>
      <x:c r="AV460" s="14"/>
      <x:c r="AW460" s="14"/>
      <x:c r="AX460" s="14"/>
      <x:c r="AY460" s="14"/>
      <x:c r="AZ460" s="14"/>
      <x:c r="BA460" s="14"/>
      <x:c r="BB460" s="14"/>
      <x:c r="BC460" s="14"/>
      <x:c r="BD460" s="14"/>
      <x:c r="BE460" s="14"/>
      <x:c r="BF460" s="14"/>
      <x:c r="BG460" s="14"/>
      <x:c r="BH460" s="14"/>
      <x:c r="BI460" s="14"/>
      <x:c r="BJ460" s="14"/>
      <x:c r="BK460" s="14"/>
      <x:c r="BL460" s="14"/>
      <x:c r="BM460" s="14"/>
      <x:c r="BN460" s="14"/>
      <x:c r="BO460" s="14"/>
      <x:c r="BP460" s="14"/>
      <x:c r="BQ460" s="14"/>
      <x:c r="BR460" s="14"/>
      <x:c r="BS460" s="14"/>
      <x:c r="BT460" s="14"/>
      <x:c r="BU460" s="14"/>
      <x:c r="BV460" s="14"/>
      <x:c r="BW460" s="14"/>
      <x:c r="BX460" s="14"/>
      <x:c r="BY460" s="14"/>
      <x:c r="BZ460" s="14"/>
      <x:c r="CA460" s="14"/>
      <x:c r="CB460" s="14"/>
      <x:c r="CC460" s="14"/>
      <x:c r="CD460" s="14"/>
      <x:c r="CE460" s="14"/>
    </x:row>
    <x:row r="461">
      <x:c r="A461" s="14" t="n">
        <x:v>460</x:v>
      </x:c>
      <x:c r="B461" s="14"/>
      <x:c r="C461" s="14" t="str">
        <x:v>CHECKING_EVENT</x:v>
      </x:c>
      <x:c r="D461" s="14" t="str">
        <x:v>Exploratory_Checking_611_Positional_Surrogate.xlsx</x:v>
      </x:c>
      <x:c r="E461" s="14"/>
      <x:c r="F461" s="14"/>
      <x:c r="G461" s="14"/>
      <x:c r="H461" s="14"/>
      <x:c r="I461" s="14"/>
      <x:c r="J461" s="14"/>
      <x:c r="K461" s="14" t="str">
        <x:v>NEEDS_WINDOW_BINDING</x:v>
      </x:c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  <x:c r="AB461" s="14"/>
      <x:c r="AC461" s="14"/>
      <x:c r="AD461" s="14"/>
      <x:c r="AE461" s="14"/>
      <x:c r="AF461" s="14"/>
      <x:c r="AG461" s="14"/>
      <x:c r="AH461" s="14"/>
      <x:c r="AI461" s="14"/>
      <x:c r="AJ461" s="14"/>
      <x:c r="AK461" s="14"/>
      <x:c r="AL461" s="14"/>
      <x:c r="AM461" s="14"/>
      <x:c r="AN461" s="14"/>
      <x:c r="AO461" s="14"/>
      <x:c r="AP461" s="14"/>
      <x:c r="AQ461" s="14"/>
      <x:c r="AR461" s="14"/>
      <x:c r="AS461" s="14"/>
      <x:c r="AT461" s="14"/>
      <x:c r="AU461" s="14"/>
      <x:c r="AV461" s="14"/>
      <x:c r="AW461" s="14"/>
      <x:c r="AX461" s="14"/>
      <x:c r="AY461" s="14"/>
      <x:c r="AZ461" s="14"/>
      <x:c r="BA461" s="14"/>
      <x:c r="BB461" s="14"/>
      <x:c r="BC461" s="14"/>
      <x:c r="BD461" s="14"/>
      <x:c r="BE461" s="14"/>
      <x:c r="BF461" s="14"/>
      <x:c r="BG461" s="14"/>
      <x:c r="BH461" s="14"/>
      <x:c r="BI461" s="14"/>
      <x:c r="BJ461" s="14"/>
      <x:c r="BK461" s="14"/>
      <x:c r="BL461" s="14"/>
      <x:c r="BM461" s="14"/>
      <x:c r="BN461" s="14"/>
      <x:c r="BO461" s="14"/>
      <x:c r="BP461" s="14"/>
      <x:c r="BQ461" s="14"/>
      <x:c r="BR461" s="14"/>
      <x:c r="BS461" s="14"/>
      <x:c r="BT461" s="14"/>
      <x:c r="BU461" s="14"/>
      <x:c r="BV461" s="14"/>
      <x:c r="BW461" s="14"/>
      <x:c r="BX461" s="14"/>
      <x:c r="BY461" s="14"/>
      <x:c r="BZ461" s="14"/>
      <x:c r="CA461" s="14"/>
      <x:c r="CB461" s="14"/>
      <x:c r="CC461" s="14"/>
      <x:c r="CD461" s="14"/>
      <x:c r="CE461" s="14"/>
    </x:row>
    <x:row r="462">
      <x:c r="A462" s="14" t="n">
        <x:v>461</x:v>
      </x:c>
      <x:c r="B462" s="14"/>
      <x:c r="C462" s="14" t="str">
        <x:v>CHECKING_EVENT</x:v>
      </x:c>
      <x:c r="D462" s="14" t="str">
        <x:v>Exploratory_Checking_611_Positional_Surrogate.xlsx</x:v>
      </x:c>
      <x:c r="E462" s="14"/>
      <x:c r="F462" s="14"/>
      <x:c r="G462" s="14"/>
      <x:c r="H462" s="14"/>
      <x:c r="I462" s="14"/>
      <x:c r="J462" s="14"/>
      <x:c r="K462" s="14" t="str">
        <x:v>NEEDS_WINDOW_BINDING</x:v>
      </x:c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4"/>
      <x:c r="AJ462" s="14"/>
      <x:c r="AK462" s="14"/>
      <x:c r="AL462" s="14"/>
      <x:c r="AM462" s="14"/>
      <x:c r="AN462" s="14"/>
      <x:c r="AO462" s="14"/>
      <x:c r="AP462" s="14"/>
      <x:c r="AQ462" s="14"/>
      <x:c r="AR462" s="14"/>
      <x:c r="AS462" s="14"/>
      <x:c r="AT462" s="14"/>
      <x:c r="AU462" s="14"/>
      <x:c r="AV462" s="14"/>
      <x:c r="AW462" s="14"/>
      <x:c r="AX462" s="14"/>
      <x:c r="AY462" s="14"/>
      <x:c r="AZ462" s="14"/>
      <x:c r="BA462" s="14"/>
      <x:c r="BB462" s="14"/>
      <x:c r="BC462" s="14"/>
      <x:c r="BD462" s="14"/>
      <x:c r="BE462" s="14"/>
      <x:c r="BF462" s="14"/>
      <x:c r="BG462" s="14"/>
      <x:c r="BH462" s="14"/>
      <x:c r="BI462" s="14"/>
      <x:c r="BJ462" s="14"/>
      <x:c r="BK462" s="14"/>
      <x:c r="BL462" s="14"/>
      <x:c r="BM462" s="14"/>
      <x:c r="BN462" s="14"/>
      <x:c r="BO462" s="14"/>
      <x:c r="BP462" s="14"/>
      <x:c r="BQ462" s="14"/>
      <x:c r="BR462" s="14"/>
      <x:c r="BS462" s="14"/>
      <x:c r="BT462" s="14"/>
      <x:c r="BU462" s="14"/>
      <x:c r="BV462" s="14"/>
      <x:c r="BW462" s="14"/>
      <x:c r="BX462" s="14"/>
      <x:c r="BY462" s="14"/>
      <x:c r="BZ462" s="14"/>
      <x:c r="CA462" s="14"/>
      <x:c r="CB462" s="14"/>
      <x:c r="CC462" s="14"/>
      <x:c r="CD462" s="14"/>
      <x:c r="CE462" s="14"/>
    </x:row>
    <x:row r="463">
      <x:c r="A463" s="14" t="n">
        <x:v>462</x:v>
      </x:c>
      <x:c r="B463" s="14"/>
      <x:c r="C463" s="14" t="str">
        <x:v>CHECKING_EVENT</x:v>
      </x:c>
      <x:c r="D463" s="14" t="str">
        <x:v>Exploratory_Checking_611_Positional_Surrogate.xlsx</x:v>
      </x:c>
      <x:c r="E463" s="14"/>
      <x:c r="F463" s="14"/>
      <x:c r="G463" s="14"/>
      <x:c r="H463" s="14"/>
      <x:c r="I463" s="14"/>
      <x:c r="J463" s="14"/>
      <x:c r="K463" s="14" t="str">
        <x:v>NEEDS_WINDOW_BINDING</x:v>
      </x:c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  <x:c r="AA463" s="14"/>
      <x:c r="AB463" s="14"/>
      <x:c r="AC463" s="14"/>
      <x:c r="AD463" s="14"/>
      <x:c r="AE463" s="14"/>
      <x:c r="AF463" s="14"/>
      <x:c r="AG463" s="14"/>
      <x:c r="AH463" s="14"/>
      <x:c r="AI463" s="14"/>
      <x:c r="AJ463" s="14"/>
      <x:c r="AK463" s="14"/>
      <x:c r="AL463" s="14"/>
      <x:c r="AM463" s="14"/>
      <x:c r="AN463" s="14"/>
      <x:c r="AO463" s="14"/>
      <x:c r="AP463" s="14"/>
      <x:c r="AQ463" s="14"/>
      <x:c r="AR463" s="14"/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/>
      <x:c r="BC463" s="14"/>
      <x:c r="BD463" s="14"/>
      <x:c r="BE463" s="14"/>
      <x:c r="BF463" s="14"/>
      <x:c r="BG463" s="14"/>
      <x:c r="BH463" s="14"/>
      <x:c r="BI463" s="14"/>
      <x:c r="BJ463" s="14"/>
      <x:c r="BK463" s="14"/>
      <x:c r="BL463" s="14"/>
      <x:c r="BM463" s="14"/>
      <x:c r="BN463" s="14"/>
      <x:c r="BO463" s="14"/>
      <x:c r="BP463" s="14"/>
      <x:c r="BQ463" s="14"/>
      <x:c r="BR463" s="14"/>
      <x:c r="BS463" s="14"/>
      <x:c r="BT463" s="14"/>
      <x:c r="BU463" s="14"/>
      <x:c r="BV463" s="14"/>
      <x:c r="BW463" s="14"/>
      <x:c r="BX463" s="14"/>
      <x:c r="BY463" s="14"/>
      <x:c r="BZ463" s="14"/>
      <x:c r="CA463" s="14"/>
      <x:c r="CB463" s="14"/>
      <x:c r="CC463" s="14"/>
      <x:c r="CD463" s="14"/>
      <x:c r="CE463" s="14"/>
    </x:row>
    <x:row r="464">
      <x:c r="A464" s="14" t="n">
        <x:v>463</x:v>
      </x:c>
      <x:c r="B464" s="14"/>
      <x:c r="C464" s="14" t="str">
        <x:v>CHECKING_EVENT</x:v>
      </x:c>
      <x:c r="D464" s="14" t="str">
        <x:v>Exploratory_Checking_611_Positional_Surrogate.xlsx</x:v>
      </x:c>
      <x:c r="E464" s="14"/>
      <x:c r="F464" s="14"/>
      <x:c r="G464" s="14"/>
      <x:c r="H464" s="14"/>
      <x:c r="I464" s="14"/>
      <x:c r="J464" s="14"/>
      <x:c r="K464" s="14" t="str">
        <x:v>NEEDS_WINDOW_BINDING</x:v>
      </x:c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  <x:c r="AA464" s="14"/>
      <x:c r="AB464" s="14"/>
      <x:c r="AC464" s="14"/>
      <x:c r="AD464" s="14"/>
      <x:c r="AE464" s="14"/>
      <x:c r="AF464" s="14"/>
      <x:c r="AG464" s="14"/>
      <x:c r="AH464" s="14"/>
      <x:c r="AI464" s="14"/>
      <x:c r="AJ464" s="14"/>
      <x:c r="AK464" s="14"/>
      <x:c r="AL464" s="14"/>
      <x:c r="AM464" s="14"/>
      <x:c r="AN464" s="14"/>
      <x:c r="AO464" s="14"/>
      <x:c r="AP464" s="14"/>
      <x:c r="AQ464" s="14"/>
      <x:c r="AR464" s="14"/>
      <x:c r="AS464" s="14"/>
      <x:c r="AT464" s="14"/>
      <x:c r="AU464" s="14"/>
      <x:c r="AV464" s="14"/>
      <x:c r="AW464" s="14"/>
      <x:c r="AX464" s="14"/>
      <x:c r="AY464" s="14"/>
      <x:c r="AZ464" s="14"/>
      <x:c r="BA464" s="14"/>
      <x:c r="BB464" s="14"/>
      <x:c r="BC464" s="14"/>
      <x:c r="BD464" s="14"/>
      <x:c r="BE464" s="14"/>
      <x:c r="BF464" s="14"/>
      <x:c r="BG464" s="14"/>
      <x:c r="BH464" s="14"/>
      <x:c r="BI464" s="14"/>
      <x:c r="BJ464" s="14"/>
      <x:c r="BK464" s="14"/>
      <x:c r="BL464" s="14"/>
      <x:c r="BM464" s="14"/>
      <x:c r="BN464" s="14"/>
      <x:c r="BO464" s="14"/>
      <x:c r="BP464" s="14"/>
      <x:c r="BQ464" s="14"/>
      <x:c r="BR464" s="14"/>
      <x:c r="BS464" s="14"/>
      <x:c r="BT464" s="14"/>
      <x:c r="BU464" s="14"/>
      <x:c r="BV464" s="14"/>
      <x:c r="BW464" s="14"/>
      <x:c r="BX464" s="14"/>
      <x:c r="BY464" s="14"/>
      <x:c r="BZ464" s="14"/>
      <x:c r="CA464" s="14"/>
      <x:c r="CB464" s="14"/>
      <x:c r="CC464" s="14"/>
      <x:c r="CD464" s="14"/>
      <x:c r="CE464" s="14"/>
    </x:row>
    <x:row r="465">
      <x:c r="A465" s="14" t="n">
        <x:v>464</x:v>
      </x:c>
      <x:c r="B465" s="14"/>
      <x:c r="C465" s="14" t="str">
        <x:v>CHECKING_EVENT</x:v>
      </x:c>
      <x:c r="D465" s="14" t="str">
        <x:v>Exploratory_Checking_611_Positional_Surrogate.xlsx</x:v>
      </x:c>
      <x:c r="E465" s="14"/>
      <x:c r="F465" s="14"/>
      <x:c r="G465" s="14"/>
      <x:c r="H465" s="14"/>
      <x:c r="I465" s="14"/>
      <x:c r="J465" s="14"/>
      <x:c r="K465" s="14" t="str">
        <x:v>NEEDS_WINDOW_BINDING</x:v>
      </x:c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  <x:c r="AA465" s="14"/>
      <x:c r="AB465" s="14"/>
      <x:c r="AC465" s="14"/>
      <x:c r="AD465" s="14"/>
      <x:c r="AE465" s="14"/>
      <x:c r="AF465" s="14"/>
      <x:c r="AG465" s="14"/>
      <x:c r="AH465" s="14"/>
      <x:c r="AI465" s="14"/>
      <x:c r="AJ465" s="14"/>
      <x:c r="AK465" s="14"/>
      <x:c r="AL465" s="14"/>
      <x:c r="AM465" s="14"/>
      <x:c r="AN465" s="14"/>
      <x:c r="AO465" s="14"/>
      <x:c r="AP465" s="14"/>
      <x:c r="AQ465" s="14"/>
      <x:c r="AR465" s="14"/>
      <x:c r="AS465" s="14"/>
      <x:c r="AT465" s="14"/>
      <x:c r="AU465" s="14"/>
      <x:c r="AV465" s="14"/>
      <x:c r="AW465" s="14"/>
      <x:c r="AX465" s="14"/>
      <x:c r="AY465" s="14"/>
      <x:c r="AZ465" s="14"/>
      <x:c r="BA465" s="14"/>
      <x:c r="BB465" s="14"/>
      <x:c r="BC465" s="14"/>
      <x:c r="BD465" s="14"/>
      <x:c r="BE465" s="14"/>
      <x:c r="BF465" s="14"/>
      <x:c r="BG465" s="14"/>
      <x:c r="BH465" s="14"/>
      <x:c r="BI465" s="14"/>
      <x:c r="BJ465" s="14"/>
      <x:c r="BK465" s="14"/>
      <x:c r="BL465" s="14"/>
      <x:c r="BM465" s="14"/>
      <x:c r="BN465" s="14"/>
      <x:c r="BO465" s="14"/>
      <x:c r="BP465" s="14"/>
      <x:c r="BQ465" s="14"/>
      <x:c r="BR465" s="14"/>
      <x:c r="BS465" s="14"/>
      <x:c r="BT465" s="14"/>
      <x:c r="BU465" s="14"/>
      <x:c r="BV465" s="14"/>
      <x:c r="BW465" s="14"/>
      <x:c r="BX465" s="14"/>
      <x:c r="BY465" s="14"/>
      <x:c r="BZ465" s="14"/>
      <x:c r="CA465" s="14"/>
      <x:c r="CB465" s="14"/>
      <x:c r="CC465" s="14"/>
      <x:c r="CD465" s="14"/>
      <x:c r="CE465" s="14"/>
    </x:row>
    <x:row r="466">
      <x:c r="A466" s="14" t="n">
        <x:v>465</x:v>
      </x:c>
      <x:c r="B466" s="14"/>
      <x:c r="C466" s="14" t="str">
        <x:v>CHECKING_EVENT</x:v>
      </x:c>
      <x:c r="D466" s="14" t="str">
        <x:v>Exploratory_Checking_611_Positional_Surrogate.xlsx</x:v>
      </x:c>
      <x:c r="E466" s="14"/>
      <x:c r="F466" s="14"/>
      <x:c r="G466" s="14"/>
      <x:c r="H466" s="14"/>
      <x:c r="I466" s="14"/>
      <x:c r="J466" s="14"/>
      <x:c r="K466" s="14" t="str">
        <x:v>NEEDS_WINDOW_BINDING</x:v>
      </x:c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  <x:c r="AA466" s="14"/>
      <x:c r="AB466" s="14"/>
      <x:c r="AC466" s="14"/>
      <x:c r="AD466" s="14"/>
      <x:c r="AE466" s="14"/>
      <x:c r="AF466" s="14"/>
      <x:c r="AG466" s="14"/>
      <x:c r="AH466" s="14"/>
      <x:c r="AI466" s="14"/>
      <x:c r="AJ466" s="14"/>
      <x:c r="AK466" s="14"/>
      <x:c r="AL466" s="14"/>
      <x:c r="AM466" s="14"/>
      <x:c r="AN466" s="14"/>
      <x:c r="AO466" s="14"/>
      <x:c r="AP466" s="14"/>
      <x:c r="AQ466" s="14"/>
      <x:c r="AR466" s="14"/>
      <x:c r="AS466" s="14"/>
      <x:c r="AT466" s="14"/>
      <x:c r="AU466" s="14"/>
      <x:c r="AV466" s="14"/>
      <x:c r="AW466" s="14"/>
      <x:c r="AX466" s="14"/>
      <x:c r="AY466" s="14"/>
      <x:c r="AZ466" s="14"/>
      <x:c r="BA466" s="14"/>
      <x:c r="BB466" s="14"/>
      <x:c r="BC466" s="14"/>
      <x:c r="BD466" s="14"/>
      <x:c r="BE466" s="14"/>
      <x:c r="BF466" s="14"/>
      <x:c r="BG466" s="14"/>
      <x:c r="BH466" s="14"/>
      <x:c r="BI466" s="14"/>
      <x:c r="BJ466" s="14"/>
      <x:c r="BK466" s="14"/>
      <x:c r="BL466" s="14"/>
      <x:c r="BM466" s="14"/>
      <x:c r="BN466" s="14"/>
      <x:c r="BO466" s="14"/>
      <x:c r="BP466" s="14"/>
      <x:c r="BQ466" s="14"/>
      <x:c r="BR466" s="14"/>
      <x:c r="BS466" s="14"/>
      <x:c r="BT466" s="14"/>
      <x:c r="BU466" s="14"/>
      <x:c r="BV466" s="14"/>
      <x:c r="BW466" s="14"/>
      <x:c r="BX466" s="14"/>
      <x:c r="BY466" s="14"/>
      <x:c r="BZ466" s="14"/>
      <x:c r="CA466" s="14"/>
      <x:c r="CB466" s="14"/>
      <x:c r="CC466" s="14"/>
      <x:c r="CD466" s="14"/>
      <x:c r="CE466" s="14"/>
    </x:row>
    <x:row r="467">
      <x:c r="A467" s="14" t="n">
        <x:v>466</x:v>
      </x:c>
      <x:c r="B467" s="14"/>
      <x:c r="C467" s="14" t="str">
        <x:v>CHECKING_EVENT</x:v>
      </x:c>
      <x:c r="D467" s="14" t="str">
        <x:v>Exploratory_Checking_611_Positional_Surrogate.xlsx</x:v>
      </x:c>
      <x:c r="E467" s="14"/>
      <x:c r="F467" s="14"/>
      <x:c r="G467" s="14"/>
      <x:c r="H467" s="14"/>
      <x:c r="I467" s="14"/>
      <x:c r="J467" s="14"/>
      <x:c r="K467" s="14" t="str">
        <x:v>NEEDS_WINDOW_BINDING</x:v>
      </x:c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  <x:c r="AA467" s="14"/>
      <x:c r="AB467" s="14"/>
      <x:c r="AC467" s="14"/>
      <x:c r="AD467" s="14"/>
      <x:c r="AE467" s="14"/>
      <x:c r="AF467" s="14"/>
      <x:c r="AG467" s="14"/>
      <x:c r="AH467" s="14"/>
      <x:c r="AI467" s="14"/>
      <x:c r="AJ467" s="14"/>
      <x:c r="AK467" s="14"/>
      <x:c r="AL467" s="14"/>
      <x:c r="AM467" s="14"/>
      <x:c r="AN467" s="14"/>
      <x:c r="AO467" s="14"/>
      <x:c r="AP467" s="14"/>
      <x:c r="AQ467" s="14"/>
      <x:c r="AR467" s="14"/>
      <x:c r="AS467" s="14"/>
      <x:c r="AT467" s="14"/>
      <x:c r="AU467" s="14"/>
      <x:c r="AV467" s="14"/>
      <x:c r="AW467" s="14"/>
      <x:c r="AX467" s="14"/>
      <x:c r="AY467" s="14"/>
      <x:c r="AZ467" s="14"/>
      <x:c r="BA467" s="14"/>
      <x:c r="BB467" s="14"/>
      <x:c r="BC467" s="14"/>
      <x:c r="BD467" s="14"/>
      <x:c r="BE467" s="14"/>
      <x:c r="BF467" s="14"/>
      <x:c r="BG467" s="14"/>
      <x:c r="BH467" s="14"/>
      <x:c r="BI467" s="14"/>
      <x:c r="BJ467" s="14"/>
      <x:c r="BK467" s="14"/>
      <x:c r="BL467" s="14"/>
      <x:c r="BM467" s="14"/>
      <x:c r="BN467" s="14"/>
      <x:c r="BO467" s="14"/>
      <x:c r="BP467" s="14"/>
      <x:c r="BQ467" s="14"/>
      <x:c r="BR467" s="14"/>
      <x:c r="BS467" s="14"/>
      <x:c r="BT467" s="14"/>
      <x:c r="BU467" s="14"/>
      <x:c r="BV467" s="14"/>
      <x:c r="BW467" s="14"/>
      <x:c r="BX467" s="14"/>
      <x:c r="BY467" s="14"/>
      <x:c r="BZ467" s="14"/>
      <x:c r="CA467" s="14"/>
      <x:c r="CB467" s="14"/>
      <x:c r="CC467" s="14"/>
      <x:c r="CD467" s="14"/>
      <x:c r="CE467" s="14"/>
    </x:row>
    <x:row r="468">
      <x:c r="A468" s="14" t="n">
        <x:v>467</x:v>
      </x:c>
      <x:c r="B468" s="14"/>
      <x:c r="C468" s="14" t="str">
        <x:v>CHECKING_EVENT</x:v>
      </x:c>
      <x:c r="D468" s="14" t="str">
        <x:v>Exploratory_Checking_611_Positional_Surrogate.xlsx</x:v>
      </x:c>
      <x:c r="E468" s="14"/>
      <x:c r="F468" s="14"/>
      <x:c r="G468" s="14"/>
      <x:c r="H468" s="14"/>
      <x:c r="I468" s="14"/>
      <x:c r="J468" s="14"/>
      <x:c r="K468" s="14" t="str">
        <x:v>NEEDS_WINDOW_BINDING</x:v>
      </x:c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  <x:c r="AA468" s="14"/>
      <x:c r="AB468" s="14"/>
      <x:c r="AC468" s="14"/>
      <x:c r="AD468" s="14"/>
      <x:c r="AE468" s="14"/>
      <x:c r="AF468" s="14"/>
      <x:c r="AG468" s="14"/>
      <x:c r="AH468" s="14"/>
      <x:c r="AI468" s="14"/>
      <x:c r="AJ468" s="14"/>
      <x:c r="AK468" s="14"/>
      <x:c r="AL468" s="14"/>
      <x:c r="AM468" s="14"/>
      <x:c r="AN468" s="14"/>
      <x:c r="AO468" s="14"/>
      <x:c r="AP468" s="14"/>
      <x:c r="AQ468" s="14"/>
      <x:c r="AR468" s="14"/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4"/>
      <x:c r="BC468" s="14"/>
      <x:c r="BD468" s="14"/>
      <x:c r="BE468" s="14"/>
      <x:c r="BF468" s="14"/>
      <x:c r="BG468" s="14"/>
      <x:c r="BH468" s="14"/>
      <x:c r="BI468" s="14"/>
      <x:c r="BJ468" s="14"/>
      <x:c r="BK468" s="14"/>
      <x:c r="BL468" s="14"/>
      <x:c r="BM468" s="14"/>
      <x:c r="BN468" s="14"/>
      <x:c r="BO468" s="14"/>
      <x:c r="BP468" s="14"/>
      <x:c r="BQ468" s="14"/>
      <x:c r="BR468" s="14"/>
      <x:c r="BS468" s="14"/>
      <x:c r="BT468" s="14"/>
      <x:c r="BU468" s="14"/>
      <x:c r="BV468" s="14"/>
      <x:c r="BW468" s="14"/>
      <x:c r="BX468" s="14"/>
      <x:c r="BY468" s="14"/>
      <x:c r="BZ468" s="14"/>
      <x:c r="CA468" s="14"/>
      <x:c r="CB468" s="14"/>
      <x:c r="CC468" s="14"/>
      <x:c r="CD468" s="14"/>
      <x:c r="CE468" s="14"/>
    </x:row>
    <x:row r="469">
      <x:c r="A469" s="14" t="n">
        <x:v>468</x:v>
      </x:c>
      <x:c r="B469" s="14"/>
      <x:c r="C469" s="14" t="str">
        <x:v>CHECKING_EVENT</x:v>
      </x:c>
      <x:c r="D469" s="14" t="str">
        <x:v>Exploratory_Checking_611_Positional_Surrogate.xlsx</x:v>
      </x:c>
      <x:c r="E469" s="14"/>
      <x:c r="F469" s="14"/>
      <x:c r="G469" s="14"/>
      <x:c r="H469" s="14"/>
      <x:c r="I469" s="14"/>
      <x:c r="J469" s="14"/>
      <x:c r="K469" s="14" t="str">
        <x:v>NEEDS_WINDOW_BINDING</x:v>
      </x:c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  <x:c r="AA469" s="14"/>
      <x:c r="AB469" s="14"/>
      <x:c r="AC469" s="14"/>
      <x:c r="AD469" s="14"/>
      <x:c r="AE469" s="14"/>
      <x:c r="AF469" s="14"/>
      <x:c r="AG469" s="14"/>
      <x:c r="AH469" s="14"/>
      <x:c r="AI469" s="14"/>
      <x:c r="AJ469" s="14"/>
      <x:c r="AK469" s="14"/>
      <x:c r="AL469" s="14"/>
      <x:c r="AM469" s="14"/>
      <x:c r="AN469" s="14"/>
      <x:c r="AO469" s="14"/>
      <x:c r="AP469" s="14"/>
      <x:c r="AQ469" s="14"/>
      <x:c r="AR469" s="14"/>
      <x:c r="AS469" s="14"/>
      <x:c r="AT469" s="14"/>
      <x:c r="AU469" s="14"/>
      <x:c r="AV469" s="14"/>
      <x:c r="AW469" s="14"/>
      <x:c r="AX469" s="14"/>
      <x:c r="AY469" s="14"/>
      <x:c r="AZ469" s="14"/>
      <x:c r="BA469" s="14"/>
      <x:c r="BB469" s="14"/>
      <x:c r="BC469" s="14"/>
      <x:c r="BD469" s="14"/>
      <x:c r="BE469" s="14"/>
      <x:c r="BF469" s="14"/>
      <x:c r="BG469" s="14"/>
      <x:c r="BH469" s="14"/>
      <x:c r="BI469" s="14"/>
      <x:c r="BJ469" s="14"/>
      <x:c r="BK469" s="14"/>
      <x:c r="BL469" s="14"/>
      <x:c r="BM469" s="14"/>
      <x:c r="BN469" s="14"/>
      <x:c r="BO469" s="14"/>
      <x:c r="BP469" s="14"/>
      <x:c r="BQ469" s="14"/>
      <x:c r="BR469" s="14"/>
      <x:c r="BS469" s="14"/>
      <x:c r="BT469" s="14"/>
      <x:c r="BU469" s="14"/>
      <x:c r="BV469" s="14"/>
      <x:c r="BW469" s="14"/>
      <x:c r="BX469" s="14"/>
      <x:c r="BY469" s="14"/>
      <x:c r="BZ469" s="14"/>
      <x:c r="CA469" s="14"/>
      <x:c r="CB469" s="14"/>
      <x:c r="CC469" s="14"/>
      <x:c r="CD469" s="14"/>
      <x:c r="CE469" s="14"/>
    </x:row>
    <x:row r="470">
      <x:c r="A470" s="14" t="n">
        <x:v>469</x:v>
      </x:c>
      <x:c r="B470" s="14"/>
      <x:c r="C470" s="14" t="str">
        <x:v>CHECKING_EVENT</x:v>
      </x:c>
      <x:c r="D470" s="14" t="str">
        <x:v>Exploratory_Checking_611_Positional_Surrogate.xlsx</x:v>
      </x:c>
      <x:c r="E470" s="14"/>
      <x:c r="F470" s="14"/>
      <x:c r="G470" s="14"/>
      <x:c r="H470" s="14"/>
      <x:c r="I470" s="14"/>
      <x:c r="J470" s="14"/>
      <x:c r="K470" s="14" t="str">
        <x:v>NEEDS_WINDOW_BINDING</x:v>
      </x:c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  <x:c r="AB470" s="14"/>
      <x:c r="AC470" s="14"/>
      <x:c r="AD470" s="14"/>
      <x:c r="AE470" s="14"/>
      <x:c r="AF470" s="14"/>
      <x:c r="AG470" s="14"/>
      <x:c r="AH470" s="14"/>
      <x:c r="AI470" s="14"/>
      <x:c r="AJ470" s="14"/>
      <x:c r="AK470" s="14"/>
      <x:c r="AL470" s="14"/>
      <x:c r="AM470" s="14"/>
      <x:c r="AN470" s="14"/>
      <x:c r="AO470" s="14"/>
      <x:c r="AP470" s="14"/>
      <x:c r="AQ470" s="14"/>
      <x:c r="AR470" s="14"/>
      <x:c r="AS470" s="14"/>
      <x:c r="AT470" s="14"/>
      <x:c r="AU470" s="14"/>
      <x:c r="AV470" s="14"/>
      <x:c r="AW470" s="14"/>
      <x:c r="AX470" s="14"/>
      <x:c r="AY470" s="14"/>
      <x:c r="AZ470" s="14"/>
      <x:c r="BA470" s="14"/>
      <x:c r="BB470" s="14"/>
      <x:c r="BC470" s="14"/>
      <x:c r="BD470" s="14"/>
      <x:c r="BE470" s="14"/>
      <x:c r="BF470" s="14"/>
      <x:c r="BG470" s="14"/>
      <x:c r="BH470" s="14"/>
      <x:c r="BI470" s="14"/>
      <x:c r="BJ470" s="14"/>
      <x:c r="BK470" s="14"/>
      <x:c r="BL470" s="14"/>
      <x:c r="BM470" s="14"/>
      <x:c r="BN470" s="14"/>
      <x:c r="BO470" s="14"/>
      <x:c r="BP470" s="14"/>
      <x:c r="BQ470" s="14"/>
      <x:c r="BR470" s="14"/>
      <x:c r="BS470" s="14"/>
      <x:c r="BT470" s="14"/>
      <x:c r="BU470" s="14"/>
      <x:c r="BV470" s="14"/>
      <x:c r="BW470" s="14"/>
      <x:c r="BX470" s="14"/>
      <x:c r="BY470" s="14"/>
      <x:c r="BZ470" s="14"/>
      <x:c r="CA470" s="14"/>
      <x:c r="CB470" s="14"/>
      <x:c r="CC470" s="14"/>
      <x:c r="CD470" s="14"/>
      <x:c r="CE470" s="14"/>
    </x:row>
    <x:row r="471">
      <x:c r="A471" s="14" t="n">
        <x:v>470</x:v>
      </x:c>
      <x:c r="B471" s="14"/>
      <x:c r="C471" s="14" t="str">
        <x:v>CHECKING_EVENT</x:v>
      </x:c>
      <x:c r="D471" s="14" t="str">
        <x:v>Exploratory_Checking_611_Positional_Surrogate.xlsx</x:v>
      </x:c>
      <x:c r="E471" s="14"/>
      <x:c r="F471" s="14"/>
      <x:c r="G471" s="14"/>
      <x:c r="H471" s="14"/>
      <x:c r="I471" s="14"/>
      <x:c r="J471" s="14"/>
      <x:c r="K471" s="14" t="str">
        <x:v>NEEDS_WINDOW_BINDING</x:v>
      </x:c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  <x:c r="AA471" s="14"/>
      <x:c r="AB471" s="14"/>
      <x:c r="AC471" s="14"/>
      <x:c r="AD471" s="14"/>
      <x:c r="AE471" s="14"/>
      <x:c r="AF471" s="14"/>
      <x:c r="AG471" s="14"/>
      <x:c r="AH471" s="14"/>
      <x:c r="AI471" s="14"/>
      <x:c r="AJ471" s="14"/>
      <x:c r="AK471" s="14"/>
      <x:c r="AL471" s="14"/>
      <x:c r="AM471" s="14"/>
      <x:c r="AN471" s="14"/>
      <x:c r="AO471" s="14"/>
      <x:c r="AP471" s="14"/>
      <x:c r="AQ471" s="14"/>
      <x:c r="AR471" s="14"/>
      <x:c r="AS471" s="14"/>
      <x:c r="AT471" s="14"/>
      <x:c r="AU471" s="14"/>
      <x:c r="AV471" s="14"/>
      <x:c r="AW471" s="14"/>
      <x:c r="AX471" s="14"/>
      <x:c r="AY471" s="14"/>
      <x:c r="AZ471" s="14"/>
      <x:c r="BA471" s="14"/>
      <x:c r="BB471" s="14"/>
      <x:c r="BC471" s="14"/>
      <x:c r="BD471" s="14"/>
      <x:c r="BE471" s="14"/>
      <x:c r="BF471" s="14"/>
      <x:c r="BG471" s="14"/>
      <x:c r="BH471" s="14"/>
      <x:c r="BI471" s="14"/>
      <x:c r="BJ471" s="14"/>
      <x:c r="BK471" s="14"/>
      <x:c r="BL471" s="14"/>
      <x:c r="BM471" s="14"/>
      <x:c r="BN471" s="14"/>
      <x:c r="BO471" s="14"/>
      <x:c r="BP471" s="14"/>
      <x:c r="BQ471" s="14"/>
      <x:c r="BR471" s="14"/>
      <x:c r="BS471" s="14"/>
      <x:c r="BT471" s="14"/>
      <x:c r="BU471" s="14"/>
      <x:c r="BV471" s="14"/>
      <x:c r="BW471" s="14"/>
      <x:c r="BX471" s="14"/>
      <x:c r="BY471" s="14"/>
      <x:c r="BZ471" s="14"/>
      <x:c r="CA471" s="14"/>
      <x:c r="CB471" s="14"/>
      <x:c r="CC471" s="14"/>
      <x:c r="CD471" s="14"/>
      <x:c r="CE471" s="14"/>
    </x:row>
    <x:row r="472">
      <x:c r="A472" s="14" t="n">
        <x:v>471</x:v>
      </x:c>
      <x:c r="B472" s="14"/>
      <x:c r="C472" s="14" t="str">
        <x:v>CHECKING_EVENT</x:v>
      </x:c>
      <x:c r="D472" s="14" t="str">
        <x:v>Exploratory_Checking_611_Positional_Surrogate.xlsx</x:v>
      </x:c>
      <x:c r="E472" s="14"/>
      <x:c r="F472" s="14"/>
      <x:c r="G472" s="14"/>
      <x:c r="H472" s="14"/>
      <x:c r="I472" s="14"/>
      <x:c r="J472" s="14"/>
      <x:c r="K472" s="14" t="str">
        <x:v>NEEDS_WINDOW_BINDING</x:v>
      </x:c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  <x:c r="AB472" s="14"/>
      <x:c r="AC472" s="14"/>
      <x:c r="AD472" s="14"/>
      <x:c r="AE472" s="14"/>
      <x:c r="AF472" s="14"/>
      <x:c r="AG472" s="14"/>
      <x:c r="AH472" s="14"/>
      <x:c r="AI472" s="14"/>
      <x:c r="AJ472" s="14"/>
      <x:c r="AK472" s="14"/>
      <x:c r="AL472" s="14"/>
      <x:c r="AM472" s="14"/>
      <x:c r="AN472" s="14"/>
      <x:c r="AO472" s="14"/>
      <x:c r="AP472" s="14"/>
      <x:c r="AQ472" s="14"/>
      <x:c r="AR472" s="14"/>
      <x:c r="AS472" s="14"/>
      <x:c r="AT472" s="14"/>
      <x:c r="AU472" s="14"/>
      <x:c r="AV472" s="14"/>
      <x:c r="AW472" s="14"/>
      <x:c r="AX472" s="14"/>
      <x:c r="AY472" s="14"/>
      <x:c r="AZ472" s="14"/>
      <x:c r="BA472" s="14"/>
      <x:c r="BB472" s="14"/>
      <x:c r="BC472" s="14"/>
      <x:c r="BD472" s="14"/>
      <x:c r="BE472" s="14"/>
      <x:c r="BF472" s="14"/>
      <x:c r="BG472" s="14"/>
      <x:c r="BH472" s="14"/>
      <x:c r="BI472" s="14"/>
      <x:c r="BJ472" s="14"/>
      <x:c r="BK472" s="14"/>
      <x:c r="BL472" s="14"/>
      <x:c r="BM472" s="14"/>
      <x:c r="BN472" s="14"/>
      <x:c r="BO472" s="14"/>
      <x:c r="BP472" s="14"/>
      <x:c r="BQ472" s="14"/>
      <x:c r="BR472" s="14"/>
      <x:c r="BS472" s="14"/>
      <x:c r="BT472" s="14"/>
      <x:c r="BU472" s="14"/>
      <x:c r="BV472" s="14"/>
      <x:c r="BW472" s="14"/>
      <x:c r="BX472" s="14"/>
      <x:c r="BY472" s="14"/>
      <x:c r="BZ472" s="14"/>
      <x:c r="CA472" s="14"/>
      <x:c r="CB472" s="14"/>
      <x:c r="CC472" s="14"/>
      <x:c r="CD472" s="14"/>
      <x:c r="CE472" s="14"/>
    </x:row>
    <x:row r="473">
      <x:c r="A473" s="14" t="n">
        <x:v>472</x:v>
      </x:c>
      <x:c r="B473" s="14"/>
      <x:c r="C473" s="14" t="str">
        <x:v>CHECKING_EVENT</x:v>
      </x:c>
      <x:c r="D473" s="14" t="str">
        <x:v>Exploratory_Checking_611_Positional_Surrogate.xlsx</x:v>
      </x:c>
      <x:c r="E473" s="14"/>
      <x:c r="F473" s="14"/>
      <x:c r="G473" s="14"/>
      <x:c r="H473" s="14"/>
      <x:c r="I473" s="14"/>
      <x:c r="J473" s="14"/>
      <x:c r="K473" s="14" t="str">
        <x:v>NEEDS_WINDOW_BINDING</x:v>
      </x:c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4"/>
      <x:c r="AB473" s="14"/>
      <x:c r="AC473" s="14"/>
      <x:c r="AD473" s="14"/>
      <x:c r="AE473" s="14"/>
      <x:c r="AF473" s="14"/>
      <x:c r="AG473" s="14"/>
      <x:c r="AH473" s="14"/>
      <x:c r="AI473" s="14"/>
      <x:c r="AJ473" s="14"/>
      <x:c r="AK473" s="14"/>
      <x:c r="AL473" s="14"/>
      <x:c r="AM473" s="14"/>
      <x:c r="AN473" s="14"/>
      <x:c r="AO473" s="14"/>
      <x:c r="AP473" s="14"/>
      <x:c r="AQ473" s="14"/>
      <x:c r="AR473" s="14"/>
      <x:c r="AS473" s="14"/>
      <x:c r="AT473" s="14"/>
      <x:c r="AU473" s="14"/>
      <x:c r="AV473" s="14"/>
      <x:c r="AW473" s="14"/>
      <x:c r="AX473" s="14"/>
      <x:c r="AY473" s="14"/>
      <x:c r="AZ473" s="14"/>
      <x:c r="BA473" s="14"/>
      <x:c r="BB473" s="14"/>
      <x:c r="BC473" s="14"/>
      <x:c r="BD473" s="14"/>
      <x:c r="BE473" s="14"/>
      <x:c r="BF473" s="14"/>
      <x:c r="BG473" s="14"/>
      <x:c r="BH473" s="14"/>
      <x:c r="BI473" s="14"/>
      <x:c r="BJ473" s="14"/>
      <x:c r="BK473" s="14"/>
      <x:c r="BL473" s="14"/>
      <x:c r="BM473" s="14"/>
      <x:c r="BN473" s="14"/>
      <x:c r="BO473" s="14"/>
      <x:c r="BP473" s="14"/>
      <x:c r="BQ473" s="14"/>
      <x:c r="BR473" s="14"/>
      <x:c r="BS473" s="14"/>
      <x:c r="BT473" s="14"/>
      <x:c r="BU473" s="14"/>
      <x:c r="BV473" s="14"/>
      <x:c r="BW473" s="14"/>
      <x:c r="BX473" s="14"/>
      <x:c r="BY473" s="14"/>
      <x:c r="BZ473" s="14"/>
      <x:c r="CA473" s="14"/>
      <x:c r="CB473" s="14"/>
      <x:c r="CC473" s="14"/>
      <x:c r="CD473" s="14"/>
      <x:c r="CE473" s="14"/>
    </x:row>
    <x:row r="474">
      <x:c r="A474" s="14" t="n">
        <x:v>473</x:v>
      </x:c>
      <x:c r="B474" s="14"/>
      <x:c r="C474" s="14" t="str">
        <x:v>CHECKING_EVENT</x:v>
      </x:c>
      <x:c r="D474" s="14" t="str">
        <x:v>Exploratory_Checking_611_Positional_Surrogate.xlsx</x:v>
      </x:c>
      <x:c r="E474" s="14"/>
      <x:c r="F474" s="14"/>
      <x:c r="G474" s="14"/>
      <x:c r="H474" s="14"/>
      <x:c r="I474" s="14"/>
      <x:c r="J474" s="14"/>
      <x:c r="K474" s="14" t="str">
        <x:v>NEEDS_WINDOW_BINDING</x:v>
      </x:c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  <x:c r="AA474" s="14"/>
      <x:c r="AB474" s="14"/>
      <x:c r="AC474" s="14"/>
      <x:c r="AD474" s="14"/>
      <x:c r="AE474" s="14"/>
      <x:c r="AF474" s="14"/>
      <x:c r="AG474" s="14"/>
      <x:c r="AH474" s="14"/>
      <x:c r="AI474" s="14"/>
      <x:c r="AJ474" s="14"/>
      <x:c r="AK474" s="14"/>
      <x:c r="AL474" s="14"/>
      <x:c r="AM474" s="14"/>
      <x:c r="AN474" s="14"/>
      <x:c r="AO474" s="14"/>
      <x:c r="AP474" s="14"/>
      <x:c r="AQ474" s="14"/>
      <x:c r="AR474" s="14"/>
      <x:c r="AS474" s="14"/>
      <x:c r="AT474" s="14"/>
      <x:c r="AU474" s="14"/>
      <x:c r="AV474" s="14"/>
      <x:c r="AW474" s="14"/>
      <x:c r="AX474" s="14"/>
      <x:c r="AY474" s="14"/>
      <x:c r="AZ474" s="14"/>
      <x:c r="BA474" s="14"/>
      <x:c r="BB474" s="14"/>
      <x:c r="BC474" s="14"/>
      <x:c r="BD474" s="14"/>
      <x:c r="BE474" s="14"/>
      <x:c r="BF474" s="14"/>
      <x:c r="BG474" s="14"/>
      <x:c r="BH474" s="14"/>
      <x:c r="BI474" s="14"/>
      <x:c r="BJ474" s="14"/>
      <x:c r="BK474" s="14"/>
      <x:c r="BL474" s="14"/>
      <x:c r="BM474" s="14"/>
      <x:c r="BN474" s="14"/>
      <x:c r="BO474" s="14"/>
      <x:c r="BP474" s="14"/>
      <x:c r="BQ474" s="14"/>
      <x:c r="BR474" s="14"/>
      <x:c r="BS474" s="14"/>
      <x:c r="BT474" s="14"/>
      <x:c r="BU474" s="14"/>
      <x:c r="BV474" s="14"/>
      <x:c r="BW474" s="14"/>
      <x:c r="BX474" s="14"/>
      <x:c r="BY474" s="14"/>
      <x:c r="BZ474" s="14"/>
      <x:c r="CA474" s="14"/>
      <x:c r="CB474" s="14"/>
      <x:c r="CC474" s="14"/>
      <x:c r="CD474" s="14"/>
      <x:c r="CE474" s="14"/>
    </x:row>
    <x:row r="475">
      <x:c r="A475" s="14" t="n">
        <x:v>474</x:v>
      </x:c>
      <x:c r="B475" s="14"/>
      <x:c r="C475" s="14" t="str">
        <x:v>CHECKING_EVENT</x:v>
      </x:c>
      <x:c r="D475" s="14" t="str">
        <x:v>Exploratory_Checking_611_Positional_Surrogate.xlsx</x:v>
      </x:c>
      <x:c r="E475" s="14"/>
      <x:c r="F475" s="14"/>
      <x:c r="G475" s="14"/>
      <x:c r="H475" s="14"/>
      <x:c r="I475" s="14"/>
      <x:c r="J475" s="14"/>
      <x:c r="K475" s="14" t="str">
        <x:v>NEEDS_WINDOW_BINDING</x:v>
      </x:c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  <x:c r="AA475" s="14"/>
      <x:c r="AB475" s="14"/>
      <x:c r="AC475" s="14"/>
      <x:c r="AD475" s="14"/>
      <x:c r="AE475" s="14"/>
      <x:c r="AF475" s="14"/>
      <x:c r="AG475" s="14"/>
      <x:c r="AH475" s="14"/>
      <x:c r="AI475" s="14"/>
      <x:c r="AJ475" s="14"/>
      <x:c r="AK475" s="14"/>
      <x:c r="AL475" s="14"/>
      <x:c r="AM475" s="14"/>
      <x:c r="AN475" s="14"/>
      <x:c r="AO475" s="14"/>
      <x:c r="AP475" s="14"/>
      <x:c r="AQ475" s="14"/>
      <x:c r="AR475" s="14"/>
      <x:c r="AS475" s="14"/>
      <x:c r="AT475" s="14"/>
      <x:c r="AU475" s="14"/>
      <x:c r="AV475" s="14"/>
      <x:c r="AW475" s="14"/>
      <x:c r="AX475" s="14"/>
      <x:c r="AY475" s="14"/>
      <x:c r="AZ475" s="14"/>
      <x:c r="BA475" s="14"/>
      <x:c r="BB475" s="14"/>
      <x:c r="BC475" s="14"/>
      <x:c r="BD475" s="14"/>
      <x:c r="BE475" s="14"/>
      <x:c r="BF475" s="14"/>
      <x:c r="BG475" s="14"/>
      <x:c r="BH475" s="14"/>
      <x:c r="BI475" s="14"/>
      <x:c r="BJ475" s="14"/>
      <x:c r="BK475" s="14"/>
      <x:c r="BL475" s="14"/>
      <x:c r="BM475" s="14"/>
      <x:c r="BN475" s="14"/>
      <x:c r="BO475" s="14"/>
      <x:c r="BP475" s="14"/>
      <x:c r="BQ475" s="14"/>
      <x:c r="BR475" s="14"/>
      <x:c r="BS475" s="14"/>
      <x:c r="BT475" s="14"/>
      <x:c r="BU475" s="14"/>
      <x:c r="BV475" s="14"/>
      <x:c r="BW475" s="14"/>
      <x:c r="BX475" s="14"/>
      <x:c r="BY475" s="14"/>
      <x:c r="BZ475" s="14"/>
      <x:c r="CA475" s="14"/>
      <x:c r="CB475" s="14"/>
      <x:c r="CC475" s="14"/>
      <x:c r="CD475" s="14"/>
      <x:c r="CE475" s="14"/>
    </x:row>
    <x:row r="476">
      <x:c r="A476" s="14" t="n">
        <x:v>475</x:v>
      </x:c>
      <x:c r="B476" s="14"/>
      <x:c r="C476" s="14" t="str">
        <x:v>CHECKING_EVENT</x:v>
      </x:c>
      <x:c r="D476" s="14" t="str">
        <x:v>Exploratory_Checking_611_Positional_Surrogate.xlsx</x:v>
      </x:c>
      <x:c r="E476" s="14"/>
      <x:c r="F476" s="14"/>
      <x:c r="G476" s="14"/>
      <x:c r="H476" s="14"/>
      <x:c r="I476" s="14"/>
      <x:c r="J476" s="14"/>
      <x:c r="K476" s="14" t="str">
        <x:v>NEEDS_WINDOW_BINDING</x:v>
      </x:c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  <x:c r="AB476" s="14"/>
      <x:c r="AC476" s="14"/>
      <x:c r="AD476" s="14"/>
      <x:c r="AE476" s="14"/>
      <x:c r="AF476" s="14"/>
      <x:c r="AG476" s="14"/>
      <x:c r="AH476" s="14"/>
      <x:c r="AI476" s="14"/>
      <x:c r="AJ476" s="14"/>
      <x:c r="AK476" s="14"/>
      <x:c r="AL476" s="14"/>
      <x:c r="AM476" s="14"/>
      <x:c r="AN476" s="14"/>
      <x:c r="AO476" s="14"/>
      <x:c r="AP476" s="14"/>
      <x:c r="AQ476" s="14"/>
      <x:c r="AR476" s="14"/>
      <x:c r="AS476" s="14"/>
      <x:c r="AT476" s="14"/>
      <x:c r="AU476" s="14"/>
      <x:c r="AV476" s="14"/>
      <x:c r="AW476" s="14"/>
      <x:c r="AX476" s="14"/>
      <x:c r="AY476" s="14"/>
      <x:c r="AZ476" s="14"/>
      <x:c r="BA476" s="14"/>
      <x:c r="BB476" s="14"/>
      <x:c r="BC476" s="14"/>
      <x:c r="BD476" s="14"/>
      <x:c r="BE476" s="14"/>
      <x:c r="BF476" s="14"/>
      <x:c r="BG476" s="14"/>
      <x:c r="BH476" s="14"/>
      <x:c r="BI476" s="14"/>
      <x:c r="BJ476" s="14"/>
      <x:c r="BK476" s="14"/>
      <x:c r="BL476" s="14"/>
      <x:c r="BM476" s="14"/>
      <x:c r="BN476" s="14"/>
      <x:c r="BO476" s="14"/>
      <x:c r="BP476" s="14"/>
      <x:c r="BQ476" s="14"/>
      <x:c r="BR476" s="14"/>
      <x:c r="BS476" s="14"/>
      <x:c r="BT476" s="14"/>
      <x:c r="BU476" s="14"/>
      <x:c r="BV476" s="14"/>
      <x:c r="BW476" s="14"/>
      <x:c r="BX476" s="14"/>
      <x:c r="BY476" s="14"/>
      <x:c r="BZ476" s="14"/>
      <x:c r="CA476" s="14"/>
      <x:c r="CB476" s="14"/>
      <x:c r="CC476" s="14"/>
      <x:c r="CD476" s="14"/>
      <x:c r="CE476" s="14"/>
    </x:row>
    <x:row r="477">
      <x:c r="A477" s="14" t="n">
        <x:v>476</x:v>
      </x:c>
      <x:c r="B477" s="14"/>
      <x:c r="C477" s="14" t="str">
        <x:v>CHECKING_EVENT</x:v>
      </x:c>
      <x:c r="D477" s="14" t="str">
        <x:v>Exploratory_Checking_611_Positional_Surrogate.xlsx</x:v>
      </x:c>
      <x:c r="E477" s="14"/>
      <x:c r="F477" s="14"/>
      <x:c r="G477" s="14"/>
      <x:c r="H477" s="14"/>
      <x:c r="I477" s="14"/>
      <x:c r="J477" s="14"/>
      <x:c r="K477" s="14" t="str">
        <x:v>NEEDS_WINDOW_BINDING</x:v>
      </x:c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  <x:c r="AA477" s="14"/>
      <x:c r="AB477" s="14"/>
      <x:c r="AC477" s="14"/>
      <x:c r="AD477" s="14"/>
      <x:c r="AE477" s="14"/>
      <x:c r="AF477" s="14"/>
      <x:c r="AG477" s="14"/>
      <x:c r="AH477" s="14"/>
      <x:c r="AI477" s="14"/>
      <x:c r="AJ477" s="14"/>
      <x:c r="AK477" s="14"/>
      <x:c r="AL477" s="14"/>
      <x:c r="AM477" s="14"/>
      <x:c r="AN477" s="14"/>
      <x:c r="AO477" s="14"/>
      <x:c r="AP477" s="14"/>
      <x:c r="AQ477" s="14"/>
      <x:c r="AR477" s="14"/>
      <x:c r="AS477" s="14"/>
      <x:c r="AT477" s="14"/>
      <x:c r="AU477" s="14"/>
      <x:c r="AV477" s="14"/>
      <x:c r="AW477" s="14"/>
      <x:c r="AX477" s="14"/>
      <x:c r="AY477" s="14"/>
      <x:c r="AZ477" s="14"/>
      <x:c r="BA477" s="14"/>
      <x:c r="BB477" s="14"/>
      <x:c r="BC477" s="14"/>
      <x:c r="BD477" s="14"/>
      <x:c r="BE477" s="14"/>
      <x:c r="BF477" s="14"/>
      <x:c r="BG477" s="14"/>
      <x:c r="BH477" s="14"/>
      <x:c r="BI477" s="14"/>
      <x:c r="BJ477" s="14"/>
      <x:c r="BK477" s="14"/>
      <x:c r="BL477" s="14"/>
      <x:c r="BM477" s="14"/>
      <x:c r="BN477" s="14"/>
      <x:c r="BO477" s="14"/>
      <x:c r="BP477" s="14"/>
      <x:c r="BQ477" s="14"/>
      <x:c r="BR477" s="14"/>
      <x:c r="BS477" s="14"/>
      <x:c r="BT477" s="14"/>
      <x:c r="BU477" s="14"/>
      <x:c r="BV477" s="14"/>
      <x:c r="BW477" s="14"/>
      <x:c r="BX477" s="14"/>
      <x:c r="BY477" s="14"/>
      <x:c r="BZ477" s="14"/>
      <x:c r="CA477" s="14"/>
      <x:c r="CB477" s="14"/>
      <x:c r="CC477" s="14"/>
      <x:c r="CD477" s="14"/>
      <x:c r="CE477" s="14"/>
    </x:row>
    <x:row r="478">
      <x:c r="A478" s="14" t="n">
        <x:v>477</x:v>
      </x:c>
      <x:c r="B478" s="14"/>
      <x:c r="C478" s="14" t="str">
        <x:v>CHECKING_EVENT</x:v>
      </x:c>
      <x:c r="D478" s="14" t="str">
        <x:v>Exploratory_Checking_611_Positional_Surrogate.xlsx</x:v>
      </x:c>
      <x:c r="E478" s="14"/>
      <x:c r="F478" s="14"/>
      <x:c r="G478" s="14"/>
      <x:c r="H478" s="14"/>
      <x:c r="I478" s="14"/>
      <x:c r="J478" s="14"/>
      <x:c r="K478" s="14" t="str">
        <x:v>NEEDS_WINDOW_BINDING</x:v>
      </x:c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  <x:c r="AA478" s="14"/>
      <x:c r="AB478" s="14"/>
      <x:c r="AC478" s="14"/>
      <x:c r="AD478" s="14"/>
      <x:c r="AE478" s="14"/>
      <x:c r="AF478" s="14"/>
      <x:c r="AG478" s="14"/>
      <x:c r="AH478" s="14"/>
      <x:c r="AI478" s="14"/>
      <x:c r="AJ478" s="14"/>
      <x:c r="AK478" s="14"/>
      <x:c r="AL478" s="14"/>
      <x:c r="AM478" s="14"/>
      <x:c r="AN478" s="14"/>
      <x:c r="AO478" s="14"/>
      <x:c r="AP478" s="14"/>
      <x:c r="AQ478" s="14"/>
      <x:c r="AR478" s="14"/>
      <x:c r="AS478" s="14"/>
      <x:c r="AT478" s="14"/>
      <x:c r="AU478" s="14"/>
      <x:c r="AV478" s="14"/>
      <x:c r="AW478" s="14"/>
      <x:c r="AX478" s="14"/>
      <x:c r="AY478" s="14"/>
      <x:c r="AZ478" s="14"/>
      <x:c r="BA478" s="14"/>
      <x:c r="BB478" s="14"/>
      <x:c r="BC478" s="14"/>
      <x:c r="BD478" s="14"/>
      <x:c r="BE478" s="14"/>
      <x:c r="BF478" s="14"/>
      <x:c r="BG478" s="14"/>
      <x:c r="BH478" s="14"/>
      <x:c r="BI478" s="14"/>
      <x:c r="BJ478" s="14"/>
      <x:c r="BK478" s="14"/>
      <x:c r="BL478" s="14"/>
      <x:c r="BM478" s="14"/>
      <x:c r="BN478" s="14"/>
      <x:c r="BO478" s="14"/>
      <x:c r="BP478" s="14"/>
      <x:c r="BQ478" s="14"/>
      <x:c r="BR478" s="14"/>
      <x:c r="BS478" s="14"/>
      <x:c r="BT478" s="14"/>
      <x:c r="BU478" s="14"/>
      <x:c r="BV478" s="14"/>
      <x:c r="BW478" s="14"/>
      <x:c r="BX478" s="14"/>
      <x:c r="BY478" s="14"/>
      <x:c r="BZ478" s="14"/>
      <x:c r="CA478" s="14"/>
      <x:c r="CB478" s="14"/>
      <x:c r="CC478" s="14"/>
      <x:c r="CD478" s="14"/>
      <x:c r="CE478" s="14"/>
    </x:row>
    <x:row r="479">
      <x:c r="A479" s="14" t="n">
        <x:v>478</x:v>
      </x:c>
      <x:c r="B479" s="14"/>
      <x:c r="C479" s="14" t="str">
        <x:v>CHECKING_EVENT</x:v>
      </x:c>
      <x:c r="D479" s="14" t="str">
        <x:v>Exploratory_Checking_611_Positional_Surrogate.xlsx</x:v>
      </x:c>
      <x:c r="E479" s="14"/>
      <x:c r="F479" s="14"/>
      <x:c r="G479" s="14"/>
      <x:c r="H479" s="14"/>
      <x:c r="I479" s="14"/>
      <x:c r="J479" s="14"/>
      <x:c r="K479" s="14" t="str">
        <x:v>NEEDS_WINDOW_BINDING</x:v>
      </x:c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  <x:c r="AA479" s="14"/>
      <x:c r="AB479" s="14"/>
      <x:c r="AC479" s="14"/>
      <x:c r="AD479" s="14"/>
      <x:c r="AE479" s="14"/>
      <x:c r="AF479" s="14"/>
      <x:c r="AG479" s="14"/>
      <x:c r="AH479" s="14"/>
      <x:c r="AI479" s="14"/>
      <x:c r="AJ479" s="14"/>
      <x:c r="AK479" s="14"/>
      <x:c r="AL479" s="14"/>
      <x:c r="AM479" s="14"/>
      <x:c r="AN479" s="14"/>
      <x:c r="AO479" s="14"/>
      <x:c r="AP479" s="14"/>
      <x:c r="AQ479" s="14"/>
      <x:c r="AR479" s="14"/>
      <x:c r="AS479" s="14"/>
      <x:c r="AT479" s="14"/>
      <x:c r="AU479" s="14"/>
      <x:c r="AV479" s="14"/>
      <x:c r="AW479" s="14"/>
      <x:c r="AX479" s="14"/>
      <x:c r="AY479" s="14"/>
      <x:c r="AZ479" s="14"/>
      <x:c r="BA479" s="14"/>
      <x:c r="BB479" s="14"/>
      <x:c r="BC479" s="14"/>
      <x:c r="BD479" s="14"/>
      <x:c r="BE479" s="14"/>
      <x:c r="BF479" s="14"/>
      <x:c r="BG479" s="14"/>
      <x:c r="BH479" s="14"/>
      <x:c r="BI479" s="14"/>
      <x:c r="BJ479" s="14"/>
      <x:c r="BK479" s="14"/>
      <x:c r="BL479" s="14"/>
      <x:c r="BM479" s="14"/>
      <x:c r="BN479" s="14"/>
      <x:c r="BO479" s="14"/>
      <x:c r="BP479" s="14"/>
      <x:c r="BQ479" s="14"/>
      <x:c r="BR479" s="14"/>
      <x:c r="BS479" s="14"/>
      <x:c r="BT479" s="14"/>
      <x:c r="BU479" s="14"/>
      <x:c r="BV479" s="14"/>
      <x:c r="BW479" s="14"/>
      <x:c r="BX479" s="14"/>
      <x:c r="BY479" s="14"/>
      <x:c r="BZ479" s="14"/>
      <x:c r="CA479" s="14"/>
      <x:c r="CB479" s="14"/>
      <x:c r="CC479" s="14"/>
      <x:c r="CD479" s="14"/>
      <x:c r="CE479" s="14"/>
    </x:row>
    <x:row r="480">
      <x:c r="A480" s="14" t="n">
        <x:v>479</x:v>
      </x:c>
      <x:c r="B480" s="14"/>
      <x:c r="C480" s="14" t="str">
        <x:v>CHECKING_EVENT</x:v>
      </x:c>
      <x:c r="D480" s="14" t="str">
        <x:v>Exploratory_Checking_611_Positional_Surrogate.xlsx</x:v>
      </x:c>
      <x:c r="E480" s="14"/>
      <x:c r="F480" s="14"/>
      <x:c r="G480" s="14"/>
      <x:c r="H480" s="14"/>
      <x:c r="I480" s="14"/>
      <x:c r="J480" s="14"/>
      <x:c r="K480" s="14" t="str">
        <x:v>NEEDS_WINDOW_BINDING</x:v>
      </x:c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  <x:c r="AB480" s="14"/>
      <x:c r="AC480" s="14"/>
      <x:c r="AD480" s="14"/>
      <x:c r="AE480" s="14"/>
      <x:c r="AF480" s="14"/>
      <x:c r="AG480" s="14"/>
      <x:c r="AH480" s="14"/>
      <x:c r="AI480" s="14"/>
      <x:c r="AJ480" s="14"/>
      <x:c r="AK480" s="14"/>
      <x:c r="AL480" s="14"/>
      <x:c r="AM480" s="14"/>
      <x:c r="AN480" s="14"/>
      <x:c r="AO480" s="14"/>
      <x:c r="AP480" s="14"/>
      <x:c r="AQ480" s="14"/>
      <x:c r="AR480" s="14"/>
      <x:c r="AS480" s="14"/>
      <x:c r="AT480" s="14"/>
      <x:c r="AU480" s="14"/>
      <x:c r="AV480" s="14"/>
      <x:c r="AW480" s="14"/>
      <x:c r="AX480" s="14"/>
      <x:c r="AY480" s="14"/>
      <x:c r="AZ480" s="14"/>
      <x:c r="BA480" s="14"/>
      <x:c r="BB480" s="14"/>
      <x:c r="BC480" s="14"/>
      <x:c r="BD480" s="14"/>
      <x:c r="BE480" s="14"/>
      <x:c r="BF480" s="14"/>
      <x:c r="BG480" s="14"/>
      <x:c r="BH480" s="14"/>
      <x:c r="BI480" s="14"/>
      <x:c r="BJ480" s="14"/>
      <x:c r="BK480" s="14"/>
      <x:c r="BL480" s="14"/>
      <x:c r="BM480" s="14"/>
      <x:c r="BN480" s="14"/>
      <x:c r="BO480" s="14"/>
      <x:c r="BP480" s="14"/>
      <x:c r="BQ480" s="14"/>
      <x:c r="BR480" s="14"/>
      <x:c r="BS480" s="14"/>
      <x:c r="BT480" s="14"/>
      <x:c r="BU480" s="14"/>
      <x:c r="BV480" s="14"/>
      <x:c r="BW480" s="14"/>
      <x:c r="BX480" s="14"/>
      <x:c r="BY480" s="14"/>
      <x:c r="BZ480" s="14"/>
      <x:c r="CA480" s="14"/>
      <x:c r="CB480" s="14"/>
      <x:c r="CC480" s="14"/>
      <x:c r="CD480" s="14"/>
      <x:c r="CE480" s="14"/>
    </x:row>
    <x:row r="481">
      <x:c r="A481" s="14" t="n">
        <x:v>480</x:v>
      </x:c>
      <x:c r="B481" s="14"/>
      <x:c r="C481" s="14" t="str">
        <x:v>CHECKING_EVENT</x:v>
      </x:c>
      <x:c r="D481" s="14" t="str">
        <x:v>Exploratory_Checking_611_Positional_Surrogate.xlsx</x:v>
      </x:c>
      <x:c r="E481" s="14"/>
      <x:c r="F481" s="14"/>
      <x:c r="G481" s="14"/>
      <x:c r="H481" s="14"/>
      <x:c r="I481" s="14"/>
      <x:c r="J481" s="14"/>
      <x:c r="K481" s="14" t="str">
        <x:v>NEEDS_WINDOW_BINDING</x:v>
      </x:c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  <x:c r="AA481" s="14"/>
      <x:c r="AB481" s="14"/>
      <x:c r="AC481" s="14"/>
      <x:c r="AD481" s="14"/>
      <x:c r="AE481" s="14"/>
      <x:c r="AF481" s="14"/>
      <x:c r="AG481" s="14"/>
      <x:c r="AH481" s="14"/>
      <x:c r="AI481" s="14"/>
      <x:c r="AJ481" s="14"/>
      <x:c r="AK481" s="14"/>
      <x:c r="AL481" s="14"/>
      <x:c r="AM481" s="14"/>
      <x:c r="AN481" s="14"/>
      <x:c r="AO481" s="14"/>
      <x:c r="AP481" s="14"/>
      <x:c r="AQ481" s="14"/>
      <x:c r="AR481" s="14"/>
      <x:c r="AS481" s="14"/>
      <x:c r="AT481" s="14"/>
      <x:c r="AU481" s="14"/>
      <x:c r="AV481" s="14"/>
      <x:c r="AW481" s="14"/>
      <x:c r="AX481" s="14"/>
      <x:c r="AY481" s="14"/>
      <x:c r="AZ481" s="14"/>
      <x:c r="BA481" s="14"/>
      <x:c r="BB481" s="14"/>
      <x:c r="BC481" s="14"/>
      <x:c r="BD481" s="14"/>
      <x:c r="BE481" s="14"/>
      <x:c r="BF481" s="14"/>
      <x:c r="BG481" s="14"/>
      <x:c r="BH481" s="14"/>
      <x:c r="BI481" s="14"/>
      <x:c r="BJ481" s="14"/>
      <x:c r="BK481" s="14"/>
      <x:c r="BL481" s="14"/>
      <x:c r="BM481" s="14"/>
      <x:c r="BN481" s="14"/>
      <x:c r="BO481" s="14"/>
      <x:c r="BP481" s="14"/>
      <x:c r="BQ481" s="14"/>
      <x:c r="BR481" s="14"/>
      <x:c r="BS481" s="14"/>
      <x:c r="BT481" s="14"/>
      <x:c r="BU481" s="14"/>
      <x:c r="BV481" s="14"/>
      <x:c r="BW481" s="14"/>
      <x:c r="BX481" s="14"/>
      <x:c r="BY481" s="14"/>
      <x:c r="BZ481" s="14"/>
      <x:c r="CA481" s="14"/>
      <x:c r="CB481" s="14"/>
      <x:c r="CC481" s="14"/>
      <x:c r="CD481" s="14"/>
      <x:c r="CE481" s="14"/>
    </x:row>
    <x:row r="482">
      <x:c r="A482" s="14" t="n">
        <x:v>481</x:v>
      </x:c>
      <x:c r="B482" s="14"/>
      <x:c r="C482" s="14" t="str">
        <x:v>CHECKING_EVENT</x:v>
      </x:c>
      <x:c r="D482" s="14" t="str">
        <x:v>Exploratory_Checking_611_Positional_Surrogate.xlsx</x:v>
      </x:c>
      <x:c r="E482" s="14"/>
      <x:c r="F482" s="14"/>
      <x:c r="G482" s="14"/>
      <x:c r="H482" s="14"/>
      <x:c r="I482" s="14"/>
      <x:c r="J482" s="14"/>
      <x:c r="K482" s="14" t="str">
        <x:v>NEEDS_WINDOW_BINDING</x:v>
      </x:c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  <x:c r="AA482" s="14"/>
      <x:c r="AB482" s="14"/>
      <x:c r="AC482" s="14"/>
      <x:c r="AD482" s="14"/>
      <x:c r="AE482" s="14"/>
      <x:c r="AF482" s="14"/>
      <x:c r="AG482" s="14"/>
      <x:c r="AH482" s="14"/>
      <x:c r="AI482" s="14"/>
      <x:c r="AJ482" s="14"/>
      <x:c r="AK482" s="14"/>
      <x:c r="AL482" s="14"/>
      <x:c r="AM482" s="14"/>
      <x:c r="AN482" s="14"/>
      <x:c r="AO482" s="14"/>
      <x:c r="AP482" s="14"/>
      <x:c r="AQ482" s="14"/>
      <x:c r="AR482" s="14"/>
      <x:c r="AS482" s="14"/>
      <x:c r="AT482" s="14"/>
      <x:c r="AU482" s="14"/>
      <x:c r="AV482" s="14"/>
      <x:c r="AW482" s="14"/>
      <x:c r="AX482" s="14"/>
      <x:c r="AY482" s="14"/>
      <x:c r="AZ482" s="14"/>
      <x:c r="BA482" s="14"/>
      <x:c r="BB482" s="14"/>
      <x:c r="BC482" s="14"/>
      <x:c r="BD482" s="14"/>
      <x:c r="BE482" s="14"/>
      <x:c r="BF482" s="14"/>
      <x:c r="BG482" s="14"/>
      <x:c r="BH482" s="14"/>
      <x:c r="BI482" s="14"/>
      <x:c r="BJ482" s="14"/>
      <x:c r="BK482" s="14"/>
      <x:c r="BL482" s="14"/>
      <x:c r="BM482" s="14"/>
      <x:c r="BN482" s="14"/>
      <x:c r="BO482" s="14"/>
      <x:c r="BP482" s="14"/>
      <x:c r="BQ482" s="14"/>
      <x:c r="BR482" s="14"/>
      <x:c r="BS482" s="14"/>
      <x:c r="BT482" s="14"/>
      <x:c r="BU482" s="14"/>
      <x:c r="BV482" s="14"/>
      <x:c r="BW482" s="14"/>
      <x:c r="BX482" s="14"/>
      <x:c r="BY482" s="14"/>
      <x:c r="BZ482" s="14"/>
      <x:c r="CA482" s="14"/>
      <x:c r="CB482" s="14"/>
      <x:c r="CC482" s="14"/>
      <x:c r="CD482" s="14"/>
      <x:c r="CE482" s="14"/>
    </x:row>
    <x:row r="483">
      <x:c r="A483" s="14" t="n">
        <x:v>482</x:v>
      </x:c>
      <x:c r="B483" s="14"/>
      <x:c r="C483" s="14" t="str">
        <x:v>CHECKING_EVENT</x:v>
      </x:c>
      <x:c r="D483" s="14" t="str">
        <x:v>Exploratory_Checking_611_Positional_Surrogate.xlsx</x:v>
      </x:c>
      <x:c r="E483" s="14"/>
      <x:c r="F483" s="14"/>
      <x:c r="G483" s="14"/>
      <x:c r="H483" s="14"/>
      <x:c r="I483" s="14"/>
      <x:c r="J483" s="14"/>
      <x:c r="K483" s="14" t="str">
        <x:v>NEEDS_WINDOW_BINDING</x:v>
      </x:c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  <x:c r="AA483" s="14"/>
      <x:c r="AB483" s="14"/>
      <x:c r="AC483" s="14"/>
      <x:c r="AD483" s="14"/>
      <x:c r="AE483" s="14"/>
      <x:c r="AF483" s="14"/>
      <x:c r="AG483" s="14"/>
      <x:c r="AH483" s="14"/>
      <x:c r="AI483" s="14"/>
      <x:c r="AJ483" s="14"/>
      <x:c r="AK483" s="14"/>
      <x:c r="AL483" s="14"/>
      <x:c r="AM483" s="14"/>
      <x:c r="AN483" s="14"/>
      <x:c r="AO483" s="14"/>
      <x:c r="AP483" s="14"/>
      <x:c r="AQ483" s="14"/>
      <x:c r="AR483" s="14"/>
      <x:c r="AS483" s="14"/>
      <x:c r="AT483" s="14"/>
      <x:c r="AU483" s="14"/>
      <x:c r="AV483" s="14"/>
      <x:c r="AW483" s="14"/>
      <x:c r="AX483" s="14"/>
      <x:c r="AY483" s="14"/>
      <x:c r="AZ483" s="14"/>
      <x:c r="BA483" s="14"/>
      <x:c r="BB483" s="14"/>
      <x:c r="BC483" s="14"/>
      <x:c r="BD483" s="14"/>
      <x:c r="BE483" s="14"/>
      <x:c r="BF483" s="14"/>
      <x:c r="BG483" s="14"/>
      <x:c r="BH483" s="14"/>
      <x:c r="BI483" s="14"/>
      <x:c r="BJ483" s="14"/>
      <x:c r="BK483" s="14"/>
      <x:c r="BL483" s="14"/>
      <x:c r="BM483" s="14"/>
      <x:c r="BN483" s="14"/>
      <x:c r="BO483" s="14"/>
      <x:c r="BP483" s="14"/>
      <x:c r="BQ483" s="14"/>
      <x:c r="BR483" s="14"/>
      <x:c r="BS483" s="14"/>
      <x:c r="BT483" s="14"/>
      <x:c r="BU483" s="14"/>
      <x:c r="BV483" s="14"/>
      <x:c r="BW483" s="14"/>
      <x:c r="BX483" s="14"/>
      <x:c r="BY483" s="14"/>
      <x:c r="BZ483" s="14"/>
      <x:c r="CA483" s="14"/>
      <x:c r="CB483" s="14"/>
      <x:c r="CC483" s="14"/>
      <x:c r="CD483" s="14"/>
      <x:c r="CE483" s="14"/>
    </x:row>
    <x:row r="484">
      <x:c r="A484" s="14" t="n">
        <x:v>483</x:v>
      </x:c>
      <x:c r="B484" s="14"/>
      <x:c r="C484" s="14" t="str">
        <x:v>CHECKING_EVENT</x:v>
      </x:c>
      <x:c r="D484" s="14" t="str">
        <x:v>Exploratory_Checking_611_Positional_Surrogate.xlsx</x:v>
      </x:c>
      <x:c r="E484" s="14"/>
      <x:c r="F484" s="14"/>
      <x:c r="G484" s="14"/>
      <x:c r="H484" s="14"/>
      <x:c r="I484" s="14"/>
      <x:c r="J484" s="14"/>
      <x:c r="K484" s="14" t="str">
        <x:v>NEEDS_WINDOW_BINDING</x:v>
      </x:c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  <x:c r="AA484" s="14"/>
      <x:c r="AB484" s="14"/>
      <x:c r="AC484" s="14"/>
      <x:c r="AD484" s="14"/>
      <x:c r="AE484" s="14"/>
      <x:c r="AF484" s="14"/>
      <x:c r="AG484" s="14"/>
      <x:c r="AH484" s="14"/>
      <x:c r="AI484" s="14"/>
      <x:c r="AJ484" s="14"/>
      <x:c r="AK484" s="14"/>
      <x:c r="AL484" s="14"/>
      <x:c r="AM484" s="14"/>
      <x:c r="AN484" s="14"/>
      <x:c r="AO484" s="14"/>
      <x:c r="AP484" s="14"/>
      <x:c r="AQ484" s="14"/>
      <x:c r="AR484" s="14"/>
      <x:c r="AS484" s="14"/>
      <x:c r="AT484" s="14"/>
      <x:c r="AU484" s="14"/>
      <x:c r="AV484" s="14"/>
      <x:c r="AW484" s="14"/>
      <x:c r="AX484" s="14"/>
      <x:c r="AY484" s="14"/>
      <x:c r="AZ484" s="14"/>
      <x:c r="BA484" s="14"/>
      <x:c r="BB484" s="14"/>
      <x:c r="BC484" s="14"/>
      <x:c r="BD484" s="14"/>
      <x:c r="BE484" s="14"/>
      <x:c r="BF484" s="14"/>
      <x:c r="BG484" s="14"/>
      <x:c r="BH484" s="14"/>
      <x:c r="BI484" s="14"/>
      <x:c r="BJ484" s="14"/>
      <x:c r="BK484" s="14"/>
      <x:c r="BL484" s="14"/>
      <x:c r="BM484" s="14"/>
      <x:c r="BN484" s="14"/>
      <x:c r="BO484" s="14"/>
      <x:c r="BP484" s="14"/>
      <x:c r="BQ484" s="14"/>
      <x:c r="BR484" s="14"/>
      <x:c r="BS484" s="14"/>
      <x:c r="BT484" s="14"/>
      <x:c r="BU484" s="14"/>
      <x:c r="BV484" s="14"/>
      <x:c r="BW484" s="14"/>
      <x:c r="BX484" s="14"/>
      <x:c r="BY484" s="14"/>
      <x:c r="BZ484" s="14"/>
      <x:c r="CA484" s="14"/>
      <x:c r="CB484" s="14"/>
      <x:c r="CC484" s="14"/>
      <x:c r="CD484" s="14"/>
      <x:c r="CE484" s="14"/>
    </x:row>
    <x:row r="485">
      <x:c r="A485" s="14" t="n">
        <x:v>484</x:v>
      </x:c>
      <x:c r="B485" s="14"/>
      <x:c r="C485" s="14" t="str">
        <x:v>CHECKING_EVENT</x:v>
      </x:c>
      <x:c r="D485" s="14" t="str">
        <x:v>Exploratory_Checking_611_Positional_Surrogate.xlsx</x:v>
      </x:c>
      <x:c r="E485" s="14"/>
      <x:c r="F485" s="14"/>
      <x:c r="G485" s="14"/>
      <x:c r="H485" s="14"/>
      <x:c r="I485" s="14"/>
      <x:c r="J485" s="14"/>
      <x:c r="K485" s="14" t="str">
        <x:v>NEEDS_WINDOW_BINDING</x:v>
      </x:c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  <x:c r="AA485" s="14"/>
      <x:c r="AB485" s="14"/>
      <x:c r="AC485" s="14"/>
      <x:c r="AD485" s="14"/>
      <x:c r="AE485" s="14"/>
      <x:c r="AF485" s="14"/>
      <x:c r="AG485" s="14"/>
      <x:c r="AH485" s="14"/>
      <x:c r="AI485" s="14"/>
      <x:c r="AJ485" s="14"/>
      <x:c r="AK485" s="14"/>
      <x:c r="AL485" s="14"/>
      <x:c r="AM485" s="14"/>
      <x:c r="AN485" s="14"/>
      <x:c r="AO485" s="14"/>
      <x:c r="AP485" s="14"/>
      <x:c r="AQ485" s="14"/>
      <x:c r="AR485" s="14"/>
      <x:c r="AS485" s="14"/>
      <x:c r="AT485" s="14"/>
      <x:c r="AU485" s="14"/>
      <x:c r="AV485" s="14"/>
      <x:c r="AW485" s="14"/>
      <x:c r="AX485" s="14"/>
      <x:c r="AY485" s="14"/>
      <x:c r="AZ485" s="14"/>
      <x:c r="BA485" s="14"/>
      <x:c r="BB485" s="14"/>
      <x:c r="BC485" s="14"/>
      <x:c r="BD485" s="14"/>
      <x:c r="BE485" s="14"/>
      <x:c r="BF485" s="14"/>
      <x:c r="BG485" s="14"/>
      <x:c r="BH485" s="14"/>
      <x:c r="BI485" s="14"/>
      <x:c r="BJ485" s="14"/>
      <x:c r="BK485" s="14"/>
      <x:c r="BL485" s="14"/>
      <x:c r="BM485" s="14"/>
      <x:c r="BN485" s="14"/>
      <x:c r="BO485" s="14"/>
      <x:c r="BP485" s="14"/>
      <x:c r="BQ485" s="14"/>
      <x:c r="BR485" s="14"/>
      <x:c r="BS485" s="14"/>
      <x:c r="BT485" s="14"/>
      <x:c r="BU485" s="14"/>
      <x:c r="BV485" s="14"/>
      <x:c r="BW485" s="14"/>
      <x:c r="BX485" s="14"/>
      <x:c r="BY485" s="14"/>
      <x:c r="BZ485" s="14"/>
      <x:c r="CA485" s="14"/>
      <x:c r="CB485" s="14"/>
      <x:c r="CC485" s="14"/>
      <x:c r="CD485" s="14"/>
      <x:c r="CE485" s="14"/>
    </x:row>
    <x:row r="486">
      <x:c r="A486" s="14" t="n">
        <x:v>485</x:v>
      </x:c>
      <x:c r="B486" s="14"/>
      <x:c r="C486" s="14" t="str">
        <x:v>CHECKING_EVENT</x:v>
      </x:c>
      <x:c r="D486" s="14" t="str">
        <x:v>Exploratory_Checking_611_Positional_Surrogate.xlsx</x:v>
      </x:c>
      <x:c r="E486" s="14"/>
      <x:c r="F486" s="14"/>
      <x:c r="G486" s="14"/>
      <x:c r="H486" s="14"/>
      <x:c r="I486" s="14"/>
      <x:c r="J486" s="14"/>
      <x:c r="K486" s="14" t="str">
        <x:v>NEEDS_WINDOW_BINDING</x:v>
      </x:c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  <x:c r="AA486" s="14"/>
      <x:c r="AB486" s="14"/>
      <x:c r="AC486" s="14"/>
      <x:c r="AD486" s="14"/>
      <x:c r="AE486" s="14"/>
      <x:c r="AF486" s="14"/>
      <x:c r="AG486" s="14"/>
      <x:c r="AH486" s="14"/>
      <x:c r="AI486" s="14"/>
      <x:c r="AJ486" s="14"/>
      <x:c r="AK486" s="14"/>
      <x:c r="AL486" s="14"/>
      <x:c r="AM486" s="14"/>
      <x:c r="AN486" s="14"/>
      <x:c r="AO486" s="14"/>
      <x:c r="AP486" s="14"/>
      <x:c r="AQ486" s="14"/>
      <x:c r="AR486" s="14"/>
      <x:c r="AS486" s="14"/>
      <x:c r="AT486" s="14"/>
      <x:c r="AU486" s="14"/>
      <x:c r="AV486" s="14"/>
      <x:c r="AW486" s="14"/>
      <x:c r="AX486" s="14"/>
      <x:c r="AY486" s="14"/>
      <x:c r="AZ486" s="14"/>
      <x:c r="BA486" s="14"/>
      <x:c r="BB486" s="14"/>
      <x:c r="BC486" s="14"/>
      <x:c r="BD486" s="14"/>
      <x:c r="BE486" s="14"/>
      <x:c r="BF486" s="14"/>
      <x:c r="BG486" s="14"/>
      <x:c r="BH486" s="14"/>
      <x:c r="BI486" s="14"/>
      <x:c r="BJ486" s="14"/>
      <x:c r="BK486" s="14"/>
      <x:c r="BL486" s="14"/>
      <x:c r="BM486" s="14"/>
      <x:c r="BN486" s="14"/>
      <x:c r="BO486" s="14"/>
      <x:c r="BP486" s="14"/>
      <x:c r="BQ486" s="14"/>
      <x:c r="BR486" s="14"/>
      <x:c r="BS486" s="14"/>
      <x:c r="BT486" s="14"/>
      <x:c r="BU486" s="14"/>
      <x:c r="BV486" s="14"/>
      <x:c r="BW486" s="14"/>
      <x:c r="BX486" s="14"/>
      <x:c r="BY486" s="14"/>
      <x:c r="BZ486" s="14"/>
      <x:c r="CA486" s="14"/>
      <x:c r="CB486" s="14"/>
      <x:c r="CC486" s="14"/>
      <x:c r="CD486" s="14"/>
      <x:c r="CE486" s="14"/>
    </x:row>
    <x:row r="487">
      <x:c r="A487" s="14" t="n">
        <x:v>486</x:v>
      </x:c>
      <x:c r="B487" s="14"/>
      <x:c r="C487" s="14" t="str">
        <x:v>CHECKING_EVENT</x:v>
      </x:c>
      <x:c r="D487" s="14" t="str">
        <x:v>Exploratory_Checking_611_Positional_Surrogate.xlsx</x:v>
      </x:c>
      <x:c r="E487" s="14"/>
      <x:c r="F487" s="14"/>
      <x:c r="G487" s="14"/>
      <x:c r="H487" s="14"/>
      <x:c r="I487" s="14"/>
      <x:c r="J487" s="14"/>
      <x:c r="K487" s="14" t="str">
        <x:v>NEEDS_WINDOW_BINDING</x:v>
      </x:c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  <x:c r="AA487" s="14"/>
      <x:c r="AB487" s="14"/>
      <x:c r="AC487" s="14"/>
      <x:c r="AD487" s="14"/>
      <x:c r="AE487" s="14"/>
      <x:c r="AF487" s="14"/>
      <x:c r="AG487" s="14"/>
      <x:c r="AH487" s="14"/>
      <x:c r="AI487" s="14"/>
      <x:c r="AJ487" s="14"/>
      <x:c r="AK487" s="14"/>
      <x:c r="AL487" s="14"/>
      <x:c r="AM487" s="14"/>
      <x:c r="AN487" s="14"/>
      <x:c r="AO487" s="14"/>
      <x:c r="AP487" s="14"/>
      <x:c r="AQ487" s="14"/>
      <x:c r="AR487" s="14"/>
      <x:c r="AS487" s="14"/>
      <x:c r="AT487" s="14"/>
      <x:c r="AU487" s="14"/>
      <x:c r="AV487" s="14"/>
      <x:c r="AW487" s="14"/>
      <x:c r="AX487" s="14"/>
      <x:c r="AY487" s="14"/>
      <x:c r="AZ487" s="14"/>
      <x:c r="BA487" s="14"/>
      <x:c r="BB487" s="14"/>
      <x:c r="BC487" s="14"/>
      <x:c r="BD487" s="14"/>
      <x:c r="BE487" s="14"/>
      <x:c r="BF487" s="14"/>
      <x:c r="BG487" s="14"/>
      <x:c r="BH487" s="14"/>
      <x:c r="BI487" s="14"/>
      <x:c r="BJ487" s="14"/>
      <x:c r="BK487" s="14"/>
      <x:c r="BL487" s="14"/>
      <x:c r="BM487" s="14"/>
      <x:c r="BN487" s="14"/>
      <x:c r="BO487" s="14"/>
      <x:c r="BP487" s="14"/>
      <x:c r="BQ487" s="14"/>
      <x:c r="BR487" s="14"/>
      <x:c r="BS487" s="14"/>
      <x:c r="BT487" s="14"/>
      <x:c r="BU487" s="14"/>
      <x:c r="BV487" s="14"/>
      <x:c r="BW487" s="14"/>
      <x:c r="BX487" s="14"/>
      <x:c r="BY487" s="14"/>
      <x:c r="BZ487" s="14"/>
      <x:c r="CA487" s="14"/>
      <x:c r="CB487" s="14"/>
      <x:c r="CC487" s="14"/>
      <x:c r="CD487" s="14"/>
      <x:c r="CE487" s="14"/>
    </x:row>
    <x:row r="488">
      <x:c r="A488" s="14" t="n">
        <x:v>487</x:v>
      </x:c>
      <x:c r="B488" s="14"/>
      <x:c r="C488" s="14" t="str">
        <x:v>CHECKING_EVENT</x:v>
      </x:c>
      <x:c r="D488" s="14" t="str">
        <x:v>Exploratory_Checking_611_Positional_Surrogate.xlsx</x:v>
      </x:c>
      <x:c r="E488" s="14"/>
      <x:c r="F488" s="14"/>
      <x:c r="G488" s="14"/>
      <x:c r="H488" s="14"/>
      <x:c r="I488" s="14"/>
      <x:c r="J488" s="14"/>
      <x:c r="K488" s="14" t="str">
        <x:v>NEEDS_WINDOW_BINDING</x:v>
      </x:c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  <x:c r="AB488" s="14"/>
      <x:c r="AC488" s="14"/>
      <x:c r="AD488" s="14"/>
      <x:c r="AE488" s="14"/>
      <x:c r="AF488" s="14"/>
      <x:c r="AG488" s="14"/>
      <x:c r="AH488" s="14"/>
      <x:c r="AI488" s="14"/>
      <x:c r="AJ488" s="14"/>
      <x:c r="AK488" s="14"/>
      <x:c r="AL488" s="14"/>
      <x:c r="AM488" s="14"/>
      <x:c r="AN488" s="14"/>
      <x:c r="AO488" s="14"/>
      <x:c r="AP488" s="14"/>
      <x:c r="AQ488" s="14"/>
      <x:c r="AR488" s="14"/>
      <x:c r="AS488" s="14"/>
      <x:c r="AT488" s="14"/>
      <x:c r="AU488" s="14"/>
      <x:c r="AV488" s="14"/>
      <x:c r="AW488" s="14"/>
      <x:c r="AX488" s="14"/>
      <x:c r="AY488" s="14"/>
      <x:c r="AZ488" s="14"/>
      <x:c r="BA488" s="14"/>
      <x:c r="BB488" s="14"/>
      <x:c r="BC488" s="14"/>
      <x:c r="BD488" s="14"/>
      <x:c r="BE488" s="14"/>
      <x:c r="BF488" s="14"/>
      <x:c r="BG488" s="14"/>
      <x:c r="BH488" s="14"/>
      <x:c r="BI488" s="14"/>
      <x:c r="BJ488" s="14"/>
      <x:c r="BK488" s="14"/>
      <x:c r="BL488" s="14"/>
      <x:c r="BM488" s="14"/>
      <x:c r="BN488" s="14"/>
      <x:c r="BO488" s="14"/>
      <x:c r="BP488" s="14"/>
      <x:c r="BQ488" s="14"/>
      <x:c r="BR488" s="14"/>
      <x:c r="BS488" s="14"/>
      <x:c r="BT488" s="14"/>
      <x:c r="BU488" s="14"/>
      <x:c r="BV488" s="14"/>
      <x:c r="BW488" s="14"/>
      <x:c r="BX488" s="14"/>
      <x:c r="BY488" s="14"/>
      <x:c r="BZ488" s="14"/>
      <x:c r="CA488" s="14"/>
      <x:c r="CB488" s="14"/>
      <x:c r="CC488" s="14"/>
      <x:c r="CD488" s="14"/>
      <x:c r="CE488" s="14"/>
    </x:row>
    <x:row r="489">
      <x:c r="A489" s="14" t="n">
        <x:v>488</x:v>
      </x:c>
      <x:c r="B489" s="14"/>
      <x:c r="C489" s="14" t="str">
        <x:v>CHECKING_EVENT</x:v>
      </x:c>
      <x:c r="D489" s="14" t="str">
        <x:v>Exploratory_Checking_611_Positional_Surrogate.xlsx</x:v>
      </x:c>
      <x:c r="E489" s="14"/>
      <x:c r="F489" s="14"/>
      <x:c r="G489" s="14"/>
      <x:c r="H489" s="14"/>
      <x:c r="I489" s="14"/>
      <x:c r="J489" s="14"/>
      <x:c r="K489" s="14" t="str">
        <x:v>NEEDS_WINDOW_BINDING</x:v>
      </x:c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  <x:c r="AB489" s="14"/>
      <x:c r="AC489" s="14"/>
      <x:c r="AD489" s="14"/>
      <x:c r="AE489" s="14"/>
      <x:c r="AF489" s="14"/>
      <x:c r="AG489" s="14"/>
      <x:c r="AH489" s="14"/>
      <x:c r="AI489" s="14"/>
      <x:c r="AJ489" s="14"/>
      <x:c r="AK489" s="14"/>
      <x:c r="AL489" s="14"/>
      <x:c r="AM489" s="14"/>
      <x:c r="AN489" s="14"/>
      <x:c r="AO489" s="14"/>
      <x:c r="AP489" s="14"/>
      <x:c r="AQ489" s="14"/>
      <x:c r="AR489" s="14"/>
      <x:c r="AS489" s="14"/>
      <x:c r="AT489" s="14"/>
      <x:c r="AU489" s="14"/>
      <x:c r="AV489" s="14"/>
      <x:c r="AW489" s="14"/>
      <x:c r="AX489" s="14"/>
      <x:c r="AY489" s="14"/>
      <x:c r="AZ489" s="14"/>
      <x:c r="BA489" s="14"/>
      <x:c r="BB489" s="14"/>
      <x:c r="BC489" s="14"/>
      <x:c r="BD489" s="14"/>
      <x:c r="BE489" s="14"/>
      <x:c r="BF489" s="14"/>
      <x:c r="BG489" s="14"/>
      <x:c r="BH489" s="14"/>
      <x:c r="BI489" s="14"/>
      <x:c r="BJ489" s="14"/>
      <x:c r="BK489" s="14"/>
      <x:c r="BL489" s="14"/>
      <x:c r="BM489" s="14"/>
      <x:c r="BN489" s="14"/>
      <x:c r="BO489" s="14"/>
      <x:c r="BP489" s="14"/>
      <x:c r="BQ489" s="14"/>
      <x:c r="BR489" s="14"/>
      <x:c r="BS489" s="14"/>
      <x:c r="BT489" s="14"/>
      <x:c r="BU489" s="14"/>
      <x:c r="BV489" s="14"/>
      <x:c r="BW489" s="14"/>
      <x:c r="BX489" s="14"/>
      <x:c r="BY489" s="14"/>
      <x:c r="BZ489" s="14"/>
      <x:c r="CA489" s="14"/>
      <x:c r="CB489" s="14"/>
      <x:c r="CC489" s="14"/>
      <x:c r="CD489" s="14"/>
      <x:c r="CE489" s="14"/>
    </x:row>
    <x:row r="490">
      <x:c r="A490" s="14" t="n">
        <x:v>489</x:v>
      </x:c>
      <x:c r="B490" s="14"/>
      <x:c r="C490" s="14" t="str">
        <x:v>CHECKING_EVENT</x:v>
      </x:c>
      <x:c r="D490" s="14" t="str">
        <x:v>Exploratory_Checking_611_Positional_Surrogate.xlsx</x:v>
      </x:c>
      <x:c r="E490" s="14"/>
      <x:c r="F490" s="14"/>
      <x:c r="G490" s="14"/>
      <x:c r="H490" s="14"/>
      <x:c r="I490" s="14"/>
      <x:c r="J490" s="14"/>
      <x:c r="K490" s="14" t="str">
        <x:v>NEEDS_WINDOW_BINDING</x:v>
      </x:c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  <x:c r="AA490" s="14"/>
      <x:c r="AB490" s="14"/>
      <x:c r="AC490" s="14"/>
      <x:c r="AD490" s="14"/>
      <x:c r="AE490" s="14"/>
      <x:c r="AF490" s="14"/>
      <x:c r="AG490" s="14"/>
      <x:c r="AH490" s="14"/>
      <x:c r="AI490" s="14"/>
      <x:c r="AJ490" s="14"/>
      <x:c r="AK490" s="14"/>
      <x:c r="AL490" s="14"/>
      <x:c r="AM490" s="14"/>
      <x:c r="AN490" s="14"/>
      <x:c r="AO490" s="14"/>
      <x:c r="AP490" s="14"/>
      <x:c r="AQ490" s="14"/>
      <x:c r="AR490" s="14"/>
      <x:c r="AS490" s="14"/>
      <x:c r="AT490" s="14"/>
      <x:c r="AU490" s="14"/>
      <x:c r="AV490" s="14"/>
      <x:c r="AW490" s="14"/>
      <x:c r="AX490" s="14"/>
      <x:c r="AY490" s="14"/>
      <x:c r="AZ490" s="14"/>
      <x:c r="BA490" s="14"/>
      <x:c r="BB490" s="14"/>
      <x:c r="BC490" s="14"/>
      <x:c r="BD490" s="14"/>
      <x:c r="BE490" s="14"/>
      <x:c r="BF490" s="14"/>
      <x:c r="BG490" s="14"/>
      <x:c r="BH490" s="14"/>
      <x:c r="BI490" s="14"/>
      <x:c r="BJ490" s="14"/>
      <x:c r="BK490" s="14"/>
      <x:c r="BL490" s="14"/>
      <x:c r="BM490" s="14"/>
      <x:c r="BN490" s="14"/>
      <x:c r="BO490" s="14"/>
      <x:c r="BP490" s="14"/>
      <x:c r="BQ490" s="14"/>
      <x:c r="BR490" s="14"/>
      <x:c r="BS490" s="14"/>
      <x:c r="BT490" s="14"/>
      <x:c r="BU490" s="14"/>
      <x:c r="BV490" s="14"/>
      <x:c r="BW490" s="14"/>
      <x:c r="BX490" s="14"/>
      <x:c r="BY490" s="14"/>
      <x:c r="BZ490" s="14"/>
      <x:c r="CA490" s="14"/>
      <x:c r="CB490" s="14"/>
      <x:c r="CC490" s="14"/>
      <x:c r="CD490" s="14"/>
      <x:c r="CE490" s="14"/>
    </x:row>
    <x:row r="491">
      <x:c r="A491" s="14" t="n">
        <x:v>490</x:v>
      </x:c>
      <x:c r="B491" s="14"/>
      <x:c r="C491" s="14" t="str">
        <x:v>CHECKING_EVENT</x:v>
      </x:c>
      <x:c r="D491" s="14" t="str">
        <x:v>Exploratory_Checking_611_Positional_Surrogate.xlsx</x:v>
      </x:c>
      <x:c r="E491" s="14"/>
      <x:c r="F491" s="14"/>
      <x:c r="G491" s="14"/>
      <x:c r="H491" s="14"/>
      <x:c r="I491" s="14"/>
      <x:c r="J491" s="14"/>
      <x:c r="K491" s="14" t="str">
        <x:v>NEEDS_WINDOW_BINDING</x:v>
      </x:c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  <x:c r="AA491" s="14"/>
      <x:c r="AB491" s="14"/>
      <x:c r="AC491" s="14"/>
      <x:c r="AD491" s="14"/>
      <x:c r="AE491" s="14"/>
      <x:c r="AF491" s="14"/>
      <x:c r="AG491" s="14"/>
      <x:c r="AH491" s="14"/>
      <x:c r="AI491" s="14"/>
      <x:c r="AJ491" s="14"/>
      <x:c r="AK491" s="14"/>
      <x:c r="AL491" s="14"/>
      <x:c r="AM491" s="14"/>
      <x:c r="AN491" s="14"/>
      <x:c r="AO491" s="14"/>
      <x:c r="AP491" s="14"/>
      <x:c r="AQ491" s="14"/>
      <x:c r="AR491" s="14"/>
      <x:c r="AS491" s="14"/>
      <x:c r="AT491" s="14"/>
      <x:c r="AU491" s="14"/>
      <x:c r="AV491" s="14"/>
      <x:c r="AW491" s="14"/>
      <x:c r="AX491" s="14"/>
      <x:c r="AY491" s="14"/>
      <x:c r="AZ491" s="14"/>
      <x:c r="BA491" s="14"/>
      <x:c r="BB491" s="14"/>
      <x:c r="BC491" s="14"/>
      <x:c r="BD491" s="14"/>
      <x:c r="BE491" s="14"/>
      <x:c r="BF491" s="14"/>
      <x:c r="BG491" s="14"/>
      <x:c r="BH491" s="14"/>
      <x:c r="BI491" s="14"/>
      <x:c r="BJ491" s="14"/>
      <x:c r="BK491" s="14"/>
      <x:c r="BL491" s="14"/>
      <x:c r="BM491" s="14"/>
      <x:c r="BN491" s="14"/>
      <x:c r="BO491" s="14"/>
      <x:c r="BP491" s="14"/>
      <x:c r="BQ491" s="14"/>
      <x:c r="BR491" s="14"/>
      <x:c r="BS491" s="14"/>
      <x:c r="BT491" s="14"/>
      <x:c r="BU491" s="14"/>
      <x:c r="BV491" s="14"/>
      <x:c r="BW491" s="14"/>
      <x:c r="BX491" s="14"/>
      <x:c r="BY491" s="14"/>
      <x:c r="BZ491" s="14"/>
      <x:c r="CA491" s="14"/>
      <x:c r="CB491" s="14"/>
      <x:c r="CC491" s="14"/>
      <x:c r="CD491" s="14"/>
      <x:c r="CE491" s="14"/>
    </x:row>
    <x:row r="492">
      <x:c r="A492" s="14" t="n">
        <x:v>491</x:v>
      </x:c>
      <x:c r="B492" s="14"/>
      <x:c r="C492" s="14" t="str">
        <x:v>CHECKING_EVENT</x:v>
      </x:c>
      <x:c r="D492" s="14" t="str">
        <x:v>Exploratory_Checking_611_Positional_Surrogate.xlsx</x:v>
      </x:c>
      <x:c r="E492" s="14"/>
      <x:c r="F492" s="14"/>
      <x:c r="G492" s="14"/>
      <x:c r="H492" s="14"/>
      <x:c r="I492" s="14"/>
      <x:c r="J492" s="14"/>
      <x:c r="K492" s="14" t="str">
        <x:v>NEEDS_WINDOW_BINDING</x:v>
      </x:c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  <x:c r="AA492" s="14"/>
      <x:c r="AB492" s="14"/>
      <x:c r="AC492" s="14"/>
      <x:c r="AD492" s="14"/>
      <x:c r="AE492" s="14"/>
      <x:c r="AF492" s="14"/>
      <x:c r="AG492" s="14"/>
      <x:c r="AH492" s="14"/>
      <x:c r="AI492" s="14"/>
      <x:c r="AJ492" s="14"/>
      <x:c r="AK492" s="14"/>
      <x:c r="AL492" s="14"/>
      <x:c r="AM492" s="14"/>
      <x:c r="AN492" s="14"/>
      <x:c r="AO492" s="14"/>
      <x:c r="AP492" s="14"/>
      <x:c r="AQ492" s="14"/>
      <x:c r="AR492" s="14"/>
      <x:c r="AS492" s="14"/>
      <x:c r="AT492" s="14"/>
      <x:c r="AU492" s="14"/>
      <x:c r="AV492" s="14"/>
      <x:c r="AW492" s="14"/>
      <x:c r="AX492" s="14"/>
      <x:c r="AY492" s="14"/>
      <x:c r="AZ492" s="14"/>
      <x:c r="BA492" s="14"/>
      <x:c r="BB492" s="14"/>
      <x:c r="BC492" s="14"/>
      <x:c r="BD492" s="14"/>
      <x:c r="BE492" s="14"/>
      <x:c r="BF492" s="14"/>
      <x:c r="BG492" s="14"/>
      <x:c r="BH492" s="14"/>
      <x:c r="BI492" s="14"/>
      <x:c r="BJ492" s="14"/>
      <x:c r="BK492" s="14"/>
      <x:c r="BL492" s="14"/>
      <x:c r="BM492" s="14"/>
      <x:c r="BN492" s="14"/>
      <x:c r="BO492" s="14"/>
      <x:c r="BP492" s="14"/>
      <x:c r="BQ492" s="14"/>
      <x:c r="BR492" s="14"/>
      <x:c r="BS492" s="14"/>
      <x:c r="BT492" s="14"/>
      <x:c r="BU492" s="14"/>
      <x:c r="BV492" s="14"/>
      <x:c r="BW492" s="14"/>
      <x:c r="BX492" s="14"/>
      <x:c r="BY492" s="14"/>
      <x:c r="BZ492" s="14"/>
      <x:c r="CA492" s="14"/>
      <x:c r="CB492" s="14"/>
      <x:c r="CC492" s="14"/>
      <x:c r="CD492" s="14"/>
      <x:c r="CE492" s="14"/>
    </x:row>
    <x:row r="493">
      <x:c r="A493" s="14" t="n">
        <x:v>492</x:v>
      </x:c>
      <x:c r="B493" s="14"/>
      <x:c r="C493" s="14" t="str">
        <x:v>CHECKING_EVENT</x:v>
      </x:c>
      <x:c r="D493" s="14" t="str">
        <x:v>Exploratory_Checking_611_Positional_Surrogate.xlsx</x:v>
      </x:c>
      <x:c r="E493" s="14"/>
      <x:c r="F493" s="14"/>
      <x:c r="G493" s="14"/>
      <x:c r="H493" s="14"/>
      <x:c r="I493" s="14"/>
      <x:c r="J493" s="14"/>
      <x:c r="K493" s="14" t="str">
        <x:v>NEEDS_WINDOW_BINDING</x:v>
      </x:c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  <x:c r="AB493" s="14"/>
      <x:c r="AC493" s="14"/>
      <x:c r="AD493" s="14"/>
      <x:c r="AE493" s="14"/>
      <x:c r="AF493" s="14"/>
      <x:c r="AG493" s="14"/>
      <x:c r="AH493" s="14"/>
      <x:c r="AI493" s="14"/>
      <x:c r="AJ493" s="14"/>
      <x:c r="AK493" s="14"/>
      <x:c r="AL493" s="14"/>
      <x:c r="AM493" s="14"/>
      <x:c r="AN493" s="14"/>
      <x:c r="AO493" s="14"/>
      <x:c r="AP493" s="14"/>
      <x:c r="AQ493" s="14"/>
      <x:c r="AR493" s="14"/>
      <x:c r="AS493" s="14"/>
      <x:c r="AT493" s="14"/>
      <x:c r="AU493" s="14"/>
      <x:c r="AV493" s="14"/>
      <x:c r="AW493" s="14"/>
      <x:c r="AX493" s="14"/>
      <x:c r="AY493" s="14"/>
      <x:c r="AZ493" s="14"/>
      <x:c r="BA493" s="14"/>
      <x:c r="BB493" s="14"/>
      <x:c r="BC493" s="14"/>
      <x:c r="BD493" s="14"/>
      <x:c r="BE493" s="14"/>
      <x:c r="BF493" s="14"/>
      <x:c r="BG493" s="14"/>
      <x:c r="BH493" s="14"/>
      <x:c r="BI493" s="14"/>
      <x:c r="BJ493" s="14"/>
      <x:c r="BK493" s="14"/>
      <x:c r="BL493" s="14"/>
      <x:c r="BM493" s="14"/>
      <x:c r="BN493" s="14"/>
      <x:c r="BO493" s="14"/>
      <x:c r="BP493" s="14"/>
      <x:c r="BQ493" s="14"/>
      <x:c r="BR493" s="14"/>
      <x:c r="BS493" s="14"/>
      <x:c r="BT493" s="14"/>
      <x:c r="BU493" s="14"/>
      <x:c r="BV493" s="14"/>
      <x:c r="BW493" s="14"/>
      <x:c r="BX493" s="14"/>
      <x:c r="BY493" s="14"/>
      <x:c r="BZ493" s="14"/>
      <x:c r="CA493" s="14"/>
      <x:c r="CB493" s="14"/>
      <x:c r="CC493" s="14"/>
      <x:c r="CD493" s="14"/>
      <x:c r="CE493" s="14"/>
    </x:row>
    <x:row r="494">
      <x:c r="A494" s="14" t="n">
        <x:v>493</x:v>
      </x:c>
      <x:c r="B494" s="14"/>
      <x:c r="C494" s="14" t="str">
        <x:v>CHECKING_EVENT</x:v>
      </x:c>
      <x:c r="D494" s="14" t="str">
        <x:v>Exploratory_Checking_611_Positional_Surrogate.xlsx</x:v>
      </x:c>
      <x:c r="E494" s="14"/>
      <x:c r="F494" s="14"/>
      <x:c r="G494" s="14"/>
      <x:c r="H494" s="14"/>
      <x:c r="I494" s="14"/>
      <x:c r="J494" s="14"/>
      <x:c r="K494" s="14" t="str">
        <x:v>NEEDS_WINDOW_BINDING</x:v>
      </x:c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4"/>
      <x:c r="AB494" s="14"/>
      <x:c r="AC494" s="14"/>
      <x:c r="AD494" s="14"/>
      <x:c r="AE494" s="14"/>
      <x:c r="AF494" s="14"/>
      <x:c r="AG494" s="14"/>
      <x:c r="AH494" s="14"/>
      <x:c r="AI494" s="14"/>
      <x:c r="AJ494" s="14"/>
      <x:c r="AK494" s="14"/>
      <x:c r="AL494" s="14"/>
      <x:c r="AM494" s="14"/>
      <x:c r="AN494" s="14"/>
      <x:c r="AO494" s="14"/>
      <x:c r="AP494" s="14"/>
      <x:c r="AQ494" s="14"/>
      <x:c r="AR494" s="14"/>
      <x:c r="AS494" s="14"/>
      <x:c r="AT494" s="14"/>
      <x:c r="AU494" s="14"/>
      <x:c r="AV494" s="14"/>
      <x:c r="AW494" s="14"/>
      <x:c r="AX494" s="14"/>
      <x:c r="AY494" s="14"/>
      <x:c r="AZ494" s="14"/>
      <x:c r="BA494" s="14"/>
      <x:c r="BB494" s="14"/>
      <x:c r="BC494" s="14"/>
      <x:c r="BD494" s="14"/>
      <x:c r="BE494" s="14"/>
      <x:c r="BF494" s="14"/>
      <x:c r="BG494" s="14"/>
      <x:c r="BH494" s="14"/>
      <x:c r="BI494" s="14"/>
      <x:c r="BJ494" s="14"/>
      <x:c r="BK494" s="14"/>
      <x:c r="BL494" s="14"/>
      <x:c r="BM494" s="14"/>
      <x:c r="BN494" s="14"/>
      <x:c r="BO494" s="14"/>
      <x:c r="BP494" s="14"/>
      <x:c r="BQ494" s="14"/>
      <x:c r="BR494" s="14"/>
      <x:c r="BS494" s="14"/>
      <x:c r="BT494" s="14"/>
      <x:c r="BU494" s="14"/>
      <x:c r="BV494" s="14"/>
      <x:c r="BW494" s="14"/>
      <x:c r="BX494" s="14"/>
      <x:c r="BY494" s="14"/>
      <x:c r="BZ494" s="14"/>
      <x:c r="CA494" s="14"/>
      <x:c r="CB494" s="14"/>
      <x:c r="CC494" s="14"/>
      <x:c r="CD494" s="14"/>
      <x:c r="CE494" s="14"/>
    </x:row>
    <x:row r="495">
      <x:c r="A495" s="14" t="n">
        <x:v>494</x:v>
      </x:c>
      <x:c r="B495" s="14"/>
      <x:c r="C495" s="14" t="str">
        <x:v>CHECKING_EVENT</x:v>
      </x:c>
      <x:c r="D495" s="14" t="str">
        <x:v>Exploratory_Checking_611_Positional_Surrogate.xlsx</x:v>
      </x:c>
      <x:c r="E495" s="14"/>
      <x:c r="F495" s="14"/>
      <x:c r="G495" s="14"/>
      <x:c r="H495" s="14"/>
      <x:c r="I495" s="14"/>
      <x:c r="J495" s="14"/>
      <x:c r="K495" s="14" t="str">
        <x:v>NEEDS_WINDOW_BINDING</x:v>
      </x:c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  <x:c r="AA495" s="14"/>
      <x:c r="AB495" s="14"/>
      <x:c r="AC495" s="14"/>
      <x:c r="AD495" s="14"/>
      <x:c r="AE495" s="14"/>
      <x:c r="AF495" s="14"/>
      <x:c r="AG495" s="14"/>
      <x:c r="AH495" s="14"/>
      <x:c r="AI495" s="14"/>
      <x:c r="AJ495" s="14"/>
      <x:c r="AK495" s="14"/>
      <x:c r="AL495" s="14"/>
      <x:c r="AM495" s="14"/>
      <x:c r="AN495" s="14"/>
      <x:c r="AO495" s="14"/>
      <x:c r="AP495" s="14"/>
      <x:c r="AQ495" s="14"/>
      <x:c r="AR495" s="14"/>
      <x:c r="AS495" s="14"/>
      <x:c r="AT495" s="14"/>
      <x:c r="AU495" s="14"/>
      <x:c r="AV495" s="14"/>
      <x:c r="AW495" s="14"/>
      <x:c r="AX495" s="14"/>
      <x:c r="AY495" s="14"/>
      <x:c r="AZ495" s="14"/>
      <x:c r="BA495" s="14"/>
      <x:c r="BB495" s="14"/>
      <x:c r="BC495" s="14"/>
      <x:c r="BD495" s="14"/>
      <x:c r="BE495" s="14"/>
      <x:c r="BF495" s="14"/>
      <x:c r="BG495" s="14"/>
      <x:c r="BH495" s="14"/>
      <x:c r="BI495" s="14"/>
      <x:c r="BJ495" s="14"/>
      <x:c r="BK495" s="14"/>
      <x:c r="BL495" s="14"/>
      <x:c r="BM495" s="14"/>
      <x:c r="BN495" s="14"/>
      <x:c r="BO495" s="14"/>
      <x:c r="BP495" s="14"/>
      <x:c r="BQ495" s="14"/>
      <x:c r="BR495" s="14"/>
      <x:c r="BS495" s="14"/>
      <x:c r="BT495" s="14"/>
      <x:c r="BU495" s="14"/>
      <x:c r="BV495" s="14"/>
      <x:c r="BW495" s="14"/>
      <x:c r="BX495" s="14"/>
      <x:c r="BY495" s="14"/>
      <x:c r="BZ495" s="14"/>
      <x:c r="CA495" s="14"/>
      <x:c r="CB495" s="14"/>
      <x:c r="CC495" s="14"/>
      <x:c r="CD495" s="14"/>
      <x:c r="CE495" s="14"/>
    </x:row>
    <x:row r="496">
      <x:c r="A496" s="14" t="n">
        <x:v>495</x:v>
      </x:c>
      <x:c r="B496" s="14"/>
      <x:c r="C496" s="14" t="str">
        <x:v>CHECKING_EVENT</x:v>
      </x:c>
      <x:c r="D496" s="14" t="str">
        <x:v>Exploratory_Checking_611_Positional_Surrogate.xlsx</x:v>
      </x:c>
      <x:c r="E496" s="14"/>
      <x:c r="F496" s="14"/>
      <x:c r="G496" s="14"/>
      <x:c r="H496" s="14"/>
      <x:c r="I496" s="14"/>
      <x:c r="J496" s="14"/>
      <x:c r="K496" s="14" t="str">
        <x:v>NEEDS_WINDOW_BINDING</x:v>
      </x:c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  <x:c r="AA496" s="14"/>
      <x:c r="AB496" s="14"/>
      <x:c r="AC496" s="14"/>
      <x:c r="AD496" s="14"/>
      <x:c r="AE496" s="14"/>
      <x:c r="AF496" s="14"/>
      <x:c r="AG496" s="14"/>
      <x:c r="AH496" s="14"/>
      <x:c r="AI496" s="14"/>
      <x:c r="AJ496" s="14"/>
      <x:c r="AK496" s="14"/>
      <x:c r="AL496" s="14"/>
      <x:c r="AM496" s="14"/>
      <x:c r="AN496" s="14"/>
      <x:c r="AO496" s="14"/>
      <x:c r="AP496" s="14"/>
      <x:c r="AQ496" s="14"/>
      <x:c r="AR496" s="14"/>
      <x:c r="AS496" s="14"/>
      <x:c r="AT496" s="14"/>
      <x:c r="AU496" s="14"/>
      <x:c r="AV496" s="14"/>
      <x:c r="AW496" s="14"/>
      <x:c r="AX496" s="14"/>
      <x:c r="AY496" s="14"/>
      <x:c r="AZ496" s="14"/>
      <x:c r="BA496" s="14"/>
      <x:c r="BB496" s="14"/>
      <x:c r="BC496" s="14"/>
      <x:c r="BD496" s="14"/>
      <x:c r="BE496" s="14"/>
      <x:c r="BF496" s="14"/>
      <x:c r="BG496" s="14"/>
      <x:c r="BH496" s="14"/>
      <x:c r="BI496" s="14"/>
      <x:c r="BJ496" s="14"/>
      <x:c r="BK496" s="14"/>
      <x:c r="BL496" s="14"/>
      <x:c r="BM496" s="14"/>
      <x:c r="BN496" s="14"/>
      <x:c r="BO496" s="14"/>
      <x:c r="BP496" s="14"/>
      <x:c r="BQ496" s="14"/>
      <x:c r="BR496" s="14"/>
      <x:c r="BS496" s="14"/>
      <x:c r="BT496" s="14"/>
      <x:c r="BU496" s="14"/>
      <x:c r="BV496" s="14"/>
      <x:c r="BW496" s="14"/>
      <x:c r="BX496" s="14"/>
      <x:c r="BY496" s="14"/>
      <x:c r="BZ496" s="14"/>
      <x:c r="CA496" s="14"/>
      <x:c r="CB496" s="14"/>
      <x:c r="CC496" s="14"/>
      <x:c r="CD496" s="14"/>
      <x:c r="CE496" s="14"/>
    </x:row>
    <x:row r="497">
      <x:c r="A497" s="14" t="n">
        <x:v>496</x:v>
      </x:c>
      <x:c r="B497" s="14"/>
      <x:c r="C497" s="14" t="str">
        <x:v>CHECKING_EVENT</x:v>
      </x:c>
      <x:c r="D497" s="14" t="str">
        <x:v>Exploratory_Checking_611_Positional_Surrogate.xlsx</x:v>
      </x:c>
      <x:c r="E497" s="14"/>
      <x:c r="F497" s="14"/>
      <x:c r="G497" s="14"/>
      <x:c r="H497" s="14"/>
      <x:c r="I497" s="14"/>
      <x:c r="J497" s="14"/>
      <x:c r="K497" s="14" t="str">
        <x:v>NEEDS_WINDOW_BINDING</x:v>
      </x:c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  <x:c r="AA497" s="14"/>
      <x:c r="AB497" s="14"/>
      <x:c r="AC497" s="14"/>
      <x:c r="AD497" s="14"/>
      <x:c r="AE497" s="14"/>
      <x:c r="AF497" s="14"/>
      <x:c r="AG497" s="14"/>
      <x:c r="AH497" s="14"/>
      <x:c r="AI497" s="14"/>
      <x:c r="AJ497" s="14"/>
      <x:c r="AK497" s="14"/>
      <x:c r="AL497" s="14"/>
      <x:c r="AM497" s="14"/>
      <x:c r="AN497" s="14"/>
      <x:c r="AO497" s="14"/>
      <x:c r="AP497" s="14"/>
      <x:c r="AQ497" s="14"/>
      <x:c r="AR497" s="14"/>
      <x:c r="AS497" s="14"/>
      <x:c r="AT497" s="14"/>
      <x:c r="AU497" s="14"/>
      <x:c r="AV497" s="14"/>
      <x:c r="AW497" s="14"/>
      <x:c r="AX497" s="14"/>
      <x:c r="AY497" s="14"/>
      <x:c r="AZ497" s="14"/>
      <x:c r="BA497" s="14"/>
      <x:c r="BB497" s="14"/>
      <x:c r="BC497" s="14"/>
      <x:c r="BD497" s="14"/>
      <x:c r="BE497" s="14"/>
      <x:c r="BF497" s="14"/>
      <x:c r="BG497" s="14"/>
      <x:c r="BH497" s="14"/>
      <x:c r="BI497" s="14"/>
      <x:c r="BJ497" s="14"/>
      <x:c r="BK497" s="14"/>
      <x:c r="BL497" s="14"/>
      <x:c r="BM497" s="14"/>
      <x:c r="BN497" s="14"/>
      <x:c r="BO497" s="14"/>
      <x:c r="BP497" s="14"/>
      <x:c r="BQ497" s="14"/>
      <x:c r="BR497" s="14"/>
      <x:c r="BS497" s="14"/>
      <x:c r="BT497" s="14"/>
      <x:c r="BU497" s="14"/>
      <x:c r="BV497" s="14"/>
      <x:c r="BW497" s="14"/>
      <x:c r="BX497" s="14"/>
      <x:c r="BY497" s="14"/>
      <x:c r="BZ497" s="14"/>
      <x:c r="CA497" s="14"/>
      <x:c r="CB497" s="14"/>
      <x:c r="CC497" s="14"/>
      <x:c r="CD497" s="14"/>
      <x:c r="CE497" s="14"/>
    </x:row>
    <x:row r="498">
      <x:c r="A498" s="14" t="n">
        <x:v>497</x:v>
      </x:c>
      <x:c r="B498" s="14"/>
      <x:c r="C498" s="14" t="str">
        <x:v>CHECKING_EVENT</x:v>
      </x:c>
      <x:c r="D498" s="14" t="str">
        <x:v>Exploratory_Checking_611_Positional_Surrogate.xlsx</x:v>
      </x:c>
      <x:c r="E498" s="14"/>
      <x:c r="F498" s="14"/>
      <x:c r="G498" s="14"/>
      <x:c r="H498" s="14"/>
      <x:c r="I498" s="14"/>
      <x:c r="J498" s="14"/>
      <x:c r="K498" s="14" t="str">
        <x:v>NEEDS_WINDOW_BINDING</x:v>
      </x:c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  <x:c r="AA498" s="14"/>
      <x:c r="AB498" s="14"/>
      <x:c r="AC498" s="14"/>
      <x:c r="AD498" s="14"/>
      <x:c r="AE498" s="14"/>
      <x:c r="AF498" s="14"/>
      <x:c r="AG498" s="14"/>
      <x:c r="AH498" s="14"/>
      <x:c r="AI498" s="14"/>
      <x:c r="AJ498" s="14"/>
      <x:c r="AK498" s="14"/>
      <x:c r="AL498" s="14"/>
      <x:c r="AM498" s="14"/>
      <x:c r="AN498" s="14"/>
      <x:c r="AO498" s="14"/>
      <x:c r="AP498" s="14"/>
      <x:c r="AQ498" s="14"/>
      <x:c r="AR498" s="14"/>
      <x:c r="AS498" s="14"/>
      <x:c r="AT498" s="14"/>
      <x:c r="AU498" s="14"/>
      <x:c r="AV498" s="14"/>
      <x:c r="AW498" s="14"/>
      <x:c r="AX498" s="14"/>
      <x:c r="AY498" s="14"/>
      <x:c r="AZ498" s="14"/>
      <x:c r="BA498" s="14"/>
      <x:c r="BB498" s="14"/>
      <x:c r="BC498" s="14"/>
      <x:c r="BD498" s="14"/>
      <x:c r="BE498" s="14"/>
      <x:c r="BF498" s="14"/>
      <x:c r="BG498" s="14"/>
      <x:c r="BH498" s="14"/>
      <x:c r="BI498" s="14"/>
      <x:c r="BJ498" s="14"/>
      <x:c r="BK498" s="14"/>
      <x:c r="BL498" s="14"/>
      <x:c r="BM498" s="14"/>
      <x:c r="BN498" s="14"/>
      <x:c r="BO498" s="14"/>
      <x:c r="BP498" s="14"/>
      <x:c r="BQ498" s="14"/>
      <x:c r="BR498" s="14"/>
      <x:c r="BS498" s="14"/>
      <x:c r="BT498" s="14"/>
      <x:c r="BU498" s="14"/>
      <x:c r="BV498" s="14"/>
      <x:c r="BW498" s="14"/>
      <x:c r="BX498" s="14"/>
      <x:c r="BY498" s="14"/>
      <x:c r="BZ498" s="14"/>
      <x:c r="CA498" s="14"/>
      <x:c r="CB498" s="14"/>
      <x:c r="CC498" s="14"/>
      <x:c r="CD498" s="14"/>
      <x:c r="CE498" s="14"/>
    </x:row>
    <x:row r="499">
      <x:c r="A499" s="14" t="n">
        <x:v>498</x:v>
      </x:c>
      <x:c r="B499" s="14"/>
      <x:c r="C499" s="14" t="str">
        <x:v>CHECKING_EVENT</x:v>
      </x:c>
      <x:c r="D499" s="14" t="str">
        <x:v>Exploratory_Checking_611_Positional_Surrogate.xlsx</x:v>
      </x:c>
      <x:c r="E499" s="14"/>
      <x:c r="F499" s="14"/>
      <x:c r="G499" s="14"/>
      <x:c r="H499" s="14"/>
      <x:c r="I499" s="14"/>
      <x:c r="J499" s="14"/>
      <x:c r="K499" s="14" t="str">
        <x:v>NEEDS_WINDOW_BINDING</x:v>
      </x:c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  <x:c r="AA499" s="14"/>
      <x:c r="AB499" s="14"/>
      <x:c r="AC499" s="14"/>
      <x:c r="AD499" s="14"/>
      <x:c r="AE499" s="14"/>
      <x:c r="AF499" s="14"/>
      <x:c r="AG499" s="14"/>
      <x:c r="AH499" s="14"/>
      <x:c r="AI499" s="14"/>
      <x:c r="AJ499" s="14"/>
      <x:c r="AK499" s="14"/>
      <x:c r="AL499" s="14"/>
      <x:c r="AM499" s="14"/>
      <x:c r="AN499" s="14"/>
      <x:c r="AO499" s="14"/>
      <x:c r="AP499" s="14"/>
      <x:c r="AQ499" s="14"/>
      <x:c r="AR499" s="14"/>
      <x:c r="AS499" s="14"/>
      <x:c r="AT499" s="14"/>
      <x:c r="AU499" s="14"/>
      <x:c r="AV499" s="14"/>
      <x:c r="AW499" s="14"/>
      <x:c r="AX499" s="14"/>
      <x:c r="AY499" s="14"/>
      <x:c r="AZ499" s="14"/>
      <x:c r="BA499" s="14"/>
      <x:c r="BB499" s="14"/>
      <x:c r="BC499" s="14"/>
      <x:c r="BD499" s="14"/>
      <x:c r="BE499" s="14"/>
      <x:c r="BF499" s="14"/>
      <x:c r="BG499" s="14"/>
      <x:c r="BH499" s="14"/>
      <x:c r="BI499" s="14"/>
      <x:c r="BJ499" s="14"/>
      <x:c r="BK499" s="14"/>
      <x:c r="BL499" s="14"/>
      <x:c r="BM499" s="14"/>
      <x:c r="BN499" s="14"/>
      <x:c r="BO499" s="14"/>
      <x:c r="BP499" s="14"/>
      <x:c r="BQ499" s="14"/>
      <x:c r="BR499" s="14"/>
      <x:c r="BS499" s="14"/>
      <x:c r="BT499" s="14"/>
      <x:c r="BU499" s="14"/>
      <x:c r="BV499" s="14"/>
      <x:c r="BW499" s="14"/>
      <x:c r="BX499" s="14"/>
      <x:c r="BY499" s="14"/>
      <x:c r="BZ499" s="14"/>
      <x:c r="CA499" s="14"/>
      <x:c r="CB499" s="14"/>
      <x:c r="CC499" s="14"/>
      <x:c r="CD499" s="14"/>
      <x:c r="CE499" s="14"/>
    </x:row>
    <x:row r="500">
      <x:c r="A500" s="14" t="n">
        <x:v>499</x:v>
      </x:c>
      <x:c r="B500" s="14"/>
      <x:c r="C500" s="14" t="str">
        <x:v>CHECKING_EVENT</x:v>
      </x:c>
      <x:c r="D500" s="14" t="str">
        <x:v>Exploratory_Checking_611_Positional_Surrogate.xlsx</x:v>
      </x:c>
      <x:c r="E500" s="14"/>
      <x:c r="F500" s="14"/>
      <x:c r="G500" s="14"/>
      <x:c r="H500" s="14"/>
      <x:c r="I500" s="14"/>
      <x:c r="J500" s="14"/>
      <x:c r="K500" s="14" t="str">
        <x:v>NEEDS_WINDOW_BINDING</x:v>
      </x:c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  <x:c r="AA500" s="14"/>
      <x:c r="AB500" s="14"/>
      <x:c r="AC500" s="14"/>
      <x:c r="AD500" s="14"/>
      <x:c r="AE500" s="14"/>
      <x:c r="AF500" s="14"/>
      <x:c r="AG500" s="14"/>
      <x:c r="AH500" s="14"/>
      <x:c r="AI500" s="14"/>
      <x:c r="AJ500" s="14"/>
      <x:c r="AK500" s="14"/>
      <x:c r="AL500" s="14"/>
      <x:c r="AM500" s="14"/>
      <x:c r="AN500" s="14"/>
      <x:c r="AO500" s="14"/>
      <x:c r="AP500" s="14"/>
      <x:c r="AQ500" s="14"/>
      <x:c r="AR500" s="14"/>
      <x:c r="AS500" s="14"/>
      <x:c r="AT500" s="14"/>
      <x:c r="AU500" s="14"/>
      <x:c r="AV500" s="14"/>
      <x:c r="AW500" s="14"/>
      <x:c r="AX500" s="14"/>
      <x:c r="AY500" s="14"/>
      <x:c r="AZ500" s="14"/>
      <x:c r="BA500" s="14"/>
      <x:c r="BB500" s="14"/>
      <x:c r="BC500" s="14"/>
      <x:c r="BD500" s="14"/>
      <x:c r="BE500" s="14"/>
      <x:c r="BF500" s="14"/>
      <x:c r="BG500" s="14"/>
      <x:c r="BH500" s="14"/>
      <x:c r="BI500" s="14"/>
      <x:c r="BJ500" s="14"/>
      <x:c r="BK500" s="14"/>
      <x:c r="BL500" s="14"/>
      <x:c r="BM500" s="14"/>
      <x:c r="BN500" s="14"/>
      <x:c r="BO500" s="14"/>
      <x:c r="BP500" s="14"/>
      <x:c r="BQ500" s="14"/>
      <x:c r="BR500" s="14"/>
      <x:c r="BS500" s="14"/>
      <x:c r="BT500" s="14"/>
      <x:c r="BU500" s="14"/>
      <x:c r="BV500" s="14"/>
      <x:c r="BW500" s="14"/>
      <x:c r="BX500" s="14"/>
      <x:c r="BY500" s="14"/>
      <x:c r="BZ500" s="14"/>
      <x:c r="CA500" s="14"/>
      <x:c r="CB500" s="14"/>
      <x:c r="CC500" s="14"/>
      <x:c r="CD500" s="14"/>
      <x:c r="CE500" s="14"/>
    </x:row>
    <x:row r="501">
      <x:c r="A501" s="14" t="n">
        <x:v>500</x:v>
      </x:c>
      <x:c r="B501" s="14"/>
      <x:c r="C501" s="14" t="str">
        <x:v>CHECKING_EVENT</x:v>
      </x:c>
      <x:c r="D501" s="14" t="str">
        <x:v>Exploratory_Checking_611_Positional_Surrogate.xlsx</x:v>
      </x:c>
      <x:c r="E501" s="14"/>
      <x:c r="F501" s="14"/>
      <x:c r="G501" s="14"/>
      <x:c r="H501" s="14"/>
      <x:c r="I501" s="14"/>
      <x:c r="J501" s="14"/>
      <x:c r="K501" s="14" t="str">
        <x:v>NEEDS_WINDOW_BINDING</x:v>
      </x:c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14"/>
      <x:c r="AA501" s="14"/>
      <x:c r="AB501" s="14"/>
      <x:c r="AC501" s="14"/>
      <x:c r="AD501" s="14"/>
      <x:c r="AE501" s="14"/>
      <x:c r="AF501" s="14"/>
      <x:c r="AG501" s="14"/>
      <x:c r="AH501" s="14"/>
      <x:c r="AI501" s="14"/>
      <x:c r="AJ501" s="14"/>
      <x:c r="AK501" s="14"/>
      <x:c r="AL501" s="14"/>
      <x:c r="AM501" s="14"/>
      <x:c r="AN501" s="14"/>
      <x:c r="AO501" s="14"/>
      <x:c r="AP501" s="14"/>
      <x:c r="AQ501" s="14"/>
      <x:c r="AR501" s="14"/>
      <x:c r="AS501" s="14"/>
      <x:c r="AT501" s="14"/>
      <x:c r="AU501" s="14"/>
      <x:c r="AV501" s="14"/>
      <x:c r="AW501" s="14"/>
      <x:c r="AX501" s="14"/>
      <x:c r="AY501" s="14"/>
      <x:c r="AZ501" s="14"/>
      <x:c r="BA501" s="14"/>
      <x:c r="BB501" s="14"/>
      <x:c r="BC501" s="14"/>
      <x:c r="BD501" s="14"/>
      <x:c r="BE501" s="14"/>
      <x:c r="BF501" s="14"/>
      <x:c r="BG501" s="14"/>
      <x:c r="BH501" s="14"/>
      <x:c r="BI501" s="14"/>
      <x:c r="BJ501" s="14"/>
      <x:c r="BK501" s="14"/>
      <x:c r="BL501" s="14"/>
      <x:c r="BM501" s="14"/>
      <x:c r="BN501" s="14"/>
      <x:c r="BO501" s="14"/>
      <x:c r="BP501" s="14"/>
      <x:c r="BQ501" s="14"/>
      <x:c r="BR501" s="14"/>
      <x:c r="BS501" s="14"/>
      <x:c r="BT501" s="14"/>
      <x:c r="BU501" s="14"/>
      <x:c r="BV501" s="14"/>
      <x:c r="BW501" s="14"/>
      <x:c r="BX501" s="14"/>
      <x:c r="BY501" s="14"/>
      <x:c r="BZ501" s="14"/>
      <x:c r="CA501" s="14"/>
      <x:c r="CB501" s="14"/>
      <x:c r="CC501" s="14"/>
      <x:c r="CD501" s="14"/>
      <x:c r="CE501" s="14"/>
    </x:row>
    <x:row r="502">
      <x:c r="A502" s="14" t="n">
        <x:v>501</x:v>
      </x:c>
      <x:c r="B502" s="14"/>
      <x:c r="C502" s="14" t="str">
        <x:v>CHECKING_EVENT</x:v>
      </x:c>
      <x:c r="D502" s="14" t="str">
        <x:v>Exploratory_Checking_611_Positional_Surrogate.xlsx</x:v>
      </x:c>
      <x:c r="E502" s="14"/>
      <x:c r="F502" s="14"/>
      <x:c r="G502" s="14"/>
      <x:c r="H502" s="14"/>
      <x:c r="I502" s="14"/>
      <x:c r="J502" s="14"/>
      <x:c r="K502" s="14" t="str">
        <x:v>NEEDS_WINDOW_BINDING</x:v>
      </x:c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14"/>
      <x:c r="AA502" s="14"/>
      <x:c r="AB502" s="14"/>
      <x:c r="AC502" s="14"/>
      <x:c r="AD502" s="14"/>
      <x:c r="AE502" s="14"/>
      <x:c r="AF502" s="14"/>
      <x:c r="AG502" s="14"/>
      <x:c r="AH502" s="14"/>
      <x:c r="AI502" s="14"/>
      <x:c r="AJ502" s="14"/>
      <x:c r="AK502" s="14"/>
      <x:c r="AL502" s="14"/>
      <x:c r="AM502" s="14"/>
      <x:c r="AN502" s="14"/>
      <x:c r="AO502" s="14"/>
      <x:c r="AP502" s="14"/>
      <x:c r="AQ502" s="14"/>
      <x:c r="AR502" s="14"/>
      <x:c r="AS502" s="14"/>
      <x:c r="AT502" s="14"/>
      <x:c r="AU502" s="14"/>
      <x:c r="AV502" s="14"/>
      <x:c r="AW502" s="14"/>
      <x:c r="AX502" s="14"/>
      <x:c r="AY502" s="14"/>
      <x:c r="AZ502" s="14"/>
      <x:c r="BA502" s="14"/>
      <x:c r="BB502" s="14"/>
      <x:c r="BC502" s="14"/>
      <x:c r="BD502" s="14"/>
      <x:c r="BE502" s="14"/>
      <x:c r="BF502" s="14"/>
      <x:c r="BG502" s="14"/>
      <x:c r="BH502" s="14"/>
      <x:c r="BI502" s="14"/>
      <x:c r="BJ502" s="14"/>
      <x:c r="BK502" s="14"/>
      <x:c r="BL502" s="14"/>
      <x:c r="BM502" s="14"/>
      <x:c r="BN502" s="14"/>
      <x:c r="BO502" s="14"/>
      <x:c r="BP502" s="14"/>
      <x:c r="BQ502" s="14"/>
      <x:c r="BR502" s="14"/>
      <x:c r="BS502" s="14"/>
      <x:c r="BT502" s="14"/>
      <x:c r="BU502" s="14"/>
      <x:c r="BV502" s="14"/>
      <x:c r="BW502" s="14"/>
      <x:c r="BX502" s="14"/>
      <x:c r="BY502" s="14"/>
      <x:c r="BZ502" s="14"/>
      <x:c r="CA502" s="14"/>
      <x:c r="CB502" s="14"/>
      <x:c r="CC502" s="14"/>
      <x:c r="CD502" s="14"/>
      <x:c r="CE502" s="14"/>
    </x:row>
    <x:row r="503">
      <x:c r="A503" s="14" t="n">
        <x:v>502</x:v>
      </x:c>
      <x:c r="B503" s="14"/>
      <x:c r="C503" s="14" t="str">
        <x:v>CHECKING_EVENT</x:v>
      </x:c>
      <x:c r="D503" s="14" t="str">
        <x:v>Exploratory_Checking_611_Positional_Surrogate.xlsx</x:v>
      </x:c>
      <x:c r="E503" s="14"/>
      <x:c r="F503" s="14"/>
      <x:c r="G503" s="14"/>
      <x:c r="H503" s="14"/>
      <x:c r="I503" s="14"/>
      <x:c r="J503" s="14"/>
      <x:c r="K503" s="14" t="str">
        <x:v>NEEDS_WINDOW_BINDING</x:v>
      </x:c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  <x:c r="AA503" s="14"/>
      <x:c r="AB503" s="14"/>
      <x:c r="AC503" s="14"/>
      <x:c r="AD503" s="14"/>
      <x:c r="AE503" s="14"/>
      <x:c r="AF503" s="14"/>
      <x:c r="AG503" s="14"/>
      <x:c r="AH503" s="14"/>
      <x:c r="AI503" s="14"/>
      <x:c r="AJ503" s="14"/>
      <x:c r="AK503" s="14"/>
      <x:c r="AL503" s="14"/>
      <x:c r="AM503" s="14"/>
      <x:c r="AN503" s="14"/>
      <x:c r="AO503" s="14"/>
      <x:c r="AP503" s="14"/>
      <x:c r="AQ503" s="14"/>
      <x:c r="AR503" s="14"/>
      <x:c r="AS503" s="14"/>
      <x:c r="AT503" s="14"/>
      <x:c r="AU503" s="14"/>
      <x:c r="AV503" s="14"/>
      <x:c r="AW503" s="14"/>
      <x:c r="AX503" s="14"/>
      <x:c r="AY503" s="14"/>
      <x:c r="AZ503" s="14"/>
      <x:c r="BA503" s="14"/>
      <x:c r="BB503" s="14"/>
      <x:c r="BC503" s="14"/>
      <x:c r="BD503" s="14"/>
      <x:c r="BE503" s="14"/>
      <x:c r="BF503" s="14"/>
      <x:c r="BG503" s="14"/>
      <x:c r="BH503" s="14"/>
      <x:c r="BI503" s="14"/>
      <x:c r="BJ503" s="14"/>
      <x:c r="BK503" s="14"/>
      <x:c r="BL503" s="14"/>
      <x:c r="BM503" s="14"/>
      <x:c r="BN503" s="14"/>
      <x:c r="BO503" s="14"/>
      <x:c r="BP503" s="14"/>
      <x:c r="BQ503" s="14"/>
      <x:c r="BR503" s="14"/>
      <x:c r="BS503" s="14"/>
      <x:c r="BT503" s="14"/>
      <x:c r="BU503" s="14"/>
      <x:c r="BV503" s="14"/>
      <x:c r="BW503" s="14"/>
      <x:c r="BX503" s="14"/>
      <x:c r="BY503" s="14"/>
      <x:c r="BZ503" s="14"/>
      <x:c r="CA503" s="14"/>
      <x:c r="CB503" s="14"/>
      <x:c r="CC503" s="14"/>
      <x:c r="CD503" s="14"/>
      <x:c r="CE503" s="14"/>
    </x:row>
    <x:row r="504">
      <x:c r="A504" s="14" t="n">
        <x:v>503</x:v>
      </x:c>
      <x:c r="B504" s="14"/>
      <x:c r="C504" s="14" t="str">
        <x:v>CHECKING_EVENT</x:v>
      </x:c>
      <x:c r="D504" s="14" t="str">
        <x:v>Exploratory_Checking_611_Positional_Surrogate.xlsx</x:v>
      </x:c>
      <x:c r="E504" s="14"/>
      <x:c r="F504" s="14"/>
      <x:c r="G504" s="14"/>
      <x:c r="H504" s="14"/>
      <x:c r="I504" s="14"/>
      <x:c r="J504" s="14"/>
      <x:c r="K504" s="14" t="str">
        <x:v>NEEDS_WINDOW_BINDING</x:v>
      </x:c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  <x:c r="AA504" s="14"/>
      <x:c r="AB504" s="14"/>
      <x:c r="AC504" s="14"/>
      <x:c r="AD504" s="14"/>
      <x:c r="AE504" s="14"/>
      <x:c r="AF504" s="14"/>
      <x:c r="AG504" s="14"/>
      <x:c r="AH504" s="14"/>
      <x:c r="AI504" s="14"/>
      <x:c r="AJ504" s="14"/>
      <x:c r="AK504" s="14"/>
      <x:c r="AL504" s="14"/>
      <x:c r="AM504" s="14"/>
      <x:c r="AN504" s="14"/>
      <x:c r="AO504" s="14"/>
      <x:c r="AP504" s="14"/>
      <x:c r="AQ504" s="14"/>
      <x:c r="AR504" s="14"/>
      <x:c r="AS504" s="14"/>
      <x:c r="AT504" s="14"/>
      <x:c r="AU504" s="14"/>
      <x:c r="AV504" s="14"/>
      <x:c r="AW504" s="14"/>
      <x:c r="AX504" s="14"/>
      <x:c r="AY504" s="14"/>
      <x:c r="AZ504" s="14"/>
      <x:c r="BA504" s="14"/>
      <x:c r="BB504" s="14"/>
      <x:c r="BC504" s="14"/>
      <x:c r="BD504" s="14"/>
      <x:c r="BE504" s="14"/>
      <x:c r="BF504" s="14"/>
      <x:c r="BG504" s="14"/>
      <x:c r="BH504" s="14"/>
      <x:c r="BI504" s="14"/>
      <x:c r="BJ504" s="14"/>
      <x:c r="BK504" s="14"/>
      <x:c r="BL504" s="14"/>
      <x:c r="BM504" s="14"/>
      <x:c r="BN504" s="14"/>
      <x:c r="BO504" s="14"/>
      <x:c r="BP504" s="14"/>
      <x:c r="BQ504" s="14"/>
      <x:c r="BR504" s="14"/>
      <x:c r="BS504" s="14"/>
      <x:c r="BT504" s="14"/>
      <x:c r="BU504" s="14"/>
      <x:c r="BV504" s="14"/>
      <x:c r="BW504" s="14"/>
      <x:c r="BX504" s="14"/>
      <x:c r="BY504" s="14"/>
      <x:c r="BZ504" s="14"/>
      <x:c r="CA504" s="14"/>
      <x:c r="CB504" s="14"/>
      <x:c r="CC504" s="14"/>
      <x:c r="CD504" s="14"/>
      <x:c r="CE504" s="14"/>
    </x:row>
    <x:row r="505">
      <x:c r="A505" s="14" t="n">
        <x:v>504</x:v>
      </x:c>
      <x:c r="B505" s="14"/>
      <x:c r="C505" s="14" t="str">
        <x:v>CHECKING_EVENT</x:v>
      </x:c>
      <x:c r="D505" s="14" t="str">
        <x:v>Exploratory_Checking_611_Positional_Surrogate.xlsx</x:v>
      </x:c>
      <x:c r="E505" s="14"/>
      <x:c r="F505" s="14"/>
      <x:c r="G505" s="14"/>
      <x:c r="H505" s="14"/>
      <x:c r="I505" s="14"/>
      <x:c r="J505" s="14"/>
      <x:c r="K505" s="14" t="str">
        <x:v>NEEDS_WINDOW_BINDING</x:v>
      </x:c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  <x:c r="AA505" s="14"/>
      <x:c r="AB505" s="14"/>
      <x:c r="AC505" s="14"/>
      <x:c r="AD505" s="14"/>
      <x:c r="AE505" s="14"/>
      <x:c r="AF505" s="14"/>
      <x:c r="AG505" s="14"/>
      <x:c r="AH505" s="14"/>
      <x:c r="AI505" s="14"/>
      <x:c r="AJ505" s="14"/>
      <x:c r="AK505" s="14"/>
      <x:c r="AL505" s="14"/>
      <x:c r="AM505" s="14"/>
      <x:c r="AN505" s="14"/>
      <x:c r="AO505" s="14"/>
      <x:c r="AP505" s="14"/>
      <x:c r="AQ505" s="14"/>
      <x:c r="AR505" s="14"/>
      <x:c r="AS505" s="14"/>
      <x:c r="AT505" s="14"/>
      <x:c r="AU505" s="14"/>
      <x:c r="AV505" s="14"/>
      <x:c r="AW505" s="14"/>
      <x:c r="AX505" s="14"/>
      <x:c r="AY505" s="14"/>
      <x:c r="AZ505" s="14"/>
      <x:c r="BA505" s="14"/>
      <x:c r="BB505" s="14"/>
      <x:c r="BC505" s="14"/>
      <x:c r="BD505" s="14"/>
      <x:c r="BE505" s="14"/>
      <x:c r="BF505" s="14"/>
      <x:c r="BG505" s="14"/>
      <x:c r="BH505" s="14"/>
      <x:c r="BI505" s="14"/>
      <x:c r="BJ505" s="14"/>
      <x:c r="BK505" s="14"/>
      <x:c r="BL505" s="14"/>
      <x:c r="BM505" s="14"/>
      <x:c r="BN505" s="14"/>
      <x:c r="BO505" s="14"/>
      <x:c r="BP505" s="14"/>
      <x:c r="BQ505" s="14"/>
      <x:c r="BR505" s="14"/>
      <x:c r="BS505" s="14"/>
      <x:c r="BT505" s="14"/>
      <x:c r="BU505" s="14"/>
      <x:c r="BV505" s="14"/>
      <x:c r="BW505" s="14"/>
      <x:c r="BX505" s="14"/>
      <x:c r="BY505" s="14"/>
      <x:c r="BZ505" s="14"/>
      <x:c r="CA505" s="14"/>
      <x:c r="CB505" s="14"/>
      <x:c r="CC505" s="14"/>
      <x:c r="CD505" s="14"/>
      <x:c r="CE505" s="14"/>
    </x:row>
    <x:row r="506">
      <x:c r="A506" s="14" t="n">
        <x:v>505</x:v>
      </x:c>
      <x:c r="B506" s="14"/>
      <x:c r="C506" s="14" t="str">
        <x:v>CHECKING_EVENT</x:v>
      </x:c>
      <x:c r="D506" s="14" t="str">
        <x:v>Exploratory_Checking_611_Positional_Surrogate.xlsx</x:v>
      </x:c>
      <x:c r="E506" s="14"/>
      <x:c r="F506" s="14"/>
      <x:c r="G506" s="14"/>
      <x:c r="H506" s="14"/>
      <x:c r="I506" s="14"/>
      <x:c r="J506" s="14"/>
      <x:c r="K506" s="14" t="str">
        <x:v>NEEDS_WINDOW_BINDING</x:v>
      </x:c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  <x:c r="AA506" s="14"/>
      <x:c r="AB506" s="14"/>
      <x:c r="AC506" s="14"/>
      <x:c r="AD506" s="14"/>
      <x:c r="AE506" s="14"/>
      <x:c r="AF506" s="14"/>
      <x:c r="AG506" s="14"/>
      <x:c r="AH506" s="14"/>
      <x:c r="AI506" s="14"/>
      <x:c r="AJ506" s="14"/>
      <x:c r="AK506" s="14"/>
      <x:c r="AL506" s="14"/>
      <x:c r="AM506" s="14"/>
      <x:c r="AN506" s="14"/>
      <x:c r="AO506" s="14"/>
      <x:c r="AP506" s="14"/>
      <x:c r="AQ506" s="14"/>
      <x:c r="AR506" s="14"/>
      <x:c r="AS506" s="14"/>
      <x:c r="AT506" s="14"/>
      <x:c r="AU506" s="14"/>
      <x:c r="AV506" s="14"/>
      <x:c r="AW506" s="14"/>
      <x:c r="AX506" s="14"/>
      <x:c r="AY506" s="14"/>
      <x:c r="AZ506" s="14"/>
      <x:c r="BA506" s="14"/>
      <x:c r="BB506" s="14"/>
      <x:c r="BC506" s="14"/>
      <x:c r="BD506" s="14"/>
      <x:c r="BE506" s="14"/>
      <x:c r="BF506" s="14"/>
      <x:c r="BG506" s="14"/>
      <x:c r="BH506" s="14"/>
      <x:c r="BI506" s="14"/>
      <x:c r="BJ506" s="14"/>
      <x:c r="BK506" s="14"/>
      <x:c r="BL506" s="14"/>
      <x:c r="BM506" s="14"/>
      <x:c r="BN506" s="14"/>
      <x:c r="BO506" s="14"/>
      <x:c r="BP506" s="14"/>
      <x:c r="BQ506" s="14"/>
      <x:c r="BR506" s="14"/>
      <x:c r="BS506" s="14"/>
      <x:c r="BT506" s="14"/>
      <x:c r="BU506" s="14"/>
      <x:c r="BV506" s="14"/>
      <x:c r="BW506" s="14"/>
      <x:c r="BX506" s="14"/>
      <x:c r="BY506" s="14"/>
      <x:c r="BZ506" s="14"/>
      <x:c r="CA506" s="14"/>
      <x:c r="CB506" s="14"/>
      <x:c r="CC506" s="14"/>
      <x:c r="CD506" s="14"/>
      <x:c r="CE506" s="14"/>
    </x:row>
    <x:row r="507">
      <x:c r="A507" s="14" t="n">
        <x:v>506</x:v>
      </x:c>
      <x:c r="B507" s="14"/>
      <x:c r="C507" s="14" t="str">
        <x:v>CHECKING_EVENT</x:v>
      </x:c>
      <x:c r="D507" s="14" t="str">
        <x:v>Exploratory_Checking_611_Positional_Surrogate.xlsx</x:v>
      </x:c>
      <x:c r="E507" s="14"/>
      <x:c r="F507" s="14"/>
      <x:c r="G507" s="14"/>
      <x:c r="H507" s="14"/>
      <x:c r="I507" s="14"/>
      <x:c r="J507" s="14"/>
      <x:c r="K507" s="14" t="str">
        <x:v>NEEDS_WINDOW_BINDING</x:v>
      </x:c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  <x:c r="AA507" s="14"/>
      <x:c r="AB507" s="14"/>
      <x:c r="AC507" s="14"/>
      <x:c r="AD507" s="14"/>
      <x:c r="AE507" s="14"/>
      <x:c r="AF507" s="14"/>
      <x:c r="AG507" s="14"/>
      <x:c r="AH507" s="14"/>
      <x:c r="AI507" s="14"/>
      <x:c r="AJ507" s="14"/>
      <x:c r="AK507" s="14"/>
      <x:c r="AL507" s="14"/>
      <x:c r="AM507" s="14"/>
      <x:c r="AN507" s="14"/>
      <x:c r="AO507" s="14"/>
      <x:c r="AP507" s="14"/>
      <x:c r="AQ507" s="14"/>
      <x:c r="AR507" s="14"/>
      <x:c r="AS507" s="14"/>
      <x:c r="AT507" s="14"/>
      <x:c r="AU507" s="14"/>
      <x:c r="AV507" s="14"/>
      <x:c r="AW507" s="14"/>
      <x:c r="AX507" s="14"/>
      <x:c r="AY507" s="14"/>
      <x:c r="AZ507" s="14"/>
      <x:c r="BA507" s="14"/>
      <x:c r="BB507" s="14"/>
      <x:c r="BC507" s="14"/>
      <x:c r="BD507" s="14"/>
      <x:c r="BE507" s="14"/>
      <x:c r="BF507" s="14"/>
      <x:c r="BG507" s="14"/>
      <x:c r="BH507" s="14"/>
      <x:c r="BI507" s="14"/>
      <x:c r="BJ507" s="14"/>
      <x:c r="BK507" s="14"/>
      <x:c r="BL507" s="14"/>
      <x:c r="BM507" s="14"/>
      <x:c r="BN507" s="14"/>
      <x:c r="BO507" s="14"/>
      <x:c r="BP507" s="14"/>
      <x:c r="BQ507" s="14"/>
      <x:c r="BR507" s="14"/>
      <x:c r="BS507" s="14"/>
      <x:c r="BT507" s="14"/>
      <x:c r="BU507" s="14"/>
      <x:c r="BV507" s="14"/>
      <x:c r="BW507" s="14"/>
      <x:c r="BX507" s="14"/>
      <x:c r="BY507" s="14"/>
      <x:c r="BZ507" s="14"/>
      <x:c r="CA507" s="14"/>
      <x:c r="CB507" s="14"/>
      <x:c r="CC507" s="14"/>
      <x:c r="CD507" s="14"/>
      <x:c r="CE507" s="14"/>
    </x:row>
    <x:row r="508">
      <x:c r="A508" s="14" t="n">
        <x:v>507</x:v>
      </x:c>
      <x:c r="B508" s="14"/>
      <x:c r="C508" s="14" t="str">
        <x:v>CHECKING_EVENT</x:v>
      </x:c>
      <x:c r="D508" s="14" t="str">
        <x:v>Exploratory_Checking_611_Positional_Surrogate.xlsx</x:v>
      </x:c>
      <x:c r="E508" s="14"/>
      <x:c r="F508" s="14"/>
      <x:c r="G508" s="14"/>
      <x:c r="H508" s="14"/>
      <x:c r="I508" s="14"/>
      <x:c r="J508" s="14"/>
      <x:c r="K508" s="14" t="str">
        <x:v>NEEDS_WINDOW_BINDING</x:v>
      </x:c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  <x:c r="AA508" s="14"/>
      <x:c r="AB508" s="14"/>
      <x:c r="AC508" s="14"/>
      <x:c r="AD508" s="14"/>
      <x:c r="AE508" s="14"/>
      <x:c r="AF508" s="14"/>
      <x:c r="AG508" s="14"/>
      <x:c r="AH508" s="14"/>
      <x:c r="AI508" s="14"/>
      <x:c r="AJ508" s="14"/>
      <x:c r="AK508" s="14"/>
      <x:c r="AL508" s="14"/>
      <x:c r="AM508" s="14"/>
      <x:c r="AN508" s="14"/>
      <x:c r="AO508" s="14"/>
      <x:c r="AP508" s="14"/>
      <x:c r="AQ508" s="14"/>
      <x:c r="AR508" s="14"/>
      <x:c r="AS508" s="14"/>
      <x:c r="AT508" s="14"/>
      <x:c r="AU508" s="14"/>
      <x:c r="AV508" s="14"/>
      <x:c r="AW508" s="14"/>
      <x:c r="AX508" s="14"/>
      <x:c r="AY508" s="14"/>
      <x:c r="AZ508" s="14"/>
      <x:c r="BA508" s="14"/>
      <x:c r="BB508" s="14"/>
      <x:c r="BC508" s="14"/>
      <x:c r="BD508" s="14"/>
      <x:c r="BE508" s="14"/>
      <x:c r="BF508" s="14"/>
      <x:c r="BG508" s="14"/>
      <x:c r="BH508" s="14"/>
      <x:c r="BI508" s="14"/>
      <x:c r="BJ508" s="14"/>
      <x:c r="BK508" s="14"/>
      <x:c r="BL508" s="14"/>
      <x:c r="BM508" s="14"/>
      <x:c r="BN508" s="14"/>
      <x:c r="BO508" s="14"/>
      <x:c r="BP508" s="14"/>
      <x:c r="BQ508" s="14"/>
      <x:c r="BR508" s="14"/>
      <x:c r="BS508" s="14"/>
      <x:c r="BT508" s="14"/>
      <x:c r="BU508" s="14"/>
      <x:c r="BV508" s="14"/>
      <x:c r="BW508" s="14"/>
      <x:c r="BX508" s="14"/>
      <x:c r="BY508" s="14"/>
      <x:c r="BZ508" s="14"/>
      <x:c r="CA508" s="14"/>
      <x:c r="CB508" s="14"/>
      <x:c r="CC508" s="14"/>
      <x:c r="CD508" s="14"/>
      <x:c r="CE508" s="14"/>
    </x:row>
    <x:row r="509">
      <x:c r="A509" s="14" t="n">
        <x:v>508</x:v>
      </x:c>
      <x:c r="B509" s="14"/>
      <x:c r="C509" s="14" t="str">
        <x:v>CHECKING_EVENT</x:v>
      </x:c>
      <x:c r="D509" s="14" t="str">
        <x:v>Exploratory_Checking_611_Positional_Surrogate.xlsx</x:v>
      </x:c>
      <x:c r="E509" s="14"/>
      <x:c r="F509" s="14"/>
      <x:c r="G509" s="14"/>
      <x:c r="H509" s="14"/>
      <x:c r="I509" s="14"/>
      <x:c r="J509" s="14"/>
      <x:c r="K509" s="14" t="str">
        <x:v>NEEDS_WINDOW_BINDING</x:v>
      </x:c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  <x:c r="AA509" s="14"/>
      <x:c r="AB509" s="14"/>
      <x:c r="AC509" s="14"/>
      <x:c r="AD509" s="14"/>
      <x:c r="AE509" s="14"/>
      <x:c r="AF509" s="14"/>
      <x:c r="AG509" s="14"/>
      <x:c r="AH509" s="14"/>
      <x:c r="AI509" s="14"/>
      <x:c r="AJ509" s="14"/>
      <x:c r="AK509" s="14"/>
      <x:c r="AL509" s="14"/>
      <x:c r="AM509" s="14"/>
      <x:c r="AN509" s="14"/>
      <x:c r="AO509" s="14"/>
      <x:c r="AP509" s="14"/>
      <x:c r="AQ509" s="14"/>
      <x:c r="AR509" s="14"/>
      <x:c r="AS509" s="14"/>
      <x:c r="AT509" s="14"/>
      <x:c r="AU509" s="14"/>
      <x:c r="AV509" s="14"/>
      <x:c r="AW509" s="14"/>
      <x:c r="AX509" s="14"/>
      <x:c r="AY509" s="14"/>
      <x:c r="AZ509" s="14"/>
      <x:c r="BA509" s="14"/>
      <x:c r="BB509" s="14"/>
      <x:c r="BC509" s="14"/>
      <x:c r="BD509" s="14"/>
      <x:c r="BE509" s="14"/>
      <x:c r="BF509" s="14"/>
      <x:c r="BG509" s="14"/>
      <x:c r="BH509" s="14"/>
      <x:c r="BI509" s="14"/>
      <x:c r="BJ509" s="14"/>
      <x:c r="BK509" s="14"/>
      <x:c r="BL509" s="14"/>
      <x:c r="BM509" s="14"/>
      <x:c r="BN509" s="14"/>
      <x:c r="BO509" s="14"/>
      <x:c r="BP509" s="14"/>
      <x:c r="BQ509" s="14"/>
      <x:c r="BR509" s="14"/>
      <x:c r="BS509" s="14"/>
      <x:c r="BT509" s="14"/>
      <x:c r="BU509" s="14"/>
      <x:c r="BV509" s="14"/>
      <x:c r="BW509" s="14"/>
      <x:c r="BX509" s="14"/>
      <x:c r="BY509" s="14"/>
      <x:c r="BZ509" s="14"/>
      <x:c r="CA509" s="14"/>
      <x:c r="CB509" s="14"/>
      <x:c r="CC509" s="14"/>
      <x:c r="CD509" s="14"/>
      <x:c r="CE509" s="14"/>
    </x:row>
    <x:row r="510">
      <x:c r="A510" s="14" t="n">
        <x:v>509</x:v>
      </x:c>
      <x:c r="B510" s="14"/>
      <x:c r="C510" s="14" t="str">
        <x:v>CHECKING_EVENT</x:v>
      </x:c>
      <x:c r="D510" s="14" t="str">
        <x:v>Exploratory_Checking_611_Positional_Surrogate.xlsx</x:v>
      </x:c>
      <x:c r="E510" s="14"/>
      <x:c r="F510" s="14"/>
      <x:c r="G510" s="14"/>
      <x:c r="H510" s="14"/>
      <x:c r="I510" s="14"/>
      <x:c r="J510" s="14"/>
      <x:c r="K510" s="14" t="str">
        <x:v>NEEDS_WINDOW_BINDING</x:v>
      </x:c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  <x:c r="AA510" s="14"/>
      <x:c r="AB510" s="14"/>
      <x:c r="AC510" s="14"/>
      <x:c r="AD510" s="14"/>
      <x:c r="AE510" s="14"/>
      <x:c r="AF510" s="14"/>
      <x:c r="AG510" s="14"/>
      <x:c r="AH510" s="14"/>
      <x:c r="AI510" s="14"/>
      <x:c r="AJ510" s="14"/>
      <x:c r="AK510" s="14"/>
      <x:c r="AL510" s="14"/>
      <x:c r="AM510" s="14"/>
      <x:c r="AN510" s="14"/>
      <x:c r="AO510" s="14"/>
      <x:c r="AP510" s="14"/>
      <x:c r="AQ510" s="14"/>
      <x:c r="AR510" s="14"/>
      <x:c r="AS510" s="14"/>
      <x:c r="AT510" s="14"/>
      <x:c r="AU510" s="14"/>
      <x:c r="AV510" s="14"/>
      <x:c r="AW510" s="14"/>
      <x:c r="AX510" s="14"/>
      <x:c r="AY510" s="14"/>
      <x:c r="AZ510" s="14"/>
      <x:c r="BA510" s="14"/>
      <x:c r="BB510" s="14"/>
      <x:c r="BC510" s="14"/>
      <x:c r="BD510" s="14"/>
      <x:c r="BE510" s="14"/>
      <x:c r="BF510" s="14"/>
      <x:c r="BG510" s="14"/>
      <x:c r="BH510" s="14"/>
      <x:c r="BI510" s="14"/>
      <x:c r="BJ510" s="14"/>
      <x:c r="BK510" s="14"/>
      <x:c r="BL510" s="14"/>
      <x:c r="BM510" s="14"/>
      <x:c r="BN510" s="14"/>
      <x:c r="BO510" s="14"/>
      <x:c r="BP510" s="14"/>
      <x:c r="BQ510" s="14"/>
      <x:c r="BR510" s="14"/>
      <x:c r="BS510" s="14"/>
      <x:c r="BT510" s="14"/>
      <x:c r="BU510" s="14"/>
      <x:c r="BV510" s="14"/>
      <x:c r="BW510" s="14"/>
      <x:c r="BX510" s="14"/>
      <x:c r="BY510" s="14"/>
      <x:c r="BZ510" s="14"/>
      <x:c r="CA510" s="14"/>
      <x:c r="CB510" s="14"/>
      <x:c r="CC510" s="14"/>
      <x:c r="CD510" s="14"/>
      <x:c r="CE510" s="14"/>
    </x:row>
    <x:row r="511">
      <x:c r="A511" s="14" t="n">
        <x:v>510</x:v>
      </x:c>
      <x:c r="B511" s="14"/>
      <x:c r="C511" s="14" t="str">
        <x:v>CHECKING_EVENT</x:v>
      </x:c>
      <x:c r="D511" s="14" t="str">
        <x:v>Exploratory_Checking_611_Positional_Surrogate.xlsx</x:v>
      </x:c>
      <x:c r="E511" s="14"/>
      <x:c r="F511" s="14"/>
      <x:c r="G511" s="14"/>
      <x:c r="H511" s="14"/>
      <x:c r="I511" s="14"/>
      <x:c r="J511" s="14"/>
      <x:c r="K511" s="14" t="str">
        <x:v>NEEDS_WINDOW_BINDING</x:v>
      </x:c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  <x:c r="AA511" s="14"/>
      <x:c r="AB511" s="14"/>
      <x:c r="AC511" s="14"/>
      <x:c r="AD511" s="14"/>
      <x:c r="AE511" s="14"/>
      <x:c r="AF511" s="14"/>
      <x:c r="AG511" s="14"/>
      <x:c r="AH511" s="14"/>
      <x:c r="AI511" s="14"/>
      <x:c r="AJ511" s="14"/>
      <x:c r="AK511" s="14"/>
      <x:c r="AL511" s="14"/>
      <x:c r="AM511" s="14"/>
      <x:c r="AN511" s="14"/>
      <x:c r="AO511" s="14"/>
      <x:c r="AP511" s="14"/>
      <x:c r="AQ511" s="14"/>
      <x:c r="AR511" s="14"/>
      <x:c r="AS511" s="14"/>
      <x:c r="AT511" s="14"/>
      <x:c r="AU511" s="14"/>
      <x:c r="AV511" s="14"/>
      <x:c r="AW511" s="14"/>
      <x:c r="AX511" s="14"/>
      <x:c r="AY511" s="14"/>
      <x:c r="AZ511" s="14"/>
      <x:c r="BA511" s="14"/>
      <x:c r="BB511" s="14"/>
      <x:c r="BC511" s="14"/>
      <x:c r="BD511" s="14"/>
      <x:c r="BE511" s="14"/>
      <x:c r="BF511" s="14"/>
      <x:c r="BG511" s="14"/>
      <x:c r="BH511" s="14"/>
      <x:c r="BI511" s="14"/>
      <x:c r="BJ511" s="14"/>
      <x:c r="BK511" s="14"/>
      <x:c r="BL511" s="14"/>
      <x:c r="BM511" s="14"/>
      <x:c r="BN511" s="14"/>
      <x:c r="BO511" s="14"/>
      <x:c r="BP511" s="14"/>
      <x:c r="BQ511" s="14"/>
      <x:c r="BR511" s="14"/>
      <x:c r="BS511" s="14"/>
      <x:c r="BT511" s="14"/>
      <x:c r="BU511" s="14"/>
      <x:c r="BV511" s="14"/>
      <x:c r="BW511" s="14"/>
      <x:c r="BX511" s="14"/>
      <x:c r="BY511" s="14"/>
      <x:c r="BZ511" s="14"/>
      <x:c r="CA511" s="14"/>
      <x:c r="CB511" s="14"/>
      <x:c r="CC511" s="14"/>
      <x:c r="CD511" s="14"/>
      <x:c r="CE511" s="14"/>
    </x:row>
    <x:row r="512">
      <x:c r="A512" s="14" t="n">
        <x:v>511</x:v>
      </x:c>
      <x:c r="B512" s="14"/>
      <x:c r="C512" s="14" t="str">
        <x:v>CHECKING_EVENT</x:v>
      </x:c>
      <x:c r="D512" s="14" t="str">
        <x:v>Exploratory_Checking_611_Positional_Surrogate.xlsx</x:v>
      </x:c>
      <x:c r="E512" s="14"/>
      <x:c r="F512" s="14"/>
      <x:c r="G512" s="14"/>
      <x:c r="H512" s="14"/>
      <x:c r="I512" s="14"/>
      <x:c r="J512" s="14"/>
      <x:c r="K512" s="14" t="str">
        <x:v>NEEDS_WINDOW_BINDING</x:v>
      </x:c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  <x:c r="AA512" s="14"/>
      <x:c r="AB512" s="14"/>
      <x:c r="AC512" s="14"/>
      <x:c r="AD512" s="14"/>
      <x:c r="AE512" s="14"/>
      <x:c r="AF512" s="14"/>
      <x:c r="AG512" s="14"/>
      <x:c r="AH512" s="14"/>
      <x:c r="AI512" s="14"/>
      <x:c r="AJ512" s="14"/>
      <x:c r="AK512" s="14"/>
      <x:c r="AL512" s="14"/>
      <x:c r="AM512" s="14"/>
      <x:c r="AN512" s="14"/>
      <x:c r="AO512" s="14"/>
      <x:c r="AP512" s="14"/>
      <x:c r="AQ512" s="14"/>
      <x:c r="AR512" s="14"/>
      <x:c r="AS512" s="14"/>
      <x:c r="AT512" s="14"/>
      <x:c r="AU512" s="14"/>
      <x:c r="AV512" s="14"/>
      <x:c r="AW512" s="14"/>
      <x:c r="AX512" s="14"/>
      <x:c r="AY512" s="14"/>
      <x:c r="AZ512" s="14"/>
      <x:c r="BA512" s="14"/>
      <x:c r="BB512" s="14"/>
      <x:c r="BC512" s="14"/>
      <x:c r="BD512" s="14"/>
      <x:c r="BE512" s="14"/>
      <x:c r="BF512" s="14"/>
      <x:c r="BG512" s="14"/>
      <x:c r="BH512" s="14"/>
      <x:c r="BI512" s="14"/>
      <x:c r="BJ512" s="14"/>
      <x:c r="BK512" s="14"/>
      <x:c r="BL512" s="14"/>
      <x:c r="BM512" s="14"/>
      <x:c r="BN512" s="14"/>
      <x:c r="BO512" s="14"/>
      <x:c r="BP512" s="14"/>
      <x:c r="BQ512" s="14"/>
      <x:c r="BR512" s="14"/>
      <x:c r="BS512" s="14"/>
      <x:c r="BT512" s="14"/>
      <x:c r="BU512" s="14"/>
      <x:c r="BV512" s="14"/>
      <x:c r="BW512" s="14"/>
      <x:c r="BX512" s="14"/>
      <x:c r="BY512" s="14"/>
      <x:c r="BZ512" s="14"/>
      <x:c r="CA512" s="14"/>
      <x:c r="CB512" s="14"/>
      <x:c r="CC512" s="14"/>
      <x:c r="CD512" s="14"/>
      <x:c r="CE512" s="14"/>
    </x:row>
    <x:row r="513">
      <x:c r="A513" s="14" t="n">
        <x:v>512</x:v>
      </x:c>
      <x:c r="B513" s="14"/>
      <x:c r="C513" s="14" t="str">
        <x:v>CHECKING_EVENT</x:v>
      </x:c>
      <x:c r="D513" s="14" t="str">
        <x:v>Exploratory_Checking_611_Positional_Surrogate.xlsx</x:v>
      </x:c>
      <x:c r="E513" s="14"/>
      <x:c r="F513" s="14"/>
      <x:c r="G513" s="14"/>
      <x:c r="H513" s="14"/>
      <x:c r="I513" s="14"/>
      <x:c r="J513" s="14"/>
      <x:c r="K513" s="14" t="str">
        <x:v>NEEDS_WINDOW_BINDING</x:v>
      </x:c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  <x:c r="AA513" s="14"/>
      <x:c r="AB513" s="14"/>
      <x:c r="AC513" s="14"/>
      <x:c r="AD513" s="14"/>
      <x:c r="AE513" s="14"/>
      <x:c r="AF513" s="14"/>
      <x:c r="AG513" s="14"/>
      <x:c r="AH513" s="14"/>
      <x:c r="AI513" s="14"/>
      <x:c r="AJ513" s="14"/>
      <x:c r="AK513" s="14"/>
      <x:c r="AL513" s="14"/>
      <x:c r="AM513" s="14"/>
      <x:c r="AN513" s="14"/>
      <x:c r="AO513" s="14"/>
      <x:c r="AP513" s="14"/>
      <x:c r="AQ513" s="14"/>
      <x:c r="AR513" s="14"/>
      <x:c r="AS513" s="14"/>
      <x:c r="AT513" s="14"/>
      <x:c r="AU513" s="14"/>
      <x:c r="AV513" s="14"/>
      <x:c r="AW513" s="14"/>
      <x:c r="AX513" s="14"/>
      <x:c r="AY513" s="14"/>
      <x:c r="AZ513" s="14"/>
      <x:c r="BA513" s="14"/>
      <x:c r="BB513" s="14"/>
      <x:c r="BC513" s="14"/>
      <x:c r="BD513" s="14"/>
      <x:c r="BE513" s="14"/>
      <x:c r="BF513" s="14"/>
      <x:c r="BG513" s="14"/>
      <x:c r="BH513" s="14"/>
      <x:c r="BI513" s="14"/>
      <x:c r="BJ513" s="14"/>
      <x:c r="BK513" s="14"/>
      <x:c r="BL513" s="14"/>
      <x:c r="BM513" s="14"/>
      <x:c r="BN513" s="14"/>
      <x:c r="BO513" s="14"/>
      <x:c r="BP513" s="14"/>
      <x:c r="BQ513" s="14"/>
      <x:c r="BR513" s="14"/>
      <x:c r="BS513" s="14"/>
      <x:c r="BT513" s="14"/>
      <x:c r="BU513" s="14"/>
      <x:c r="BV513" s="14"/>
      <x:c r="BW513" s="14"/>
      <x:c r="BX513" s="14"/>
      <x:c r="BY513" s="14"/>
      <x:c r="BZ513" s="14"/>
      <x:c r="CA513" s="14"/>
      <x:c r="CB513" s="14"/>
      <x:c r="CC513" s="14"/>
      <x:c r="CD513" s="14"/>
      <x:c r="CE513" s="14"/>
    </x:row>
    <x:row r="514">
      <x:c r="A514" s="14" t="n">
        <x:v>513</x:v>
      </x:c>
      <x:c r="B514" s="14"/>
      <x:c r="C514" s="14" t="str">
        <x:v>CHECKING_EVENT</x:v>
      </x:c>
      <x:c r="D514" s="14" t="str">
        <x:v>Exploratory_Checking_611_Positional_Surrogate.xlsx</x:v>
      </x:c>
      <x:c r="E514" s="14"/>
      <x:c r="F514" s="14"/>
      <x:c r="G514" s="14"/>
      <x:c r="H514" s="14"/>
      <x:c r="I514" s="14"/>
      <x:c r="J514" s="14"/>
      <x:c r="K514" s="14" t="str">
        <x:v>NEEDS_WINDOW_BINDING</x:v>
      </x:c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  <x:c r="AA514" s="14"/>
      <x:c r="AB514" s="14"/>
      <x:c r="AC514" s="14"/>
      <x:c r="AD514" s="14"/>
      <x:c r="AE514" s="14"/>
      <x:c r="AF514" s="14"/>
      <x:c r="AG514" s="14"/>
      <x:c r="AH514" s="14"/>
      <x:c r="AI514" s="14"/>
      <x:c r="AJ514" s="14"/>
      <x:c r="AK514" s="14"/>
      <x:c r="AL514" s="14"/>
      <x:c r="AM514" s="14"/>
      <x:c r="AN514" s="14"/>
      <x:c r="AO514" s="14"/>
      <x:c r="AP514" s="14"/>
      <x:c r="AQ514" s="14"/>
      <x:c r="AR514" s="14"/>
      <x:c r="AS514" s="14"/>
      <x:c r="AT514" s="14"/>
      <x:c r="AU514" s="14"/>
      <x:c r="AV514" s="14"/>
      <x:c r="AW514" s="14"/>
      <x:c r="AX514" s="14"/>
      <x:c r="AY514" s="14"/>
      <x:c r="AZ514" s="14"/>
      <x:c r="BA514" s="14"/>
      <x:c r="BB514" s="14"/>
      <x:c r="BC514" s="14"/>
      <x:c r="BD514" s="14"/>
      <x:c r="BE514" s="14"/>
      <x:c r="BF514" s="14"/>
      <x:c r="BG514" s="14"/>
      <x:c r="BH514" s="14"/>
      <x:c r="BI514" s="14"/>
      <x:c r="BJ514" s="14"/>
      <x:c r="BK514" s="14"/>
      <x:c r="BL514" s="14"/>
      <x:c r="BM514" s="14"/>
      <x:c r="BN514" s="14"/>
      <x:c r="BO514" s="14"/>
      <x:c r="BP514" s="14"/>
      <x:c r="BQ514" s="14"/>
      <x:c r="BR514" s="14"/>
      <x:c r="BS514" s="14"/>
      <x:c r="BT514" s="14"/>
      <x:c r="BU514" s="14"/>
      <x:c r="BV514" s="14"/>
      <x:c r="BW514" s="14"/>
      <x:c r="BX514" s="14"/>
      <x:c r="BY514" s="14"/>
      <x:c r="BZ514" s="14"/>
      <x:c r="CA514" s="14"/>
      <x:c r="CB514" s="14"/>
      <x:c r="CC514" s="14"/>
      <x:c r="CD514" s="14"/>
      <x:c r="CE514" s="14"/>
    </x:row>
    <x:row r="515">
      <x:c r="A515" s="14" t="n">
        <x:v>514</x:v>
      </x:c>
      <x:c r="B515" s="14"/>
      <x:c r="C515" s="14" t="str">
        <x:v>CHECKING_EVENT</x:v>
      </x:c>
      <x:c r="D515" s="14" t="str">
        <x:v>Exploratory_Checking_611_Positional_Surrogate.xlsx</x:v>
      </x:c>
      <x:c r="E515" s="14"/>
      <x:c r="F515" s="14"/>
      <x:c r="G515" s="14"/>
      <x:c r="H515" s="14"/>
      <x:c r="I515" s="14"/>
      <x:c r="J515" s="14"/>
      <x:c r="K515" s="14" t="str">
        <x:v>NEEDS_WINDOW_BINDING</x:v>
      </x:c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  <x:c r="AA515" s="14"/>
      <x:c r="AB515" s="14"/>
      <x:c r="AC515" s="14"/>
      <x:c r="AD515" s="14"/>
      <x:c r="AE515" s="14"/>
      <x:c r="AF515" s="14"/>
      <x:c r="AG515" s="14"/>
      <x:c r="AH515" s="14"/>
      <x:c r="AI515" s="14"/>
      <x:c r="AJ515" s="14"/>
      <x:c r="AK515" s="14"/>
      <x:c r="AL515" s="14"/>
      <x:c r="AM515" s="14"/>
      <x:c r="AN515" s="14"/>
      <x:c r="AO515" s="14"/>
      <x:c r="AP515" s="14"/>
      <x:c r="AQ515" s="14"/>
      <x:c r="AR515" s="14"/>
      <x:c r="AS515" s="14"/>
      <x:c r="AT515" s="14"/>
      <x:c r="AU515" s="14"/>
      <x:c r="AV515" s="14"/>
      <x:c r="AW515" s="14"/>
      <x:c r="AX515" s="14"/>
      <x:c r="AY515" s="14"/>
      <x:c r="AZ515" s="14"/>
      <x:c r="BA515" s="14"/>
      <x:c r="BB515" s="14"/>
      <x:c r="BC515" s="14"/>
      <x:c r="BD515" s="14"/>
      <x:c r="BE515" s="14"/>
      <x:c r="BF515" s="14"/>
      <x:c r="BG515" s="14"/>
      <x:c r="BH515" s="14"/>
      <x:c r="BI515" s="14"/>
      <x:c r="BJ515" s="14"/>
      <x:c r="BK515" s="14"/>
      <x:c r="BL515" s="14"/>
      <x:c r="BM515" s="14"/>
      <x:c r="BN515" s="14"/>
      <x:c r="BO515" s="14"/>
      <x:c r="BP515" s="14"/>
      <x:c r="BQ515" s="14"/>
      <x:c r="BR515" s="14"/>
      <x:c r="BS515" s="14"/>
      <x:c r="BT515" s="14"/>
      <x:c r="BU515" s="14"/>
      <x:c r="BV515" s="14"/>
      <x:c r="BW515" s="14"/>
      <x:c r="BX515" s="14"/>
      <x:c r="BY515" s="14"/>
      <x:c r="BZ515" s="14"/>
      <x:c r="CA515" s="14"/>
      <x:c r="CB515" s="14"/>
      <x:c r="CC515" s="14"/>
      <x:c r="CD515" s="14"/>
      <x:c r="CE515" s="14"/>
    </x:row>
    <x:row r="516">
      <x:c r="A516" s="14" t="n">
        <x:v>515</x:v>
      </x:c>
      <x:c r="B516" s="14"/>
      <x:c r="C516" s="14" t="str">
        <x:v>CHECKING_EVENT</x:v>
      </x:c>
      <x:c r="D516" s="14" t="str">
        <x:v>Exploratory_Checking_611_Positional_Surrogate.xlsx</x:v>
      </x:c>
      <x:c r="E516" s="14"/>
      <x:c r="F516" s="14"/>
      <x:c r="G516" s="14"/>
      <x:c r="H516" s="14"/>
      <x:c r="I516" s="14"/>
      <x:c r="J516" s="14"/>
      <x:c r="K516" s="14" t="str">
        <x:v>NEEDS_WINDOW_BINDING</x:v>
      </x:c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  <x:c r="AA516" s="14"/>
      <x:c r="AB516" s="14"/>
      <x:c r="AC516" s="14"/>
      <x:c r="AD516" s="14"/>
      <x:c r="AE516" s="14"/>
      <x:c r="AF516" s="14"/>
      <x:c r="AG516" s="14"/>
      <x:c r="AH516" s="14"/>
      <x:c r="AI516" s="14"/>
      <x:c r="AJ516" s="14"/>
      <x:c r="AK516" s="14"/>
      <x:c r="AL516" s="14"/>
      <x:c r="AM516" s="14"/>
      <x:c r="AN516" s="14"/>
      <x:c r="AO516" s="14"/>
      <x:c r="AP516" s="14"/>
      <x:c r="AQ516" s="14"/>
      <x:c r="AR516" s="14"/>
      <x:c r="AS516" s="14"/>
      <x:c r="AT516" s="14"/>
      <x:c r="AU516" s="14"/>
      <x:c r="AV516" s="14"/>
      <x:c r="AW516" s="14"/>
      <x:c r="AX516" s="14"/>
      <x:c r="AY516" s="14"/>
      <x:c r="AZ516" s="14"/>
      <x:c r="BA516" s="14"/>
      <x:c r="BB516" s="14"/>
      <x:c r="BC516" s="14"/>
      <x:c r="BD516" s="14"/>
      <x:c r="BE516" s="14"/>
      <x:c r="BF516" s="14"/>
      <x:c r="BG516" s="14"/>
      <x:c r="BH516" s="14"/>
      <x:c r="BI516" s="14"/>
      <x:c r="BJ516" s="14"/>
      <x:c r="BK516" s="14"/>
      <x:c r="BL516" s="14"/>
      <x:c r="BM516" s="14"/>
      <x:c r="BN516" s="14"/>
      <x:c r="BO516" s="14"/>
      <x:c r="BP516" s="14"/>
      <x:c r="BQ516" s="14"/>
      <x:c r="BR516" s="14"/>
      <x:c r="BS516" s="14"/>
      <x:c r="BT516" s="14"/>
      <x:c r="BU516" s="14"/>
      <x:c r="BV516" s="14"/>
      <x:c r="BW516" s="14"/>
      <x:c r="BX516" s="14"/>
      <x:c r="BY516" s="14"/>
      <x:c r="BZ516" s="14"/>
      <x:c r="CA516" s="14"/>
      <x:c r="CB516" s="14"/>
      <x:c r="CC516" s="14"/>
      <x:c r="CD516" s="14"/>
      <x:c r="CE516" s="14"/>
    </x:row>
    <x:row r="517">
      <x:c r="A517" s="14" t="n">
        <x:v>516</x:v>
      </x:c>
      <x:c r="B517" s="14"/>
      <x:c r="C517" s="14" t="str">
        <x:v>CHECKING_EVENT</x:v>
      </x:c>
      <x:c r="D517" s="14" t="str">
        <x:v>Exploratory_Checking_611_Positional_Surrogate.xlsx</x:v>
      </x:c>
      <x:c r="E517" s="14"/>
      <x:c r="F517" s="14"/>
      <x:c r="G517" s="14"/>
      <x:c r="H517" s="14"/>
      <x:c r="I517" s="14"/>
      <x:c r="J517" s="14"/>
      <x:c r="K517" s="14" t="str">
        <x:v>NEEDS_WINDOW_BINDING</x:v>
      </x:c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  <x:c r="AA517" s="14"/>
      <x:c r="AB517" s="14"/>
      <x:c r="AC517" s="14"/>
      <x:c r="AD517" s="14"/>
      <x:c r="AE517" s="14"/>
      <x:c r="AF517" s="14"/>
      <x:c r="AG517" s="14"/>
      <x:c r="AH517" s="14"/>
      <x:c r="AI517" s="14"/>
      <x:c r="AJ517" s="14"/>
      <x:c r="AK517" s="14"/>
      <x:c r="AL517" s="14"/>
      <x:c r="AM517" s="14"/>
      <x:c r="AN517" s="14"/>
      <x:c r="AO517" s="14"/>
      <x:c r="AP517" s="14"/>
      <x:c r="AQ517" s="14"/>
      <x:c r="AR517" s="14"/>
      <x:c r="AS517" s="14"/>
      <x:c r="AT517" s="14"/>
      <x:c r="AU517" s="14"/>
      <x:c r="AV517" s="14"/>
      <x:c r="AW517" s="14"/>
      <x:c r="AX517" s="14"/>
      <x:c r="AY517" s="14"/>
      <x:c r="AZ517" s="14"/>
      <x:c r="BA517" s="14"/>
      <x:c r="BB517" s="14"/>
      <x:c r="BC517" s="14"/>
      <x:c r="BD517" s="14"/>
      <x:c r="BE517" s="14"/>
      <x:c r="BF517" s="14"/>
      <x:c r="BG517" s="14"/>
      <x:c r="BH517" s="14"/>
      <x:c r="BI517" s="14"/>
      <x:c r="BJ517" s="14"/>
      <x:c r="BK517" s="14"/>
      <x:c r="BL517" s="14"/>
      <x:c r="BM517" s="14"/>
      <x:c r="BN517" s="14"/>
      <x:c r="BO517" s="14"/>
      <x:c r="BP517" s="14"/>
      <x:c r="BQ517" s="14"/>
      <x:c r="BR517" s="14"/>
      <x:c r="BS517" s="14"/>
      <x:c r="BT517" s="14"/>
      <x:c r="BU517" s="14"/>
      <x:c r="BV517" s="14"/>
      <x:c r="BW517" s="14"/>
      <x:c r="BX517" s="14"/>
      <x:c r="BY517" s="14"/>
      <x:c r="BZ517" s="14"/>
      <x:c r="CA517" s="14"/>
      <x:c r="CB517" s="14"/>
      <x:c r="CC517" s="14"/>
      <x:c r="CD517" s="14"/>
      <x:c r="CE517" s="14"/>
    </x:row>
    <x:row r="518">
      <x:c r="A518" s="14" t="n">
        <x:v>517</x:v>
      </x:c>
      <x:c r="B518" s="14"/>
      <x:c r="C518" s="14" t="str">
        <x:v>CHECKING_EVENT</x:v>
      </x:c>
      <x:c r="D518" s="14" t="str">
        <x:v>Exploratory_Checking_611_Positional_Surrogate.xlsx</x:v>
      </x:c>
      <x:c r="E518" s="14"/>
      <x:c r="F518" s="14"/>
      <x:c r="G518" s="14"/>
      <x:c r="H518" s="14"/>
      <x:c r="I518" s="14"/>
      <x:c r="J518" s="14"/>
      <x:c r="K518" s="14" t="str">
        <x:v>NEEDS_WINDOW_BINDING</x:v>
      </x:c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  <x:c r="AA518" s="14"/>
      <x:c r="AB518" s="14"/>
      <x:c r="AC518" s="14"/>
      <x:c r="AD518" s="14"/>
      <x:c r="AE518" s="14"/>
      <x:c r="AF518" s="14"/>
      <x:c r="AG518" s="14"/>
      <x:c r="AH518" s="14"/>
      <x:c r="AI518" s="14"/>
      <x:c r="AJ518" s="14"/>
      <x:c r="AK518" s="14"/>
      <x:c r="AL518" s="14"/>
      <x:c r="AM518" s="14"/>
      <x:c r="AN518" s="14"/>
      <x:c r="AO518" s="14"/>
      <x:c r="AP518" s="14"/>
      <x:c r="AQ518" s="14"/>
      <x:c r="AR518" s="14"/>
      <x:c r="AS518" s="14"/>
      <x:c r="AT518" s="14"/>
      <x:c r="AU518" s="14"/>
      <x:c r="AV518" s="14"/>
      <x:c r="AW518" s="14"/>
      <x:c r="AX518" s="14"/>
      <x:c r="AY518" s="14"/>
      <x:c r="AZ518" s="14"/>
      <x:c r="BA518" s="14"/>
      <x:c r="BB518" s="14"/>
      <x:c r="BC518" s="14"/>
      <x:c r="BD518" s="14"/>
      <x:c r="BE518" s="14"/>
      <x:c r="BF518" s="14"/>
      <x:c r="BG518" s="14"/>
      <x:c r="BH518" s="14"/>
      <x:c r="BI518" s="14"/>
      <x:c r="BJ518" s="14"/>
      <x:c r="BK518" s="14"/>
      <x:c r="BL518" s="14"/>
      <x:c r="BM518" s="14"/>
      <x:c r="BN518" s="14"/>
      <x:c r="BO518" s="14"/>
      <x:c r="BP518" s="14"/>
      <x:c r="BQ518" s="14"/>
      <x:c r="BR518" s="14"/>
      <x:c r="BS518" s="14"/>
      <x:c r="BT518" s="14"/>
      <x:c r="BU518" s="14"/>
      <x:c r="BV518" s="14"/>
      <x:c r="BW518" s="14"/>
      <x:c r="BX518" s="14"/>
      <x:c r="BY518" s="14"/>
      <x:c r="BZ518" s="14"/>
      <x:c r="CA518" s="14"/>
      <x:c r="CB518" s="14"/>
      <x:c r="CC518" s="14"/>
      <x:c r="CD518" s="14"/>
      <x:c r="CE518" s="14"/>
    </x:row>
    <x:row r="519">
      <x:c r="A519" s="14" t="n">
        <x:v>518</x:v>
      </x:c>
      <x:c r="B519" s="14"/>
      <x:c r="C519" s="14" t="str">
        <x:v>CHECKING_EVENT</x:v>
      </x:c>
      <x:c r="D519" s="14" t="str">
        <x:v>Exploratory_Checking_611_Positional_Surrogate.xlsx</x:v>
      </x:c>
      <x:c r="E519" s="14"/>
      <x:c r="F519" s="14"/>
      <x:c r="G519" s="14"/>
      <x:c r="H519" s="14"/>
      <x:c r="I519" s="14"/>
      <x:c r="J519" s="14"/>
      <x:c r="K519" s="14" t="str">
        <x:v>NEEDS_WINDOW_BINDING</x:v>
      </x:c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  <x:c r="AA519" s="14"/>
      <x:c r="AB519" s="14"/>
      <x:c r="AC519" s="14"/>
      <x:c r="AD519" s="14"/>
      <x:c r="AE519" s="14"/>
      <x:c r="AF519" s="14"/>
      <x:c r="AG519" s="14"/>
      <x:c r="AH519" s="14"/>
      <x:c r="AI519" s="14"/>
      <x:c r="AJ519" s="14"/>
      <x:c r="AK519" s="14"/>
      <x:c r="AL519" s="14"/>
      <x:c r="AM519" s="14"/>
      <x:c r="AN519" s="14"/>
      <x:c r="AO519" s="14"/>
      <x:c r="AP519" s="14"/>
      <x:c r="AQ519" s="14"/>
      <x:c r="AR519" s="14"/>
      <x:c r="AS519" s="14"/>
      <x:c r="AT519" s="14"/>
      <x:c r="AU519" s="14"/>
      <x:c r="AV519" s="14"/>
      <x:c r="AW519" s="14"/>
      <x:c r="AX519" s="14"/>
      <x:c r="AY519" s="14"/>
      <x:c r="AZ519" s="14"/>
      <x:c r="BA519" s="14"/>
      <x:c r="BB519" s="14"/>
      <x:c r="BC519" s="14"/>
      <x:c r="BD519" s="14"/>
      <x:c r="BE519" s="14"/>
      <x:c r="BF519" s="14"/>
      <x:c r="BG519" s="14"/>
      <x:c r="BH519" s="14"/>
      <x:c r="BI519" s="14"/>
      <x:c r="BJ519" s="14"/>
      <x:c r="BK519" s="14"/>
      <x:c r="BL519" s="14"/>
      <x:c r="BM519" s="14"/>
      <x:c r="BN519" s="14"/>
      <x:c r="BO519" s="14"/>
      <x:c r="BP519" s="14"/>
      <x:c r="BQ519" s="14"/>
      <x:c r="BR519" s="14"/>
      <x:c r="BS519" s="14"/>
      <x:c r="BT519" s="14"/>
      <x:c r="BU519" s="14"/>
      <x:c r="BV519" s="14"/>
      <x:c r="BW519" s="14"/>
      <x:c r="BX519" s="14"/>
      <x:c r="BY519" s="14"/>
      <x:c r="BZ519" s="14"/>
      <x:c r="CA519" s="14"/>
      <x:c r="CB519" s="14"/>
      <x:c r="CC519" s="14"/>
      <x:c r="CD519" s="14"/>
      <x:c r="CE519" s="14"/>
    </x:row>
    <x:row r="520">
      <x:c r="A520" s="14" t="n">
        <x:v>519</x:v>
      </x:c>
      <x:c r="B520" s="14"/>
      <x:c r="C520" s="14" t="str">
        <x:v>CHECKING_EVENT</x:v>
      </x:c>
      <x:c r="D520" s="14" t="str">
        <x:v>Exploratory_Checking_611_Positional_Surrogate.xlsx</x:v>
      </x:c>
      <x:c r="E520" s="14"/>
      <x:c r="F520" s="14"/>
      <x:c r="G520" s="14"/>
      <x:c r="H520" s="14"/>
      <x:c r="I520" s="14"/>
      <x:c r="J520" s="14"/>
      <x:c r="K520" s="14" t="str">
        <x:v>NEEDS_WINDOW_BINDING</x:v>
      </x:c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  <x:c r="AA520" s="14"/>
      <x:c r="AB520" s="14"/>
      <x:c r="AC520" s="14"/>
      <x:c r="AD520" s="14"/>
      <x:c r="AE520" s="14"/>
      <x:c r="AF520" s="14"/>
      <x:c r="AG520" s="14"/>
      <x:c r="AH520" s="14"/>
      <x:c r="AI520" s="14"/>
      <x:c r="AJ520" s="14"/>
      <x:c r="AK520" s="14"/>
      <x:c r="AL520" s="14"/>
      <x:c r="AM520" s="14"/>
      <x:c r="AN520" s="14"/>
      <x:c r="AO520" s="14"/>
      <x:c r="AP520" s="14"/>
      <x:c r="AQ520" s="14"/>
      <x:c r="AR520" s="14"/>
      <x:c r="AS520" s="14"/>
      <x:c r="AT520" s="14"/>
      <x:c r="AU520" s="14"/>
      <x:c r="AV520" s="14"/>
      <x:c r="AW520" s="14"/>
      <x:c r="AX520" s="14"/>
      <x:c r="AY520" s="14"/>
      <x:c r="AZ520" s="14"/>
      <x:c r="BA520" s="14"/>
      <x:c r="BB520" s="14"/>
      <x:c r="BC520" s="14"/>
      <x:c r="BD520" s="14"/>
      <x:c r="BE520" s="14"/>
      <x:c r="BF520" s="14"/>
      <x:c r="BG520" s="14"/>
      <x:c r="BH520" s="14"/>
      <x:c r="BI520" s="14"/>
      <x:c r="BJ520" s="14"/>
      <x:c r="BK520" s="14"/>
      <x:c r="BL520" s="14"/>
      <x:c r="BM520" s="14"/>
      <x:c r="BN520" s="14"/>
      <x:c r="BO520" s="14"/>
      <x:c r="BP520" s="14"/>
      <x:c r="BQ520" s="14"/>
      <x:c r="BR520" s="14"/>
      <x:c r="BS520" s="14"/>
      <x:c r="BT520" s="14"/>
      <x:c r="BU520" s="14"/>
      <x:c r="BV520" s="14"/>
      <x:c r="BW520" s="14"/>
      <x:c r="BX520" s="14"/>
      <x:c r="BY520" s="14"/>
      <x:c r="BZ520" s="14"/>
      <x:c r="CA520" s="14"/>
      <x:c r="CB520" s="14"/>
      <x:c r="CC520" s="14"/>
      <x:c r="CD520" s="14"/>
      <x:c r="CE520" s="14"/>
    </x:row>
    <x:row r="521">
      <x:c r="A521" s="14" t="n">
        <x:v>520</x:v>
      </x:c>
      <x:c r="B521" s="14"/>
      <x:c r="C521" s="14" t="str">
        <x:v>CHECKING_EVENT</x:v>
      </x:c>
      <x:c r="D521" s="14" t="str">
        <x:v>Exploratory_Checking_611_Positional_Surrogate.xlsx</x:v>
      </x:c>
      <x:c r="E521" s="14"/>
      <x:c r="F521" s="14"/>
      <x:c r="G521" s="14"/>
      <x:c r="H521" s="14"/>
      <x:c r="I521" s="14"/>
      <x:c r="J521" s="14"/>
      <x:c r="K521" s="14" t="str">
        <x:v>NEEDS_WINDOW_BINDING</x:v>
      </x:c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  <x:c r="AA521" s="14"/>
      <x:c r="AB521" s="14"/>
      <x:c r="AC521" s="14"/>
      <x:c r="AD521" s="14"/>
      <x:c r="AE521" s="14"/>
      <x:c r="AF521" s="14"/>
      <x:c r="AG521" s="14"/>
      <x:c r="AH521" s="14"/>
      <x:c r="AI521" s="14"/>
      <x:c r="AJ521" s="14"/>
      <x:c r="AK521" s="14"/>
      <x:c r="AL521" s="14"/>
      <x:c r="AM521" s="14"/>
      <x:c r="AN521" s="14"/>
      <x:c r="AO521" s="14"/>
      <x:c r="AP521" s="14"/>
      <x:c r="AQ521" s="14"/>
      <x:c r="AR521" s="14"/>
      <x:c r="AS521" s="14"/>
      <x:c r="AT521" s="14"/>
      <x:c r="AU521" s="14"/>
      <x:c r="AV521" s="14"/>
      <x:c r="AW521" s="14"/>
      <x:c r="AX521" s="14"/>
      <x:c r="AY521" s="14"/>
      <x:c r="AZ521" s="14"/>
      <x:c r="BA521" s="14"/>
      <x:c r="BB521" s="14"/>
      <x:c r="BC521" s="14"/>
      <x:c r="BD521" s="14"/>
      <x:c r="BE521" s="14"/>
      <x:c r="BF521" s="14"/>
      <x:c r="BG521" s="14"/>
      <x:c r="BH521" s="14"/>
      <x:c r="BI521" s="14"/>
      <x:c r="BJ521" s="14"/>
      <x:c r="BK521" s="14"/>
      <x:c r="BL521" s="14"/>
      <x:c r="BM521" s="14"/>
      <x:c r="BN521" s="14"/>
      <x:c r="BO521" s="14"/>
      <x:c r="BP521" s="14"/>
      <x:c r="BQ521" s="14"/>
      <x:c r="BR521" s="14"/>
      <x:c r="BS521" s="14"/>
      <x:c r="BT521" s="14"/>
      <x:c r="BU521" s="14"/>
      <x:c r="BV521" s="14"/>
      <x:c r="BW521" s="14"/>
      <x:c r="BX521" s="14"/>
      <x:c r="BY521" s="14"/>
      <x:c r="BZ521" s="14"/>
      <x:c r="CA521" s="14"/>
      <x:c r="CB521" s="14"/>
      <x:c r="CC521" s="14"/>
      <x:c r="CD521" s="14"/>
      <x:c r="CE521" s="14"/>
    </x:row>
    <x:row r="522">
      <x:c r="A522" s="14" t="n">
        <x:v>521</x:v>
      </x:c>
      <x:c r="B522" s="14"/>
      <x:c r="C522" s="14" t="str">
        <x:v>CHECKING_EVENT</x:v>
      </x:c>
      <x:c r="D522" s="14" t="str">
        <x:v>Exploratory_Checking_611_Positional_Surrogate.xlsx</x:v>
      </x:c>
      <x:c r="E522" s="14"/>
      <x:c r="F522" s="14"/>
      <x:c r="G522" s="14"/>
      <x:c r="H522" s="14"/>
      <x:c r="I522" s="14"/>
      <x:c r="J522" s="14"/>
      <x:c r="K522" s="14" t="str">
        <x:v>NEEDS_WINDOW_BINDING</x:v>
      </x:c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  <x:c r="AA522" s="14"/>
      <x:c r="AB522" s="14"/>
      <x:c r="AC522" s="14"/>
      <x:c r="AD522" s="14"/>
      <x:c r="AE522" s="14"/>
      <x:c r="AF522" s="14"/>
      <x:c r="AG522" s="14"/>
      <x:c r="AH522" s="14"/>
      <x:c r="AI522" s="14"/>
      <x:c r="AJ522" s="14"/>
      <x:c r="AK522" s="14"/>
      <x:c r="AL522" s="14"/>
      <x:c r="AM522" s="14"/>
      <x:c r="AN522" s="14"/>
      <x:c r="AO522" s="14"/>
      <x:c r="AP522" s="14"/>
      <x:c r="AQ522" s="14"/>
      <x:c r="AR522" s="14"/>
      <x:c r="AS522" s="14"/>
      <x:c r="AT522" s="14"/>
      <x:c r="AU522" s="14"/>
      <x:c r="AV522" s="14"/>
      <x:c r="AW522" s="14"/>
      <x:c r="AX522" s="14"/>
      <x:c r="AY522" s="14"/>
      <x:c r="AZ522" s="14"/>
      <x:c r="BA522" s="14"/>
      <x:c r="BB522" s="14"/>
      <x:c r="BC522" s="14"/>
      <x:c r="BD522" s="14"/>
      <x:c r="BE522" s="14"/>
      <x:c r="BF522" s="14"/>
      <x:c r="BG522" s="14"/>
      <x:c r="BH522" s="14"/>
      <x:c r="BI522" s="14"/>
      <x:c r="BJ522" s="14"/>
      <x:c r="BK522" s="14"/>
      <x:c r="BL522" s="14"/>
      <x:c r="BM522" s="14"/>
      <x:c r="BN522" s="14"/>
      <x:c r="BO522" s="14"/>
      <x:c r="BP522" s="14"/>
      <x:c r="BQ522" s="14"/>
      <x:c r="BR522" s="14"/>
      <x:c r="BS522" s="14"/>
      <x:c r="BT522" s="14"/>
      <x:c r="BU522" s="14"/>
      <x:c r="BV522" s="14"/>
      <x:c r="BW522" s="14"/>
      <x:c r="BX522" s="14"/>
      <x:c r="BY522" s="14"/>
      <x:c r="BZ522" s="14"/>
      <x:c r="CA522" s="14"/>
      <x:c r="CB522" s="14"/>
      <x:c r="CC522" s="14"/>
      <x:c r="CD522" s="14"/>
      <x:c r="CE522" s="14"/>
    </x:row>
    <x:row r="523">
      <x:c r="A523" s="14" t="n">
        <x:v>522</x:v>
      </x:c>
      <x:c r="B523" s="14"/>
      <x:c r="C523" s="14" t="str">
        <x:v>CHECKING_EVENT</x:v>
      </x:c>
      <x:c r="D523" s="14" t="str">
        <x:v>Exploratory_Checking_611_Positional_Surrogate.xlsx</x:v>
      </x:c>
      <x:c r="E523" s="14"/>
      <x:c r="F523" s="14"/>
      <x:c r="G523" s="14"/>
      <x:c r="H523" s="14"/>
      <x:c r="I523" s="14"/>
      <x:c r="J523" s="14"/>
      <x:c r="K523" s="14" t="str">
        <x:v>NEEDS_WINDOW_BINDING</x:v>
      </x:c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  <x:c r="AA523" s="14"/>
      <x:c r="AB523" s="14"/>
      <x:c r="AC523" s="14"/>
      <x:c r="AD523" s="14"/>
      <x:c r="AE523" s="14"/>
      <x:c r="AF523" s="14"/>
      <x:c r="AG523" s="14"/>
      <x:c r="AH523" s="14"/>
      <x:c r="AI523" s="14"/>
      <x:c r="AJ523" s="14"/>
      <x:c r="AK523" s="14"/>
      <x:c r="AL523" s="14"/>
      <x:c r="AM523" s="14"/>
      <x:c r="AN523" s="14"/>
      <x:c r="AO523" s="14"/>
      <x:c r="AP523" s="14"/>
      <x:c r="AQ523" s="14"/>
      <x:c r="AR523" s="14"/>
      <x:c r="AS523" s="14"/>
      <x:c r="AT523" s="14"/>
      <x:c r="AU523" s="14"/>
      <x:c r="AV523" s="14"/>
      <x:c r="AW523" s="14"/>
      <x:c r="AX523" s="14"/>
      <x:c r="AY523" s="14"/>
      <x:c r="AZ523" s="14"/>
      <x:c r="BA523" s="14"/>
      <x:c r="BB523" s="14"/>
      <x:c r="BC523" s="14"/>
      <x:c r="BD523" s="14"/>
      <x:c r="BE523" s="14"/>
      <x:c r="BF523" s="14"/>
      <x:c r="BG523" s="14"/>
      <x:c r="BH523" s="14"/>
      <x:c r="BI523" s="14"/>
      <x:c r="BJ523" s="14"/>
      <x:c r="BK523" s="14"/>
      <x:c r="BL523" s="14"/>
      <x:c r="BM523" s="14"/>
      <x:c r="BN523" s="14"/>
      <x:c r="BO523" s="14"/>
      <x:c r="BP523" s="14"/>
      <x:c r="BQ523" s="14"/>
      <x:c r="BR523" s="14"/>
      <x:c r="BS523" s="14"/>
      <x:c r="BT523" s="14"/>
      <x:c r="BU523" s="14"/>
      <x:c r="BV523" s="14"/>
      <x:c r="BW523" s="14"/>
      <x:c r="BX523" s="14"/>
      <x:c r="BY523" s="14"/>
      <x:c r="BZ523" s="14"/>
      <x:c r="CA523" s="14"/>
      <x:c r="CB523" s="14"/>
      <x:c r="CC523" s="14"/>
      <x:c r="CD523" s="14"/>
      <x:c r="CE523" s="14"/>
    </x:row>
    <x:row r="524">
      <x:c r="A524" s="14" t="n">
        <x:v>523</x:v>
      </x:c>
      <x:c r="B524" s="14"/>
      <x:c r="C524" s="14" t="str">
        <x:v>CHECKING_EVENT</x:v>
      </x:c>
      <x:c r="D524" s="14" t="str">
        <x:v>Exploratory_Checking_611_Positional_Surrogate.xlsx</x:v>
      </x:c>
      <x:c r="E524" s="14"/>
      <x:c r="F524" s="14"/>
      <x:c r="G524" s="14"/>
      <x:c r="H524" s="14"/>
      <x:c r="I524" s="14"/>
      <x:c r="J524" s="14"/>
      <x:c r="K524" s="14" t="str">
        <x:v>NEEDS_WINDOW_BINDING</x:v>
      </x:c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  <x:c r="AA524" s="14"/>
      <x:c r="AB524" s="14"/>
      <x:c r="AC524" s="14"/>
      <x:c r="AD524" s="14"/>
      <x:c r="AE524" s="14"/>
      <x:c r="AF524" s="14"/>
      <x:c r="AG524" s="14"/>
      <x:c r="AH524" s="14"/>
      <x:c r="AI524" s="14"/>
      <x:c r="AJ524" s="14"/>
      <x:c r="AK524" s="14"/>
      <x:c r="AL524" s="14"/>
      <x:c r="AM524" s="14"/>
      <x:c r="AN524" s="14"/>
      <x:c r="AO524" s="14"/>
      <x:c r="AP524" s="14"/>
      <x:c r="AQ524" s="14"/>
      <x:c r="AR524" s="14"/>
      <x:c r="AS524" s="14"/>
      <x:c r="AT524" s="14"/>
      <x:c r="AU524" s="14"/>
      <x:c r="AV524" s="14"/>
      <x:c r="AW524" s="14"/>
      <x:c r="AX524" s="14"/>
      <x:c r="AY524" s="14"/>
      <x:c r="AZ524" s="14"/>
      <x:c r="BA524" s="14"/>
      <x:c r="BB524" s="14"/>
      <x:c r="BC524" s="14"/>
      <x:c r="BD524" s="14"/>
      <x:c r="BE524" s="14"/>
      <x:c r="BF524" s="14"/>
      <x:c r="BG524" s="14"/>
      <x:c r="BH524" s="14"/>
      <x:c r="BI524" s="14"/>
      <x:c r="BJ524" s="14"/>
      <x:c r="BK524" s="14"/>
      <x:c r="BL524" s="14"/>
      <x:c r="BM524" s="14"/>
      <x:c r="BN524" s="14"/>
      <x:c r="BO524" s="14"/>
      <x:c r="BP524" s="14"/>
      <x:c r="BQ524" s="14"/>
      <x:c r="BR524" s="14"/>
      <x:c r="BS524" s="14"/>
      <x:c r="BT524" s="14"/>
      <x:c r="BU524" s="14"/>
      <x:c r="BV524" s="14"/>
      <x:c r="BW524" s="14"/>
      <x:c r="BX524" s="14"/>
      <x:c r="BY524" s="14"/>
      <x:c r="BZ524" s="14"/>
      <x:c r="CA524" s="14"/>
      <x:c r="CB524" s="14"/>
      <x:c r="CC524" s="14"/>
      <x:c r="CD524" s="14"/>
      <x:c r="CE524" s="14"/>
    </x:row>
    <x:row r="525">
      <x:c r="A525" s="14" t="n">
        <x:v>524</x:v>
      </x:c>
      <x:c r="B525" s="14"/>
      <x:c r="C525" s="14" t="str">
        <x:v>CHECKING_EVENT</x:v>
      </x:c>
      <x:c r="D525" s="14" t="str">
        <x:v>Exploratory_Checking_611_Positional_Surrogate.xlsx</x:v>
      </x:c>
      <x:c r="E525" s="14"/>
      <x:c r="F525" s="14"/>
      <x:c r="G525" s="14"/>
      <x:c r="H525" s="14"/>
      <x:c r="I525" s="14"/>
      <x:c r="J525" s="14"/>
      <x:c r="K525" s="14" t="str">
        <x:v>NEEDS_WINDOW_BINDING</x:v>
      </x:c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14"/>
      <x:c r="AA525" s="14"/>
      <x:c r="AB525" s="14"/>
      <x:c r="AC525" s="14"/>
      <x:c r="AD525" s="14"/>
      <x:c r="AE525" s="14"/>
      <x:c r="AF525" s="14"/>
      <x:c r="AG525" s="14"/>
      <x:c r="AH525" s="14"/>
      <x:c r="AI525" s="14"/>
      <x:c r="AJ525" s="14"/>
      <x:c r="AK525" s="14"/>
      <x:c r="AL525" s="14"/>
      <x:c r="AM525" s="14"/>
      <x:c r="AN525" s="14"/>
      <x:c r="AO525" s="14"/>
      <x:c r="AP525" s="14"/>
      <x:c r="AQ525" s="14"/>
      <x:c r="AR525" s="14"/>
      <x:c r="AS525" s="14"/>
      <x:c r="AT525" s="14"/>
      <x:c r="AU525" s="14"/>
      <x:c r="AV525" s="14"/>
      <x:c r="AW525" s="14"/>
      <x:c r="AX525" s="14"/>
      <x:c r="AY525" s="14"/>
      <x:c r="AZ525" s="14"/>
      <x:c r="BA525" s="14"/>
      <x:c r="BB525" s="14"/>
      <x:c r="BC525" s="14"/>
      <x:c r="BD525" s="14"/>
      <x:c r="BE525" s="14"/>
      <x:c r="BF525" s="14"/>
      <x:c r="BG525" s="14"/>
      <x:c r="BH525" s="14"/>
      <x:c r="BI525" s="14"/>
      <x:c r="BJ525" s="14"/>
      <x:c r="BK525" s="14"/>
      <x:c r="BL525" s="14"/>
      <x:c r="BM525" s="14"/>
      <x:c r="BN525" s="14"/>
      <x:c r="BO525" s="14"/>
      <x:c r="BP525" s="14"/>
      <x:c r="BQ525" s="14"/>
      <x:c r="BR525" s="14"/>
      <x:c r="BS525" s="14"/>
      <x:c r="BT525" s="14"/>
      <x:c r="BU525" s="14"/>
      <x:c r="BV525" s="14"/>
      <x:c r="BW525" s="14"/>
      <x:c r="BX525" s="14"/>
      <x:c r="BY525" s="14"/>
      <x:c r="BZ525" s="14"/>
      <x:c r="CA525" s="14"/>
      <x:c r="CB525" s="14"/>
      <x:c r="CC525" s="14"/>
      <x:c r="CD525" s="14"/>
      <x:c r="CE525" s="14"/>
    </x:row>
    <x:row r="526">
      <x:c r="A526" s="14" t="n">
        <x:v>525</x:v>
      </x:c>
      <x:c r="B526" s="14"/>
      <x:c r="C526" s="14" t="str">
        <x:v>CHECKING_EVENT</x:v>
      </x:c>
      <x:c r="D526" s="14" t="str">
        <x:v>Exploratory_Checking_611_Positional_Surrogate.xlsx</x:v>
      </x:c>
      <x:c r="E526" s="14"/>
      <x:c r="F526" s="14"/>
      <x:c r="G526" s="14"/>
      <x:c r="H526" s="14"/>
      <x:c r="I526" s="14"/>
      <x:c r="J526" s="14"/>
      <x:c r="K526" s="14" t="str">
        <x:v>NEEDS_WINDOW_BINDING</x:v>
      </x:c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14"/>
      <x:c r="AA526" s="14"/>
      <x:c r="AB526" s="14"/>
      <x:c r="AC526" s="14"/>
      <x:c r="AD526" s="14"/>
      <x:c r="AE526" s="14"/>
      <x:c r="AF526" s="14"/>
      <x:c r="AG526" s="14"/>
      <x:c r="AH526" s="14"/>
      <x:c r="AI526" s="14"/>
      <x:c r="AJ526" s="14"/>
      <x:c r="AK526" s="14"/>
      <x:c r="AL526" s="14"/>
      <x:c r="AM526" s="14"/>
      <x:c r="AN526" s="14"/>
      <x:c r="AO526" s="14"/>
      <x:c r="AP526" s="14"/>
      <x:c r="AQ526" s="14"/>
      <x:c r="AR526" s="14"/>
      <x:c r="AS526" s="14"/>
      <x:c r="AT526" s="14"/>
      <x:c r="AU526" s="14"/>
      <x:c r="AV526" s="14"/>
      <x:c r="AW526" s="14"/>
      <x:c r="AX526" s="14"/>
      <x:c r="AY526" s="14"/>
      <x:c r="AZ526" s="14"/>
      <x:c r="BA526" s="14"/>
      <x:c r="BB526" s="14"/>
      <x:c r="BC526" s="14"/>
      <x:c r="BD526" s="14"/>
      <x:c r="BE526" s="14"/>
      <x:c r="BF526" s="14"/>
      <x:c r="BG526" s="14"/>
      <x:c r="BH526" s="14"/>
      <x:c r="BI526" s="14"/>
      <x:c r="BJ526" s="14"/>
      <x:c r="BK526" s="14"/>
      <x:c r="BL526" s="14"/>
      <x:c r="BM526" s="14"/>
      <x:c r="BN526" s="14"/>
      <x:c r="BO526" s="14"/>
      <x:c r="BP526" s="14"/>
      <x:c r="BQ526" s="14"/>
      <x:c r="BR526" s="14"/>
      <x:c r="BS526" s="14"/>
      <x:c r="BT526" s="14"/>
      <x:c r="BU526" s="14"/>
      <x:c r="BV526" s="14"/>
      <x:c r="BW526" s="14"/>
      <x:c r="BX526" s="14"/>
      <x:c r="BY526" s="14"/>
      <x:c r="BZ526" s="14"/>
      <x:c r="CA526" s="14"/>
      <x:c r="CB526" s="14"/>
      <x:c r="CC526" s="14"/>
      <x:c r="CD526" s="14"/>
      <x:c r="CE526" s="14"/>
    </x:row>
    <x:row r="527">
      <x:c r="A527" s="14" t="n">
        <x:v>526</x:v>
      </x:c>
      <x:c r="B527" s="14"/>
      <x:c r="C527" s="14" t="str">
        <x:v>CHECKING_EVENT</x:v>
      </x:c>
      <x:c r="D527" s="14" t="str">
        <x:v>Exploratory_Checking_611_Positional_Surrogate.xlsx</x:v>
      </x:c>
      <x:c r="E527" s="14"/>
      <x:c r="F527" s="14"/>
      <x:c r="G527" s="14"/>
      <x:c r="H527" s="14"/>
      <x:c r="I527" s="14"/>
      <x:c r="J527" s="14"/>
      <x:c r="K527" s="14" t="str">
        <x:v>NEEDS_WINDOW_BINDING</x:v>
      </x:c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  <x:c r="AA527" s="14"/>
      <x:c r="AB527" s="14"/>
      <x:c r="AC527" s="14"/>
      <x:c r="AD527" s="14"/>
      <x:c r="AE527" s="14"/>
      <x:c r="AF527" s="14"/>
      <x:c r="AG527" s="14"/>
      <x:c r="AH527" s="14"/>
      <x:c r="AI527" s="14"/>
      <x:c r="AJ527" s="14"/>
      <x:c r="AK527" s="14"/>
      <x:c r="AL527" s="14"/>
      <x:c r="AM527" s="14"/>
      <x:c r="AN527" s="14"/>
      <x:c r="AO527" s="14"/>
      <x:c r="AP527" s="14"/>
      <x:c r="AQ527" s="14"/>
      <x:c r="AR527" s="14"/>
      <x:c r="AS527" s="14"/>
      <x:c r="AT527" s="14"/>
      <x:c r="AU527" s="14"/>
      <x:c r="AV527" s="14"/>
      <x:c r="AW527" s="14"/>
      <x:c r="AX527" s="14"/>
      <x:c r="AY527" s="14"/>
      <x:c r="AZ527" s="14"/>
      <x:c r="BA527" s="14"/>
      <x:c r="BB527" s="14"/>
      <x:c r="BC527" s="14"/>
      <x:c r="BD527" s="14"/>
      <x:c r="BE527" s="14"/>
      <x:c r="BF527" s="14"/>
      <x:c r="BG527" s="14"/>
      <x:c r="BH527" s="14"/>
      <x:c r="BI527" s="14"/>
      <x:c r="BJ527" s="14"/>
      <x:c r="BK527" s="14"/>
      <x:c r="BL527" s="14"/>
      <x:c r="BM527" s="14"/>
      <x:c r="BN527" s="14"/>
      <x:c r="BO527" s="14"/>
      <x:c r="BP527" s="14"/>
      <x:c r="BQ527" s="14"/>
      <x:c r="BR527" s="14"/>
      <x:c r="BS527" s="14"/>
      <x:c r="BT527" s="14"/>
      <x:c r="BU527" s="14"/>
      <x:c r="BV527" s="14"/>
      <x:c r="BW527" s="14"/>
      <x:c r="BX527" s="14"/>
      <x:c r="BY527" s="14"/>
      <x:c r="BZ527" s="14"/>
      <x:c r="CA527" s="14"/>
      <x:c r="CB527" s="14"/>
      <x:c r="CC527" s="14"/>
      <x:c r="CD527" s="14"/>
      <x:c r="CE527" s="14"/>
    </x:row>
    <x:row r="528">
      <x:c r="A528" s="14" t="n">
        <x:v>527</x:v>
      </x:c>
      <x:c r="B528" s="14"/>
      <x:c r="C528" s="14" t="str">
        <x:v>CHECKING_EVENT</x:v>
      </x:c>
      <x:c r="D528" s="14" t="str">
        <x:v>Exploratory_Checking_611_Positional_Surrogate.xlsx</x:v>
      </x:c>
      <x:c r="E528" s="14"/>
      <x:c r="F528" s="14"/>
      <x:c r="G528" s="14"/>
      <x:c r="H528" s="14"/>
      <x:c r="I528" s="14"/>
      <x:c r="J528" s="14"/>
      <x:c r="K528" s="14" t="str">
        <x:v>NEEDS_WINDOW_BINDING</x:v>
      </x:c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14"/>
      <x:c r="AA528" s="14"/>
      <x:c r="AB528" s="14"/>
      <x:c r="AC528" s="14"/>
      <x:c r="AD528" s="14"/>
      <x:c r="AE528" s="14"/>
      <x:c r="AF528" s="14"/>
      <x:c r="AG528" s="14"/>
      <x:c r="AH528" s="14"/>
      <x:c r="AI528" s="14"/>
      <x:c r="AJ528" s="14"/>
      <x:c r="AK528" s="14"/>
      <x:c r="AL528" s="14"/>
      <x:c r="AM528" s="14"/>
      <x:c r="AN528" s="14"/>
      <x:c r="AO528" s="14"/>
      <x:c r="AP528" s="14"/>
      <x:c r="AQ528" s="14"/>
      <x:c r="AR528" s="14"/>
      <x:c r="AS528" s="14"/>
      <x:c r="AT528" s="14"/>
      <x:c r="AU528" s="14"/>
      <x:c r="AV528" s="14"/>
      <x:c r="AW528" s="14"/>
      <x:c r="AX528" s="14"/>
      <x:c r="AY528" s="14"/>
      <x:c r="AZ528" s="14"/>
      <x:c r="BA528" s="14"/>
      <x:c r="BB528" s="14"/>
      <x:c r="BC528" s="14"/>
      <x:c r="BD528" s="14"/>
      <x:c r="BE528" s="14"/>
      <x:c r="BF528" s="14"/>
      <x:c r="BG528" s="14"/>
      <x:c r="BH528" s="14"/>
      <x:c r="BI528" s="14"/>
      <x:c r="BJ528" s="14"/>
      <x:c r="BK528" s="14"/>
      <x:c r="BL528" s="14"/>
      <x:c r="BM528" s="14"/>
      <x:c r="BN528" s="14"/>
      <x:c r="BO528" s="14"/>
      <x:c r="BP528" s="14"/>
      <x:c r="BQ528" s="14"/>
      <x:c r="BR528" s="14"/>
      <x:c r="BS528" s="14"/>
      <x:c r="BT528" s="14"/>
      <x:c r="BU528" s="14"/>
      <x:c r="BV528" s="14"/>
      <x:c r="BW528" s="14"/>
      <x:c r="BX528" s="14"/>
      <x:c r="BY528" s="14"/>
      <x:c r="BZ528" s="14"/>
      <x:c r="CA528" s="14"/>
      <x:c r="CB528" s="14"/>
      <x:c r="CC528" s="14"/>
      <x:c r="CD528" s="14"/>
      <x:c r="CE528" s="14"/>
    </x:row>
    <x:row r="529">
      <x:c r="A529" s="14" t="n">
        <x:v>528</x:v>
      </x:c>
      <x:c r="B529" s="14"/>
      <x:c r="C529" s="14" t="str">
        <x:v>CHECKING_EVENT</x:v>
      </x:c>
      <x:c r="D529" s="14" t="str">
        <x:v>Exploratory_Checking_611_Positional_Surrogate.xlsx</x:v>
      </x:c>
      <x:c r="E529" s="14"/>
      <x:c r="F529" s="14"/>
      <x:c r="G529" s="14"/>
      <x:c r="H529" s="14"/>
      <x:c r="I529" s="14"/>
      <x:c r="J529" s="14"/>
      <x:c r="K529" s="14" t="str">
        <x:v>NEEDS_WINDOW_BINDING</x:v>
      </x:c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14"/>
      <x:c r="AA529" s="14"/>
      <x:c r="AB529" s="14"/>
      <x:c r="AC529" s="14"/>
      <x:c r="AD529" s="14"/>
      <x:c r="AE529" s="14"/>
      <x:c r="AF529" s="14"/>
      <x:c r="AG529" s="14"/>
      <x:c r="AH529" s="14"/>
      <x:c r="AI529" s="14"/>
      <x:c r="AJ529" s="14"/>
      <x:c r="AK529" s="14"/>
      <x:c r="AL529" s="14"/>
      <x:c r="AM529" s="14"/>
      <x:c r="AN529" s="14"/>
      <x:c r="AO529" s="14"/>
      <x:c r="AP529" s="14"/>
      <x:c r="AQ529" s="14"/>
      <x:c r="AR529" s="14"/>
      <x:c r="AS529" s="14"/>
      <x:c r="AT529" s="14"/>
      <x:c r="AU529" s="14"/>
      <x:c r="AV529" s="14"/>
      <x:c r="AW529" s="14"/>
      <x:c r="AX529" s="14"/>
      <x:c r="AY529" s="14"/>
      <x:c r="AZ529" s="14"/>
      <x:c r="BA529" s="14"/>
      <x:c r="BB529" s="14"/>
      <x:c r="BC529" s="14"/>
      <x:c r="BD529" s="14"/>
      <x:c r="BE529" s="14"/>
      <x:c r="BF529" s="14"/>
      <x:c r="BG529" s="14"/>
      <x:c r="BH529" s="14"/>
      <x:c r="BI529" s="14"/>
      <x:c r="BJ529" s="14"/>
      <x:c r="BK529" s="14"/>
      <x:c r="BL529" s="14"/>
      <x:c r="BM529" s="14"/>
      <x:c r="BN529" s="14"/>
      <x:c r="BO529" s="14"/>
      <x:c r="BP529" s="14"/>
      <x:c r="BQ529" s="14"/>
      <x:c r="BR529" s="14"/>
      <x:c r="BS529" s="14"/>
      <x:c r="BT529" s="14"/>
      <x:c r="BU529" s="14"/>
      <x:c r="BV529" s="14"/>
      <x:c r="BW529" s="14"/>
      <x:c r="BX529" s="14"/>
      <x:c r="BY529" s="14"/>
      <x:c r="BZ529" s="14"/>
      <x:c r="CA529" s="14"/>
      <x:c r="CB529" s="14"/>
      <x:c r="CC529" s="14"/>
      <x:c r="CD529" s="14"/>
      <x:c r="CE529" s="14"/>
    </x:row>
    <x:row r="530">
      <x:c r="A530" s="14" t="n">
        <x:v>529</x:v>
      </x:c>
      <x:c r="B530" s="14"/>
      <x:c r="C530" s="14" t="str">
        <x:v>CHECKING_EVENT</x:v>
      </x:c>
      <x:c r="D530" s="14" t="str">
        <x:v>Exploratory_Checking_611_Positional_Surrogate.xlsx</x:v>
      </x:c>
      <x:c r="E530" s="14"/>
      <x:c r="F530" s="14"/>
      <x:c r="G530" s="14"/>
      <x:c r="H530" s="14"/>
      <x:c r="I530" s="14"/>
      <x:c r="J530" s="14"/>
      <x:c r="K530" s="14" t="str">
        <x:v>NEEDS_WINDOW_BINDING</x:v>
      </x:c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  <x:c r="AA530" s="14"/>
      <x:c r="AB530" s="14"/>
      <x:c r="AC530" s="14"/>
      <x:c r="AD530" s="14"/>
      <x:c r="AE530" s="14"/>
      <x:c r="AF530" s="14"/>
      <x:c r="AG530" s="14"/>
      <x:c r="AH530" s="14"/>
      <x:c r="AI530" s="14"/>
      <x:c r="AJ530" s="14"/>
      <x:c r="AK530" s="14"/>
      <x:c r="AL530" s="14"/>
      <x:c r="AM530" s="14"/>
      <x:c r="AN530" s="14"/>
      <x:c r="AO530" s="14"/>
      <x:c r="AP530" s="14"/>
      <x:c r="AQ530" s="14"/>
      <x:c r="AR530" s="14"/>
      <x:c r="AS530" s="14"/>
      <x:c r="AT530" s="14"/>
      <x:c r="AU530" s="14"/>
      <x:c r="AV530" s="14"/>
      <x:c r="AW530" s="14"/>
      <x:c r="AX530" s="14"/>
      <x:c r="AY530" s="14"/>
      <x:c r="AZ530" s="14"/>
      <x:c r="BA530" s="14"/>
      <x:c r="BB530" s="14"/>
      <x:c r="BC530" s="14"/>
      <x:c r="BD530" s="14"/>
      <x:c r="BE530" s="14"/>
      <x:c r="BF530" s="14"/>
      <x:c r="BG530" s="14"/>
      <x:c r="BH530" s="14"/>
      <x:c r="BI530" s="14"/>
      <x:c r="BJ530" s="14"/>
      <x:c r="BK530" s="14"/>
      <x:c r="BL530" s="14"/>
      <x:c r="BM530" s="14"/>
      <x:c r="BN530" s="14"/>
      <x:c r="BO530" s="14"/>
      <x:c r="BP530" s="14"/>
      <x:c r="BQ530" s="14"/>
      <x:c r="BR530" s="14"/>
      <x:c r="BS530" s="14"/>
      <x:c r="BT530" s="14"/>
      <x:c r="BU530" s="14"/>
      <x:c r="BV530" s="14"/>
      <x:c r="BW530" s="14"/>
      <x:c r="BX530" s="14"/>
      <x:c r="BY530" s="14"/>
      <x:c r="BZ530" s="14"/>
      <x:c r="CA530" s="14"/>
      <x:c r="CB530" s="14"/>
      <x:c r="CC530" s="14"/>
      <x:c r="CD530" s="14"/>
      <x:c r="CE530" s="14"/>
    </x:row>
    <x:row r="531">
      <x:c r="A531" s="14" t="n">
        <x:v>530</x:v>
      </x:c>
      <x:c r="B531" s="14"/>
      <x:c r="C531" s="14" t="str">
        <x:v>CHECKING_EVENT</x:v>
      </x:c>
      <x:c r="D531" s="14" t="str">
        <x:v>Exploratory_Checking_611_Positional_Surrogate.xlsx</x:v>
      </x:c>
      <x:c r="E531" s="14"/>
      <x:c r="F531" s="14"/>
      <x:c r="G531" s="14"/>
      <x:c r="H531" s="14"/>
      <x:c r="I531" s="14"/>
      <x:c r="J531" s="14"/>
      <x:c r="K531" s="14" t="str">
        <x:v>NEEDS_WINDOW_BINDING</x:v>
      </x:c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  <x:c r="AA531" s="14"/>
      <x:c r="AB531" s="14"/>
      <x:c r="AC531" s="14"/>
      <x:c r="AD531" s="14"/>
      <x:c r="AE531" s="14"/>
      <x:c r="AF531" s="14"/>
      <x:c r="AG531" s="14"/>
      <x:c r="AH531" s="14"/>
      <x:c r="AI531" s="14"/>
      <x:c r="AJ531" s="14"/>
      <x:c r="AK531" s="14"/>
      <x:c r="AL531" s="14"/>
      <x:c r="AM531" s="14"/>
      <x:c r="AN531" s="14"/>
      <x:c r="AO531" s="14"/>
      <x:c r="AP531" s="14"/>
      <x:c r="AQ531" s="14"/>
      <x:c r="AR531" s="14"/>
      <x:c r="AS531" s="14"/>
      <x:c r="AT531" s="14"/>
      <x:c r="AU531" s="14"/>
      <x:c r="AV531" s="14"/>
      <x:c r="AW531" s="14"/>
      <x:c r="AX531" s="14"/>
      <x:c r="AY531" s="14"/>
      <x:c r="AZ531" s="14"/>
      <x:c r="BA531" s="14"/>
      <x:c r="BB531" s="14"/>
      <x:c r="BC531" s="14"/>
      <x:c r="BD531" s="14"/>
      <x:c r="BE531" s="14"/>
      <x:c r="BF531" s="14"/>
      <x:c r="BG531" s="14"/>
      <x:c r="BH531" s="14"/>
      <x:c r="BI531" s="14"/>
      <x:c r="BJ531" s="14"/>
      <x:c r="BK531" s="14"/>
      <x:c r="BL531" s="14"/>
      <x:c r="BM531" s="14"/>
      <x:c r="BN531" s="14"/>
      <x:c r="BO531" s="14"/>
      <x:c r="BP531" s="14"/>
      <x:c r="BQ531" s="14"/>
      <x:c r="BR531" s="14"/>
      <x:c r="BS531" s="14"/>
      <x:c r="BT531" s="14"/>
      <x:c r="BU531" s="14"/>
      <x:c r="BV531" s="14"/>
      <x:c r="BW531" s="14"/>
      <x:c r="BX531" s="14"/>
      <x:c r="BY531" s="14"/>
      <x:c r="BZ531" s="14"/>
      <x:c r="CA531" s="14"/>
      <x:c r="CB531" s="14"/>
      <x:c r="CC531" s="14"/>
      <x:c r="CD531" s="14"/>
      <x:c r="CE531" s="14"/>
    </x:row>
    <x:row r="532">
      <x:c r="A532" s="14" t="n">
        <x:v>531</x:v>
      </x:c>
      <x:c r="B532" s="14"/>
      <x:c r="C532" s="14" t="str">
        <x:v>CHECKING_EVENT</x:v>
      </x:c>
      <x:c r="D532" s="14" t="str">
        <x:v>Exploratory_Checking_611_Positional_Surrogate.xlsx</x:v>
      </x:c>
      <x:c r="E532" s="14"/>
      <x:c r="F532" s="14"/>
      <x:c r="G532" s="14"/>
      <x:c r="H532" s="14"/>
      <x:c r="I532" s="14"/>
      <x:c r="J532" s="14"/>
      <x:c r="K532" s="14" t="str">
        <x:v>NEEDS_WINDOW_BINDING</x:v>
      </x:c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  <x:c r="AA532" s="14"/>
      <x:c r="AB532" s="14"/>
      <x:c r="AC532" s="14"/>
      <x:c r="AD532" s="14"/>
      <x:c r="AE532" s="14"/>
      <x:c r="AF532" s="14"/>
      <x:c r="AG532" s="14"/>
      <x:c r="AH532" s="14"/>
      <x:c r="AI532" s="14"/>
      <x:c r="AJ532" s="14"/>
      <x:c r="AK532" s="14"/>
      <x:c r="AL532" s="14"/>
      <x:c r="AM532" s="14"/>
      <x:c r="AN532" s="14"/>
      <x:c r="AO532" s="14"/>
      <x:c r="AP532" s="14"/>
      <x:c r="AQ532" s="14"/>
      <x:c r="AR532" s="14"/>
      <x:c r="AS532" s="14"/>
      <x:c r="AT532" s="14"/>
      <x:c r="AU532" s="14"/>
      <x:c r="AV532" s="14"/>
      <x:c r="AW532" s="14"/>
      <x:c r="AX532" s="14"/>
      <x:c r="AY532" s="14"/>
      <x:c r="AZ532" s="14"/>
      <x:c r="BA532" s="14"/>
      <x:c r="BB532" s="14"/>
      <x:c r="BC532" s="14"/>
      <x:c r="BD532" s="14"/>
      <x:c r="BE532" s="14"/>
      <x:c r="BF532" s="14"/>
      <x:c r="BG532" s="14"/>
      <x:c r="BH532" s="14"/>
      <x:c r="BI532" s="14"/>
      <x:c r="BJ532" s="14"/>
      <x:c r="BK532" s="14"/>
      <x:c r="BL532" s="14"/>
      <x:c r="BM532" s="14"/>
      <x:c r="BN532" s="14"/>
      <x:c r="BO532" s="14"/>
      <x:c r="BP532" s="14"/>
      <x:c r="BQ532" s="14"/>
      <x:c r="BR532" s="14"/>
      <x:c r="BS532" s="14"/>
      <x:c r="BT532" s="14"/>
      <x:c r="BU532" s="14"/>
      <x:c r="BV532" s="14"/>
      <x:c r="BW532" s="14"/>
      <x:c r="BX532" s="14"/>
      <x:c r="BY532" s="14"/>
      <x:c r="BZ532" s="14"/>
      <x:c r="CA532" s="14"/>
      <x:c r="CB532" s="14"/>
      <x:c r="CC532" s="14"/>
      <x:c r="CD532" s="14"/>
      <x:c r="CE532" s="14"/>
    </x:row>
    <x:row r="533">
      <x:c r="A533" s="14" t="n">
        <x:v>532</x:v>
      </x:c>
      <x:c r="B533" s="14"/>
      <x:c r="C533" s="14" t="str">
        <x:v>CHECKING_EVENT</x:v>
      </x:c>
      <x:c r="D533" s="14" t="str">
        <x:v>Exploratory_Checking_611_Positional_Surrogate.xlsx</x:v>
      </x:c>
      <x:c r="E533" s="14"/>
      <x:c r="F533" s="14"/>
      <x:c r="G533" s="14"/>
      <x:c r="H533" s="14"/>
      <x:c r="I533" s="14"/>
      <x:c r="J533" s="14"/>
      <x:c r="K533" s="14" t="str">
        <x:v>NEEDS_WINDOW_BINDING</x:v>
      </x:c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  <x:c r="AA533" s="14"/>
      <x:c r="AB533" s="14"/>
      <x:c r="AC533" s="14"/>
      <x:c r="AD533" s="14"/>
      <x:c r="AE533" s="14"/>
      <x:c r="AF533" s="14"/>
      <x:c r="AG533" s="14"/>
      <x:c r="AH533" s="14"/>
      <x:c r="AI533" s="14"/>
      <x:c r="AJ533" s="14"/>
      <x:c r="AK533" s="14"/>
      <x:c r="AL533" s="14"/>
      <x:c r="AM533" s="14"/>
      <x:c r="AN533" s="14"/>
      <x:c r="AO533" s="14"/>
      <x:c r="AP533" s="14"/>
      <x:c r="AQ533" s="14"/>
      <x:c r="AR533" s="14"/>
      <x:c r="AS533" s="14"/>
      <x:c r="AT533" s="14"/>
      <x:c r="AU533" s="14"/>
      <x:c r="AV533" s="14"/>
      <x:c r="AW533" s="14"/>
      <x:c r="AX533" s="14"/>
      <x:c r="AY533" s="14"/>
      <x:c r="AZ533" s="14"/>
      <x:c r="BA533" s="14"/>
      <x:c r="BB533" s="14"/>
      <x:c r="BC533" s="14"/>
      <x:c r="BD533" s="14"/>
      <x:c r="BE533" s="14"/>
      <x:c r="BF533" s="14"/>
      <x:c r="BG533" s="14"/>
      <x:c r="BH533" s="14"/>
      <x:c r="BI533" s="14"/>
      <x:c r="BJ533" s="14"/>
      <x:c r="BK533" s="14"/>
      <x:c r="BL533" s="14"/>
      <x:c r="BM533" s="14"/>
      <x:c r="BN533" s="14"/>
      <x:c r="BO533" s="14"/>
      <x:c r="BP533" s="14"/>
      <x:c r="BQ533" s="14"/>
      <x:c r="BR533" s="14"/>
      <x:c r="BS533" s="14"/>
      <x:c r="BT533" s="14"/>
      <x:c r="BU533" s="14"/>
      <x:c r="BV533" s="14"/>
      <x:c r="BW533" s="14"/>
      <x:c r="BX533" s="14"/>
      <x:c r="BY533" s="14"/>
      <x:c r="BZ533" s="14"/>
      <x:c r="CA533" s="14"/>
      <x:c r="CB533" s="14"/>
      <x:c r="CC533" s="14"/>
      <x:c r="CD533" s="14"/>
      <x:c r="CE533" s="14"/>
    </x:row>
    <x:row r="534">
      <x:c r="A534" s="14" t="n">
        <x:v>533</x:v>
      </x:c>
      <x:c r="B534" s="14"/>
      <x:c r="C534" s="14" t="str">
        <x:v>CHECKING_EVENT</x:v>
      </x:c>
      <x:c r="D534" s="14" t="str">
        <x:v>Exploratory_Checking_611_Positional_Surrogate.xlsx</x:v>
      </x:c>
      <x:c r="E534" s="14"/>
      <x:c r="F534" s="14"/>
      <x:c r="G534" s="14"/>
      <x:c r="H534" s="14"/>
      <x:c r="I534" s="14"/>
      <x:c r="J534" s="14"/>
      <x:c r="K534" s="14" t="str">
        <x:v>NEEDS_WINDOW_BINDING</x:v>
      </x:c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  <x:c r="AA534" s="14"/>
      <x:c r="AB534" s="14"/>
      <x:c r="AC534" s="14"/>
      <x:c r="AD534" s="14"/>
      <x:c r="AE534" s="14"/>
      <x:c r="AF534" s="14"/>
      <x:c r="AG534" s="14"/>
      <x:c r="AH534" s="14"/>
      <x:c r="AI534" s="14"/>
      <x:c r="AJ534" s="14"/>
      <x:c r="AK534" s="14"/>
      <x:c r="AL534" s="14"/>
      <x:c r="AM534" s="14"/>
      <x:c r="AN534" s="14"/>
      <x:c r="AO534" s="14"/>
      <x:c r="AP534" s="14"/>
      <x:c r="AQ534" s="14"/>
      <x:c r="AR534" s="14"/>
      <x:c r="AS534" s="14"/>
      <x:c r="AT534" s="14"/>
      <x:c r="AU534" s="14"/>
      <x:c r="AV534" s="14"/>
      <x:c r="AW534" s="14"/>
      <x:c r="AX534" s="14"/>
      <x:c r="AY534" s="14"/>
      <x:c r="AZ534" s="14"/>
      <x:c r="BA534" s="14"/>
      <x:c r="BB534" s="14"/>
      <x:c r="BC534" s="14"/>
      <x:c r="BD534" s="14"/>
      <x:c r="BE534" s="14"/>
      <x:c r="BF534" s="14"/>
      <x:c r="BG534" s="14"/>
      <x:c r="BH534" s="14"/>
      <x:c r="BI534" s="14"/>
      <x:c r="BJ534" s="14"/>
      <x:c r="BK534" s="14"/>
      <x:c r="BL534" s="14"/>
      <x:c r="BM534" s="14"/>
      <x:c r="BN534" s="14"/>
      <x:c r="BO534" s="14"/>
      <x:c r="BP534" s="14"/>
      <x:c r="BQ534" s="14"/>
      <x:c r="BR534" s="14"/>
      <x:c r="BS534" s="14"/>
      <x:c r="BT534" s="14"/>
      <x:c r="BU534" s="14"/>
      <x:c r="BV534" s="14"/>
      <x:c r="BW534" s="14"/>
      <x:c r="BX534" s="14"/>
      <x:c r="BY534" s="14"/>
      <x:c r="BZ534" s="14"/>
      <x:c r="CA534" s="14"/>
      <x:c r="CB534" s="14"/>
      <x:c r="CC534" s="14"/>
      <x:c r="CD534" s="14"/>
      <x:c r="CE534" s="14"/>
    </x:row>
    <x:row r="535">
      <x:c r="A535" s="14" t="n">
        <x:v>534</x:v>
      </x:c>
      <x:c r="B535" s="14"/>
      <x:c r="C535" s="14" t="str">
        <x:v>CHECKING_EVENT</x:v>
      </x:c>
      <x:c r="D535" s="14" t="str">
        <x:v>Exploratory_Checking_611_Positional_Surrogate.xlsx</x:v>
      </x:c>
      <x:c r="E535" s="14"/>
      <x:c r="F535" s="14"/>
      <x:c r="G535" s="14"/>
      <x:c r="H535" s="14"/>
      <x:c r="I535" s="14"/>
      <x:c r="J535" s="14"/>
      <x:c r="K535" s="14" t="str">
        <x:v>NEEDS_WINDOW_BINDING</x:v>
      </x:c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  <x:c r="AA535" s="14"/>
      <x:c r="AB535" s="14"/>
      <x:c r="AC535" s="14"/>
      <x:c r="AD535" s="14"/>
      <x:c r="AE535" s="14"/>
      <x:c r="AF535" s="14"/>
      <x:c r="AG535" s="14"/>
      <x:c r="AH535" s="14"/>
      <x:c r="AI535" s="14"/>
      <x:c r="AJ535" s="14"/>
      <x:c r="AK535" s="14"/>
      <x:c r="AL535" s="14"/>
      <x:c r="AM535" s="14"/>
      <x:c r="AN535" s="14"/>
      <x:c r="AO535" s="14"/>
      <x:c r="AP535" s="14"/>
      <x:c r="AQ535" s="14"/>
      <x:c r="AR535" s="14"/>
      <x:c r="AS535" s="14"/>
      <x:c r="AT535" s="14"/>
      <x:c r="AU535" s="14"/>
      <x:c r="AV535" s="14"/>
      <x:c r="AW535" s="14"/>
      <x:c r="AX535" s="14"/>
      <x:c r="AY535" s="14"/>
      <x:c r="AZ535" s="14"/>
      <x:c r="BA535" s="14"/>
      <x:c r="BB535" s="14"/>
      <x:c r="BC535" s="14"/>
      <x:c r="BD535" s="14"/>
      <x:c r="BE535" s="14"/>
      <x:c r="BF535" s="14"/>
      <x:c r="BG535" s="14"/>
      <x:c r="BH535" s="14"/>
      <x:c r="BI535" s="14"/>
      <x:c r="BJ535" s="14"/>
      <x:c r="BK535" s="14"/>
      <x:c r="BL535" s="14"/>
      <x:c r="BM535" s="14"/>
      <x:c r="BN535" s="14"/>
      <x:c r="BO535" s="14"/>
      <x:c r="BP535" s="14"/>
      <x:c r="BQ535" s="14"/>
      <x:c r="BR535" s="14"/>
      <x:c r="BS535" s="14"/>
      <x:c r="BT535" s="14"/>
      <x:c r="BU535" s="14"/>
      <x:c r="BV535" s="14"/>
      <x:c r="BW535" s="14"/>
      <x:c r="BX535" s="14"/>
      <x:c r="BY535" s="14"/>
      <x:c r="BZ535" s="14"/>
      <x:c r="CA535" s="14"/>
      <x:c r="CB535" s="14"/>
      <x:c r="CC535" s="14"/>
      <x:c r="CD535" s="14"/>
      <x:c r="CE535" s="14"/>
    </x:row>
    <x:row r="536">
      <x:c r="A536" s="14" t="n">
        <x:v>535</x:v>
      </x:c>
      <x:c r="B536" s="14"/>
      <x:c r="C536" s="14" t="str">
        <x:v>CHECKING_EVENT</x:v>
      </x:c>
      <x:c r="D536" s="14" t="str">
        <x:v>Exploratory_Checking_611_Positional_Surrogate.xlsx</x:v>
      </x:c>
      <x:c r="E536" s="14"/>
      <x:c r="F536" s="14"/>
      <x:c r="G536" s="14"/>
      <x:c r="H536" s="14"/>
      <x:c r="I536" s="14"/>
      <x:c r="J536" s="14"/>
      <x:c r="K536" s="14" t="str">
        <x:v>NEEDS_WINDOW_BINDING</x:v>
      </x:c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14"/>
      <x:c r="AA536" s="14"/>
      <x:c r="AB536" s="14"/>
      <x:c r="AC536" s="14"/>
      <x:c r="AD536" s="14"/>
      <x:c r="AE536" s="14"/>
      <x:c r="AF536" s="14"/>
      <x:c r="AG536" s="14"/>
      <x:c r="AH536" s="14"/>
      <x:c r="AI536" s="14"/>
      <x:c r="AJ536" s="14"/>
      <x:c r="AK536" s="14"/>
      <x:c r="AL536" s="14"/>
      <x:c r="AM536" s="14"/>
      <x:c r="AN536" s="14"/>
      <x:c r="AO536" s="14"/>
      <x:c r="AP536" s="14"/>
      <x:c r="AQ536" s="14"/>
      <x:c r="AR536" s="14"/>
      <x:c r="AS536" s="14"/>
      <x:c r="AT536" s="14"/>
      <x:c r="AU536" s="14"/>
      <x:c r="AV536" s="14"/>
      <x:c r="AW536" s="14"/>
      <x:c r="AX536" s="14"/>
      <x:c r="AY536" s="14"/>
      <x:c r="AZ536" s="14"/>
      <x:c r="BA536" s="14"/>
      <x:c r="BB536" s="14"/>
      <x:c r="BC536" s="14"/>
      <x:c r="BD536" s="14"/>
      <x:c r="BE536" s="14"/>
      <x:c r="BF536" s="14"/>
      <x:c r="BG536" s="14"/>
      <x:c r="BH536" s="14"/>
      <x:c r="BI536" s="14"/>
      <x:c r="BJ536" s="14"/>
      <x:c r="BK536" s="14"/>
      <x:c r="BL536" s="14"/>
      <x:c r="BM536" s="14"/>
      <x:c r="BN536" s="14"/>
      <x:c r="BO536" s="14"/>
      <x:c r="BP536" s="14"/>
      <x:c r="BQ536" s="14"/>
      <x:c r="BR536" s="14"/>
      <x:c r="BS536" s="14"/>
      <x:c r="BT536" s="14"/>
      <x:c r="BU536" s="14"/>
      <x:c r="BV536" s="14"/>
      <x:c r="BW536" s="14"/>
      <x:c r="BX536" s="14"/>
      <x:c r="BY536" s="14"/>
      <x:c r="BZ536" s="14"/>
      <x:c r="CA536" s="14"/>
      <x:c r="CB536" s="14"/>
      <x:c r="CC536" s="14"/>
      <x:c r="CD536" s="14"/>
      <x:c r="CE536" s="14"/>
    </x:row>
    <x:row r="537">
      <x:c r="A537" s="14" t="n">
        <x:v>536</x:v>
      </x:c>
      <x:c r="B537" s="14"/>
      <x:c r="C537" s="14" t="str">
        <x:v>CHECKING_EVENT</x:v>
      </x:c>
      <x:c r="D537" s="14" t="str">
        <x:v>Exploratory_Checking_611_Positional_Surrogate.xlsx</x:v>
      </x:c>
      <x:c r="E537" s="14"/>
      <x:c r="F537" s="14"/>
      <x:c r="G537" s="14"/>
      <x:c r="H537" s="14"/>
      <x:c r="I537" s="14"/>
      <x:c r="J537" s="14"/>
      <x:c r="K537" s="14" t="str">
        <x:v>NEEDS_WINDOW_BINDING</x:v>
      </x:c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14"/>
      <x:c r="AA537" s="14"/>
      <x:c r="AB537" s="14"/>
      <x:c r="AC537" s="14"/>
      <x:c r="AD537" s="14"/>
      <x:c r="AE537" s="14"/>
      <x:c r="AF537" s="14"/>
      <x:c r="AG537" s="14"/>
      <x:c r="AH537" s="14"/>
      <x:c r="AI537" s="14"/>
      <x:c r="AJ537" s="14"/>
      <x:c r="AK537" s="14"/>
      <x:c r="AL537" s="14"/>
      <x:c r="AM537" s="14"/>
      <x:c r="AN537" s="14"/>
      <x:c r="AO537" s="14"/>
      <x:c r="AP537" s="14"/>
      <x:c r="AQ537" s="14"/>
      <x:c r="AR537" s="14"/>
      <x:c r="AS537" s="14"/>
      <x:c r="AT537" s="14"/>
      <x:c r="AU537" s="14"/>
      <x:c r="AV537" s="14"/>
      <x:c r="AW537" s="14"/>
      <x:c r="AX537" s="14"/>
      <x:c r="AY537" s="14"/>
      <x:c r="AZ537" s="14"/>
      <x:c r="BA537" s="14"/>
      <x:c r="BB537" s="14"/>
      <x:c r="BC537" s="14"/>
      <x:c r="BD537" s="14"/>
      <x:c r="BE537" s="14"/>
      <x:c r="BF537" s="14"/>
      <x:c r="BG537" s="14"/>
      <x:c r="BH537" s="14"/>
      <x:c r="BI537" s="14"/>
      <x:c r="BJ537" s="14"/>
      <x:c r="BK537" s="14"/>
      <x:c r="BL537" s="14"/>
      <x:c r="BM537" s="14"/>
      <x:c r="BN537" s="14"/>
      <x:c r="BO537" s="14"/>
      <x:c r="BP537" s="14"/>
      <x:c r="BQ537" s="14"/>
      <x:c r="BR537" s="14"/>
      <x:c r="BS537" s="14"/>
      <x:c r="BT537" s="14"/>
      <x:c r="BU537" s="14"/>
      <x:c r="BV537" s="14"/>
      <x:c r="BW537" s="14"/>
      <x:c r="BX537" s="14"/>
      <x:c r="BY537" s="14"/>
      <x:c r="BZ537" s="14"/>
      <x:c r="CA537" s="14"/>
      <x:c r="CB537" s="14"/>
      <x:c r="CC537" s="14"/>
      <x:c r="CD537" s="14"/>
      <x:c r="CE537" s="14"/>
    </x:row>
    <x:row r="538">
      <x:c r="A538" s="14" t="n">
        <x:v>537</x:v>
      </x:c>
      <x:c r="B538" s="14"/>
      <x:c r="C538" s="14" t="str">
        <x:v>CHECKING_EVENT</x:v>
      </x:c>
      <x:c r="D538" s="14" t="str">
        <x:v>Exploratory_Checking_611_Positional_Surrogate.xlsx</x:v>
      </x:c>
      <x:c r="E538" s="14"/>
      <x:c r="F538" s="14"/>
      <x:c r="G538" s="14"/>
      <x:c r="H538" s="14"/>
      <x:c r="I538" s="14"/>
      <x:c r="J538" s="14"/>
      <x:c r="K538" s="14" t="str">
        <x:v>NEEDS_WINDOW_BINDING</x:v>
      </x:c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  <x:c r="AA538" s="14"/>
      <x:c r="AB538" s="14"/>
      <x:c r="AC538" s="14"/>
      <x:c r="AD538" s="14"/>
      <x:c r="AE538" s="14"/>
      <x:c r="AF538" s="14"/>
      <x:c r="AG538" s="14"/>
      <x:c r="AH538" s="14"/>
      <x:c r="AI538" s="14"/>
      <x:c r="AJ538" s="14"/>
      <x:c r="AK538" s="14"/>
      <x:c r="AL538" s="14"/>
      <x:c r="AM538" s="14"/>
      <x:c r="AN538" s="14"/>
      <x:c r="AO538" s="14"/>
      <x:c r="AP538" s="14"/>
      <x:c r="AQ538" s="14"/>
      <x:c r="AR538" s="14"/>
      <x:c r="AS538" s="14"/>
      <x:c r="AT538" s="14"/>
      <x:c r="AU538" s="14"/>
      <x:c r="AV538" s="14"/>
      <x:c r="AW538" s="14"/>
      <x:c r="AX538" s="14"/>
      <x:c r="AY538" s="14"/>
      <x:c r="AZ538" s="14"/>
      <x:c r="BA538" s="14"/>
      <x:c r="BB538" s="14"/>
      <x:c r="BC538" s="14"/>
      <x:c r="BD538" s="14"/>
      <x:c r="BE538" s="14"/>
      <x:c r="BF538" s="14"/>
      <x:c r="BG538" s="14"/>
      <x:c r="BH538" s="14"/>
      <x:c r="BI538" s="14"/>
      <x:c r="BJ538" s="14"/>
      <x:c r="BK538" s="14"/>
      <x:c r="BL538" s="14"/>
      <x:c r="BM538" s="14"/>
      <x:c r="BN538" s="14"/>
      <x:c r="BO538" s="14"/>
      <x:c r="BP538" s="14"/>
      <x:c r="BQ538" s="14"/>
      <x:c r="BR538" s="14"/>
      <x:c r="BS538" s="14"/>
      <x:c r="BT538" s="14"/>
      <x:c r="BU538" s="14"/>
      <x:c r="BV538" s="14"/>
      <x:c r="BW538" s="14"/>
      <x:c r="BX538" s="14"/>
      <x:c r="BY538" s="14"/>
      <x:c r="BZ538" s="14"/>
      <x:c r="CA538" s="14"/>
      <x:c r="CB538" s="14"/>
      <x:c r="CC538" s="14"/>
      <x:c r="CD538" s="14"/>
      <x:c r="CE538" s="14"/>
    </x:row>
    <x:row r="539">
      <x:c r="A539" s="14" t="n">
        <x:v>538</x:v>
      </x:c>
      <x:c r="B539" s="14"/>
      <x:c r="C539" s="14" t="str">
        <x:v>CHECKING_EVENT</x:v>
      </x:c>
      <x:c r="D539" s="14" t="str">
        <x:v>Exploratory_Checking_611_Positional_Surrogate.xlsx</x:v>
      </x:c>
      <x:c r="E539" s="14"/>
      <x:c r="F539" s="14"/>
      <x:c r="G539" s="14"/>
      <x:c r="H539" s="14"/>
      <x:c r="I539" s="14"/>
      <x:c r="J539" s="14"/>
      <x:c r="K539" s="14" t="str">
        <x:v>NEEDS_WINDOW_BINDING</x:v>
      </x:c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  <x:c r="AA539" s="14"/>
      <x:c r="AB539" s="14"/>
      <x:c r="AC539" s="14"/>
      <x:c r="AD539" s="14"/>
      <x:c r="AE539" s="14"/>
      <x:c r="AF539" s="14"/>
      <x:c r="AG539" s="14"/>
      <x:c r="AH539" s="14"/>
      <x:c r="AI539" s="14"/>
      <x:c r="AJ539" s="14"/>
      <x:c r="AK539" s="14"/>
      <x:c r="AL539" s="14"/>
      <x:c r="AM539" s="14"/>
      <x:c r="AN539" s="14"/>
      <x:c r="AO539" s="14"/>
      <x:c r="AP539" s="14"/>
      <x:c r="AQ539" s="14"/>
      <x:c r="AR539" s="14"/>
      <x:c r="AS539" s="14"/>
      <x:c r="AT539" s="14"/>
      <x:c r="AU539" s="14"/>
      <x:c r="AV539" s="14"/>
      <x:c r="AW539" s="14"/>
      <x:c r="AX539" s="14"/>
      <x:c r="AY539" s="14"/>
      <x:c r="AZ539" s="14"/>
      <x:c r="BA539" s="14"/>
      <x:c r="BB539" s="14"/>
      <x:c r="BC539" s="14"/>
      <x:c r="BD539" s="14"/>
      <x:c r="BE539" s="14"/>
      <x:c r="BF539" s="14"/>
      <x:c r="BG539" s="14"/>
      <x:c r="BH539" s="14"/>
      <x:c r="BI539" s="14"/>
      <x:c r="BJ539" s="14"/>
      <x:c r="BK539" s="14"/>
      <x:c r="BL539" s="14"/>
      <x:c r="BM539" s="14"/>
      <x:c r="BN539" s="14"/>
      <x:c r="BO539" s="14"/>
      <x:c r="BP539" s="14"/>
      <x:c r="BQ539" s="14"/>
      <x:c r="BR539" s="14"/>
      <x:c r="BS539" s="14"/>
      <x:c r="BT539" s="14"/>
      <x:c r="BU539" s="14"/>
      <x:c r="BV539" s="14"/>
      <x:c r="BW539" s="14"/>
      <x:c r="BX539" s="14"/>
      <x:c r="BY539" s="14"/>
      <x:c r="BZ539" s="14"/>
      <x:c r="CA539" s="14"/>
      <x:c r="CB539" s="14"/>
      <x:c r="CC539" s="14"/>
      <x:c r="CD539" s="14"/>
      <x:c r="CE539" s="14"/>
    </x:row>
    <x:row r="540">
      <x:c r="A540" s="14" t="n">
        <x:v>539</x:v>
      </x:c>
      <x:c r="B540" s="14"/>
      <x:c r="C540" s="14" t="str">
        <x:v>CHECKING_EVENT</x:v>
      </x:c>
      <x:c r="D540" s="14" t="str">
        <x:v>Exploratory_Checking_611_Positional_Surrogate.xlsx</x:v>
      </x:c>
      <x:c r="E540" s="14"/>
      <x:c r="F540" s="14"/>
      <x:c r="G540" s="14"/>
      <x:c r="H540" s="14"/>
      <x:c r="I540" s="14"/>
      <x:c r="J540" s="14"/>
      <x:c r="K540" s="14" t="str">
        <x:v>NEEDS_WINDOW_BINDING</x:v>
      </x:c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  <x:c r="AA540" s="14"/>
      <x:c r="AB540" s="14"/>
      <x:c r="AC540" s="14"/>
      <x:c r="AD540" s="14"/>
      <x:c r="AE540" s="14"/>
      <x:c r="AF540" s="14"/>
      <x:c r="AG540" s="14"/>
      <x:c r="AH540" s="14"/>
      <x:c r="AI540" s="14"/>
      <x:c r="AJ540" s="14"/>
      <x:c r="AK540" s="14"/>
      <x:c r="AL540" s="14"/>
      <x:c r="AM540" s="14"/>
      <x:c r="AN540" s="14"/>
      <x:c r="AO540" s="14"/>
      <x:c r="AP540" s="14"/>
      <x:c r="AQ540" s="14"/>
      <x:c r="AR540" s="14"/>
      <x:c r="AS540" s="14"/>
      <x:c r="AT540" s="14"/>
      <x:c r="AU540" s="14"/>
      <x:c r="AV540" s="14"/>
      <x:c r="AW540" s="14"/>
      <x:c r="AX540" s="14"/>
      <x:c r="AY540" s="14"/>
      <x:c r="AZ540" s="14"/>
      <x:c r="BA540" s="14"/>
      <x:c r="BB540" s="14"/>
      <x:c r="BC540" s="14"/>
      <x:c r="BD540" s="14"/>
      <x:c r="BE540" s="14"/>
      <x:c r="BF540" s="14"/>
      <x:c r="BG540" s="14"/>
      <x:c r="BH540" s="14"/>
      <x:c r="BI540" s="14"/>
      <x:c r="BJ540" s="14"/>
      <x:c r="BK540" s="14"/>
      <x:c r="BL540" s="14"/>
      <x:c r="BM540" s="14"/>
      <x:c r="BN540" s="14"/>
      <x:c r="BO540" s="14"/>
      <x:c r="BP540" s="14"/>
      <x:c r="BQ540" s="14"/>
      <x:c r="BR540" s="14"/>
      <x:c r="BS540" s="14"/>
      <x:c r="BT540" s="14"/>
      <x:c r="BU540" s="14"/>
      <x:c r="BV540" s="14"/>
      <x:c r="BW540" s="14"/>
      <x:c r="BX540" s="14"/>
      <x:c r="BY540" s="14"/>
      <x:c r="BZ540" s="14"/>
      <x:c r="CA540" s="14"/>
      <x:c r="CB540" s="14"/>
      <x:c r="CC540" s="14"/>
      <x:c r="CD540" s="14"/>
      <x:c r="CE540" s="14"/>
    </x:row>
    <x:row r="541">
      <x:c r="A541" s="14" t="n">
        <x:v>540</x:v>
      </x:c>
      <x:c r="B541" s="14"/>
      <x:c r="C541" s="14" t="str">
        <x:v>CHECKING_EVENT</x:v>
      </x:c>
      <x:c r="D541" s="14" t="str">
        <x:v>Exploratory_Checking_611_Positional_Surrogate.xlsx</x:v>
      </x:c>
      <x:c r="E541" s="14"/>
      <x:c r="F541" s="14"/>
      <x:c r="G541" s="14"/>
      <x:c r="H541" s="14"/>
      <x:c r="I541" s="14"/>
      <x:c r="J541" s="14"/>
      <x:c r="K541" s="14" t="str">
        <x:v>NEEDS_WINDOW_BINDING</x:v>
      </x:c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14"/>
      <x:c r="AA541" s="14"/>
      <x:c r="AB541" s="14"/>
      <x:c r="AC541" s="14"/>
      <x:c r="AD541" s="14"/>
      <x:c r="AE541" s="14"/>
      <x:c r="AF541" s="14"/>
      <x:c r="AG541" s="14"/>
      <x:c r="AH541" s="14"/>
      <x:c r="AI541" s="14"/>
      <x:c r="AJ541" s="14"/>
      <x:c r="AK541" s="14"/>
      <x:c r="AL541" s="14"/>
      <x:c r="AM541" s="14"/>
      <x:c r="AN541" s="14"/>
      <x:c r="AO541" s="14"/>
      <x:c r="AP541" s="14"/>
      <x:c r="AQ541" s="14"/>
      <x:c r="AR541" s="14"/>
      <x:c r="AS541" s="14"/>
      <x:c r="AT541" s="14"/>
      <x:c r="AU541" s="14"/>
      <x:c r="AV541" s="14"/>
      <x:c r="AW541" s="14"/>
      <x:c r="AX541" s="14"/>
      <x:c r="AY541" s="14"/>
      <x:c r="AZ541" s="14"/>
      <x:c r="BA541" s="14"/>
      <x:c r="BB541" s="14"/>
      <x:c r="BC541" s="14"/>
      <x:c r="BD541" s="14"/>
      <x:c r="BE541" s="14"/>
      <x:c r="BF541" s="14"/>
      <x:c r="BG541" s="14"/>
      <x:c r="BH541" s="14"/>
      <x:c r="BI541" s="14"/>
      <x:c r="BJ541" s="14"/>
      <x:c r="BK541" s="14"/>
      <x:c r="BL541" s="14"/>
      <x:c r="BM541" s="14"/>
      <x:c r="BN541" s="14"/>
      <x:c r="BO541" s="14"/>
      <x:c r="BP541" s="14"/>
      <x:c r="BQ541" s="14"/>
      <x:c r="BR541" s="14"/>
      <x:c r="BS541" s="14"/>
      <x:c r="BT541" s="14"/>
      <x:c r="BU541" s="14"/>
      <x:c r="BV541" s="14"/>
      <x:c r="BW541" s="14"/>
      <x:c r="BX541" s="14"/>
      <x:c r="BY541" s="14"/>
      <x:c r="BZ541" s="14"/>
      <x:c r="CA541" s="14"/>
      <x:c r="CB541" s="14"/>
      <x:c r="CC541" s="14"/>
      <x:c r="CD541" s="14"/>
      <x:c r="CE541" s="14"/>
    </x:row>
    <x:row r="542">
      <x:c r="A542" s="14" t="n">
        <x:v>541</x:v>
      </x:c>
      <x:c r="B542" s="14"/>
      <x:c r="C542" s="14" t="str">
        <x:v>CHECKING_EVENT</x:v>
      </x:c>
      <x:c r="D542" s="14" t="str">
        <x:v>Exploratory_Checking_611_Positional_Surrogate.xlsx</x:v>
      </x:c>
      <x:c r="E542" s="14"/>
      <x:c r="F542" s="14"/>
      <x:c r="G542" s="14"/>
      <x:c r="H542" s="14"/>
      <x:c r="I542" s="14"/>
      <x:c r="J542" s="14"/>
      <x:c r="K542" s="14" t="str">
        <x:v>NEEDS_WINDOW_BINDING</x:v>
      </x:c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14"/>
      <x:c r="AA542" s="14"/>
      <x:c r="AB542" s="14"/>
      <x:c r="AC542" s="14"/>
      <x:c r="AD542" s="14"/>
      <x:c r="AE542" s="14"/>
      <x:c r="AF542" s="14"/>
      <x:c r="AG542" s="14"/>
      <x:c r="AH542" s="14"/>
      <x:c r="AI542" s="14"/>
      <x:c r="AJ542" s="14"/>
      <x:c r="AK542" s="14"/>
      <x:c r="AL542" s="14"/>
      <x:c r="AM542" s="14"/>
      <x:c r="AN542" s="14"/>
      <x:c r="AO542" s="14"/>
      <x:c r="AP542" s="14"/>
      <x:c r="AQ542" s="14"/>
      <x:c r="AR542" s="14"/>
      <x:c r="AS542" s="14"/>
      <x:c r="AT542" s="14"/>
      <x:c r="AU542" s="14"/>
      <x:c r="AV542" s="14"/>
      <x:c r="AW542" s="14"/>
      <x:c r="AX542" s="14"/>
      <x:c r="AY542" s="14"/>
      <x:c r="AZ542" s="14"/>
      <x:c r="BA542" s="14"/>
      <x:c r="BB542" s="14"/>
      <x:c r="BC542" s="14"/>
      <x:c r="BD542" s="14"/>
      <x:c r="BE542" s="14"/>
      <x:c r="BF542" s="14"/>
      <x:c r="BG542" s="14"/>
      <x:c r="BH542" s="14"/>
      <x:c r="BI542" s="14"/>
      <x:c r="BJ542" s="14"/>
      <x:c r="BK542" s="14"/>
      <x:c r="BL542" s="14"/>
      <x:c r="BM542" s="14"/>
      <x:c r="BN542" s="14"/>
      <x:c r="BO542" s="14"/>
      <x:c r="BP542" s="14"/>
      <x:c r="BQ542" s="14"/>
      <x:c r="BR542" s="14"/>
      <x:c r="BS542" s="14"/>
      <x:c r="BT542" s="14"/>
      <x:c r="BU542" s="14"/>
      <x:c r="BV542" s="14"/>
      <x:c r="BW542" s="14"/>
      <x:c r="BX542" s="14"/>
      <x:c r="BY542" s="14"/>
      <x:c r="BZ542" s="14"/>
      <x:c r="CA542" s="14"/>
      <x:c r="CB542" s="14"/>
      <x:c r="CC542" s="14"/>
      <x:c r="CD542" s="14"/>
      <x:c r="CE542" s="14"/>
    </x:row>
    <x:row r="543">
      <x:c r="A543" s="14" t="n">
        <x:v>542</x:v>
      </x:c>
      <x:c r="B543" s="14"/>
      <x:c r="C543" s="14" t="str">
        <x:v>CHECKING_EVENT</x:v>
      </x:c>
      <x:c r="D543" s="14" t="str">
        <x:v>Exploratory_Checking_611_Positional_Surrogate.xlsx</x:v>
      </x:c>
      <x:c r="E543" s="14"/>
      <x:c r="F543" s="14"/>
      <x:c r="G543" s="14"/>
      <x:c r="H543" s="14"/>
      <x:c r="I543" s="14"/>
      <x:c r="J543" s="14"/>
      <x:c r="K543" s="14" t="str">
        <x:v>NEEDS_WINDOW_BINDING</x:v>
      </x:c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  <x:c r="AA543" s="14"/>
      <x:c r="AB543" s="14"/>
      <x:c r="AC543" s="14"/>
      <x:c r="AD543" s="14"/>
      <x:c r="AE543" s="14"/>
      <x:c r="AF543" s="14"/>
      <x:c r="AG543" s="14"/>
      <x:c r="AH543" s="14"/>
      <x:c r="AI543" s="14"/>
      <x:c r="AJ543" s="14"/>
      <x:c r="AK543" s="14"/>
      <x:c r="AL543" s="14"/>
      <x:c r="AM543" s="14"/>
      <x:c r="AN543" s="14"/>
      <x:c r="AO543" s="14"/>
      <x:c r="AP543" s="14"/>
      <x:c r="AQ543" s="14"/>
      <x:c r="AR543" s="14"/>
      <x:c r="AS543" s="14"/>
      <x:c r="AT543" s="14"/>
      <x:c r="AU543" s="14"/>
      <x:c r="AV543" s="14"/>
      <x:c r="AW543" s="14"/>
      <x:c r="AX543" s="14"/>
      <x:c r="AY543" s="14"/>
      <x:c r="AZ543" s="14"/>
      <x:c r="BA543" s="14"/>
      <x:c r="BB543" s="14"/>
      <x:c r="BC543" s="14"/>
      <x:c r="BD543" s="14"/>
      <x:c r="BE543" s="14"/>
      <x:c r="BF543" s="14"/>
      <x:c r="BG543" s="14"/>
      <x:c r="BH543" s="14"/>
      <x:c r="BI543" s="14"/>
      <x:c r="BJ543" s="14"/>
      <x:c r="BK543" s="14"/>
      <x:c r="BL543" s="14"/>
      <x:c r="BM543" s="14"/>
      <x:c r="BN543" s="14"/>
      <x:c r="BO543" s="14"/>
      <x:c r="BP543" s="14"/>
      <x:c r="BQ543" s="14"/>
      <x:c r="BR543" s="14"/>
      <x:c r="BS543" s="14"/>
      <x:c r="BT543" s="14"/>
      <x:c r="BU543" s="14"/>
      <x:c r="BV543" s="14"/>
      <x:c r="BW543" s="14"/>
      <x:c r="BX543" s="14"/>
      <x:c r="BY543" s="14"/>
      <x:c r="BZ543" s="14"/>
      <x:c r="CA543" s="14"/>
      <x:c r="CB543" s="14"/>
      <x:c r="CC543" s="14"/>
      <x:c r="CD543" s="14"/>
      <x:c r="CE543" s="14"/>
    </x:row>
    <x:row r="544">
      <x:c r="A544" s="14" t="n">
        <x:v>543</x:v>
      </x:c>
      <x:c r="B544" s="14"/>
      <x:c r="C544" s="14" t="str">
        <x:v>CHECKING_EVENT</x:v>
      </x:c>
      <x:c r="D544" s="14" t="str">
        <x:v>Exploratory_Checking_611_Positional_Surrogate.xlsx</x:v>
      </x:c>
      <x:c r="E544" s="14"/>
      <x:c r="F544" s="14"/>
      <x:c r="G544" s="14"/>
      <x:c r="H544" s="14"/>
      <x:c r="I544" s="14"/>
      <x:c r="J544" s="14"/>
      <x:c r="K544" s="14" t="str">
        <x:v>NEEDS_WINDOW_BINDING</x:v>
      </x:c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14"/>
      <x:c r="AA544" s="14"/>
      <x:c r="AB544" s="14"/>
      <x:c r="AC544" s="14"/>
      <x:c r="AD544" s="14"/>
      <x:c r="AE544" s="14"/>
      <x:c r="AF544" s="14"/>
      <x:c r="AG544" s="14"/>
      <x:c r="AH544" s="14"/>
      <x:c r="AI544" s="14"/>
      <x:c r="AJ544" s="14"/>
      <x:c r="AK544" s="14"/>
      <x:c r="AL544" s="14"/>
      <x:c r="AM544" s="14"/>
      <x:c r="AN544" s="14"/>
      <x:c r="AO544" s="14"/>
      <x:c r="AP544" s="14"/>
      <x:c r="AQ544" s="14"/>
      <x:c r="AR544" s="14"/>
      <x:c r="AS544" s="14"/>
      <x:c r="AT544" s="14"/>
      <x:c r="AU544" s="14"/>
      <x:c r="AV544" s="14"/>
      <x:c r="AW544" s="14"/>
      <x:c r="AX544" s="14"/>
      <x:c r="AY544" s="14"/>
      <x:c r="AZ544" s="14"/>
      <x:c r="BA544" s="14"/>
      <x:c r="BB544" s="14"/>
      <x:c r="BC544" s="14"/>
      <x:c r="BD544" s="14"/>
      <x:c r="BE544" s="14"/>
      <x:c r="BF544" s="14"/>
      <x:c r="BG544" s="14"/>
      <x:c r="BH544" s="14"/>
      <x:c r="BI544" s="14"/>
      <x:c r="BJ544" s="14"/>
      <x:c r="BK544" s="14"/>
      <x:c r="BL544" s="14"/>
      <x:c r="BM544" s="14"/>
      <x:c r="BN544" s="14"/>
      <x:c r="BO544" s="14"/>
      <x:c r="BP544" s="14"/>
      <x:c r="BQ544" s="14"/>
      <x:c r="BR544" s="14"/>
      <x:c r="BS544" s="14"/>
      <x:c r="BT544" s="14"/>
      <x:c r="BU544" s="14"/>
      <x:c r="BV544" s="14"/>
      <x:c r="BW544" s="14"/>
      <x:c r="BX544" s="14"/>
      <x:c r="BY544" s="14"/>
      <x:c r="BZ544" s="14"/>
      <x:c r="CA544" s="14"/>
      <x:c r="CB544" s="14"/>
      <x:c r="CC544" s="14"/>
      <x:c r="CD544" s="14"/>
      <x:c r="CE544" s="14"/>
    </x:row>
    <x:row r="545">
      <x:c r="A545" s="14" t="n">
        <x:v>544</x:v>
      </x:c>
      <x:c r="B545" s="14"/>
      <x:c r="C545" s="14" t="str">
        <x:v>CHECKING_EVENT</x:v>
      </x:c>
      <x:c r="D545" s="14" t="str">
        <x:v>Exploratory_Checking_611_Positional_Surrogate.xlsx</x:v>
      </x:c>
      <x:c r="E545" s="14"/>
      <x:c r="F545" s="14"/>
      <x:c r="G545" s="14"/>
      <x:c r="H545" s="14"/>
      <x:c r="I545" s="14"/>
      <x:c r="J545" s="14"/>
      <x:c r="K545" s="14" t="str">
        <x:v>NEEDS_WINDOW_BINDING</x:v>
      </x:c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14"/>
      <x:c r="AA545" s="14"/>
      <x:c r="AB545" s="14"/>
      <x:c r="AC545" s="14"/>
      <x:c r="AD545" s="14"/>
      <x:c r="AE545" s="14"/>
      <x:c r="AF545" s="14"/>
      <x:c r="AG545" s="14"/>
      <x:c r="AH545" s="14"/>
      <x:c r="AI545" s="14"/>
      <x:c r="AJ545" s="14"/>
      <x:c r="AK545" s="14"/>
      <x:c r="AL545" s="14"/>
      <x:c r="AM545" s="14"/>
      <x:c r="AN545" s="14"/>
      <x:c r="AO545" s="14"/>
      <x:c r="AP545" s="14"/>
      <x:c r="AQ545" s="14"/>
      <x:c r="AR545" s="14"/>
      <x:c r="AS545" s="14"/>
      <x:c r="AT545" s="14"/>
      <x:c r="AU545" s="14"/>
      <x:c r="AV545" s="14"/>
      <x:c r="AW545" s="14"/>
      <x:c r="AX545" s="14"/>
      <x:c r="AY545" s="14"/>
      <x:c r="AZ545" s="14"/>
      <x:c r="BA545" s="14"/>
      <x:c r="BB545" s="14"/>
      <x:c r="BC545" s="14"/>
      <x:c r="BD545" s="14"/>
      <x:c r="BE545" s="14"/>
      <x:c r="BF545" s="14"/>
      <x:c r="BG545" s="14"/>
      <x:c r="BH545" s="14"/>
      <x:c r="BI545" s="14"/>
      <x:c r="BJ545" s="14"/>
      <x:c r="BK545" s="14"/>
      <x:c r="BL545" s="14"/>
      <x:c r="BM545" s="14"/>
      <x:c r="BN545" s="14"/>
      <x:c r="BO545" s="14"/>
      <x:c r="BP545" s="14"/>
      <x:c r="BQ545" s="14"/>
      <x:c r="BR545" s="14"/>
      <x:c r="BS545" s="14"/>
      <x:c r="BT545" s="14"/>
      <x:c r="BU545" s="14"/>
      <x:c r="BV545" s="14"/>
      <x:c r="BW545" s="14"/>
      <x:c r="BX545" s="14"/>
      <x:c r="BY545" s="14"/>
      <x:c r="BZ545" s="14"/>
      <x:c r="CA545" s="14"/>
      <x:c r="CB545" s="14"/>
      <x:c r="CC545" s="14"/>
      <x:c r="CD545" s="14"/>
      <x:c r="CE545" s="14"/>
    </x:row>
    <x:row r="546">
      <x:c r="A546" s="14" t="n">
        <x:v>545</x:v>
      </x:c>
      <x:c r="B546" s="14"/>
      <x:c r="C546" s="14" t="str">
        <x:v>CHECKING_EVENT</x:v>
      </x:c>
      <x:c r="D546" s="14" t="str">
        <x:v>Exploratory_Checking_611_Positional_Surrogate.xlsx</x:v>
      </x:c>
      <x:c r="E546" s="14"/>
      <x:c r="F546" s="14"/>
      <x:c r="G546" s="14"/>
      <x:c r="H546" s="14"/>
      <x:c r="I546" s="14"/>
      <x:c r="J546" s="14"/>
      <x:c r="K546" s="14" t="str">
        <x:v>NEEDS_WINDOW_BINDING</x:v>
      </x:c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  <x:c r="AA546" s="14"/>
      <x:c r="AB546" s="14"/>
      <x:c r="AC546" s="14"/>
      <x:c r="AD546" s="14"/>
      <x:c r="AE546" s="14"/>
      <x:c r="AF546" s="14"/>
      <x:c r="AG546" s="14"/>
      <x:c r="AH546" s="14"/>
      <x:c r="AI546" s="14"/>
      <x:c r="AJ546" s="14"/>
      <x:c r="AK546" s="14"/>
      <x:c r="AL546" s="14"/>
      <x:c r="AM546" s="14"/>
      <x:c r="AN546" s="14"/>
      <x:c r="AO546" s="14"/>
      <x:c r="AP546" s="14"/>
      <x:c r="AQ546" s="14"/>
      <x:c r="AR546" s="14"/>
      <x:c r="AS546" s="14"/>
      <x:c r="AT546" s="14"/>
      <x:c r="AU546" s="14"/>
      <x:c r="AV546" s="14"/>
      <x:c r="AW546" s="14"/>
      <x:c r="AX546" s="14"/>
      <x:c r="AY546" s="14"/>
      <x:c r="AZ546" s="14"/>
      <x:c r="BA546" s="14"/>
      <x:c r="BB546" s="14"/>
      <x:c r="BC546" s="14"/>
      <x:c r="BD546" s="14"/>
      <x:c r="BE546" s="14"/>
      <x:c r="BF546" s="14"/>
      <x:c r="BG546" s="14"/>
      <x:c r="BH546" s="14"/>
      <x:c r="BI546" s="14"/>
      <x:c r="BJ546" s="14"/>
      <x:c r="BK546" s="14"/>
      <x:c r="BL546" s="14"/>
      <x:c r="BM546" s="14"/>
      <x:c r="BN546" s="14"/>
      <x:c r="BO546" s="14"/>
      <x:c r="BP546" s="14"/>
      <x:c r="BQ546" s="14"/>
      <x:c r="BR546" s="14"/>
      <x:c r="BS546" s="14"/>
      <x:c r="BT546" s="14"/>
      <x:c r="BU546" s="14"/>
      <x:c r="BV546" s="14"/>
      <x:c r="BW546" s="14"/>
      <x:c r="BX546" s="14"/>
      <x:c r="BY546" s="14"/>
      <x:c r="BZ546" s="14"/>
      <x:c r="CA546" s="14"/>
      <x:c r="CB546" s="14"/>
      <x:c r="CC546" s="14"/>
      <x:c r="CD546" s="14"/>
      <x:c r="CE546" s="14"/>
    </x:row>
    <x:row r="547">
      <x:c r="A547" s="14" t="n">
        <x:v>546</x:v>
      </x:c>
      <x:c r="B547" s="14"/>
      <x:c r="C547" s="14" t="str">
        <x:v>CHECKING_EVENT</x:v>
      </x:c>
      <x:c r="D547" s="14" t="str">
        <x:v>Exploratory_Checking_611_Positional_Surrogate.xlsx</x:v>
      </x:c>
      <x:c r="E547" s="14"/>
      <x:c r="F547" s="14"/>
      <x:c r="G547" s="14"/>
      <x:c r="H547" s="14"/>
      <x:c r="I547" s="14"/>
      <x:c r="J547" s="14"/>
      <x:c r="K547" s="14" t="str">
        <x:v>NEEDS_WINDOW_BINDING</x:v>
      </x:c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14"/>
      <x:c r="AA547" s="14"/>
      <x:c r="AB547" s="14"/>
      <x:c r="AC547" s="14"/>
      <x:c r="AD547" s="14"/>
      <x:c r="AE547" s="14"/>
      <x:c r="AF547" s="14"/>
      <x:c r="AG547" s="14"/>
      <x:c r="AH547" s="14"/>
      <x:c r="AI547" s="14"/>
      <x:c r="AJ547" s="14"/>
      <x:c r="AK547" s="14"/>
      <x:c r="AL547" s="14"/>
      <x:c r="AM547" s="14"/>
      <x:c r="AN547" s="14"/>
      <x:c r="AO547" s="14"/>
      <x:c r="AP547" s="14"/>
      <x:c r="AQ547" s="14"/>
      <x:c r="AR547" s="14"/>
      <x:c r="AS547" s="14"/>
      <x:c r="AT547" s="14"/>
      <x:c r="AU547" s="14"/>
      <x:c r="AV547" s="14"/>
      <x:c r="AW547" s="14"/>
      <x:c r="AX547" s="14"/>
      <x:c r="AY547" s="14"/>
      <x:c r="AZ547" s="14"/>
      <x:c r="BA547" s="14"/>
      <x:c r="BB547" s="14"/>
      <x:c r="BC547" s="14"/>
      <x:c r="BD547" s="14"/>
      <x:c r="BE547" s="14"/>
      <x:c r="BF547" s="14"/>
      <x:c r="BG547" s="14"/>
      <x:c r="BH547" s="14"/>
      <x:c r="BI547" s="14"/>
      <x:c r="BJ547" s="14"/>
      <x:c r="BK547" s="14"/>
      <x:c r="BL547" s="14"/>
      <x:c r="BM547" s="14"/>
      <x:c r="BN547" s="14"/>
      <x:c r="BO547" s="14"/>
      <x:c r="BP547" s="14"/>
      <x:c r="BQ547" s="14"/>
      <x:c r="BR547" s="14"/>
      <x:c r="BS547" s="14"/>
      <x:c r="BT547" s="14"/>
      <x:c r="BU547" s="14"/>
      <x:c r="BV547" s="14"/>
      <x:c r="BW547" s="14"/>
      <x:c r="BX547" s="14"/>
      <x:c r="BY547" s="14"/>
      <x:c r="BZ547" s="14"/>
      <x:c r="CA547" s="14"/>
      <x:c r="CB547" s="14"/>
      <x:c r="CC547" s="14"/>
      <x:c r="CD547" s="14"/>
      <x:c r="CE547" s="14"/>
    </x:row>
    <x:row r="548">
      <x:c r="A548" s="14" t="n">
        <x:v>547</x:v>
      </x:c>
      <x:c r="B548" s="14"/>
      <x:c r="C548" s="14" t="str">
        <x:v>CHECKING_EVENT</x:v>
      </x:c>
      <x:c r="D548" s="14" t="str">
        <x:v>Exploratory_Checking_611_Positional_Surrogate.xlsx</x:v>
      </x:c>
      <x:c r="E548" s="14"/>
      <x:c r="F548" s="14"/>
      <x:c r="G548" s="14"/>
      <x:c r="H548" s="14"/>
      <x:c r="I548" s="14"/>
      <x:c r="J548" s="14"/>
      <x:c r="K548" s="14" t="str">
        <x:v>NEEDS_WINDOW_BINDING</x:v>
      </x:c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  <x:c r="AA548" s="14"/>
      <x:c r="AB548" s="14"/>
      <x:c r="AC548" s="14"/>
      <x:c r="AD548" s="14"/>
      <x:c r="AE548" s="14"/>
      <x:c r="AF548" s="14"/>
      <x:c r="AG548" s="14"/>
      <x:c r="AH548" s="14"/>
      <x:c r="AI548" s="14"/>
      <x:c r="AJ548" s="14"/>
      <x:c r="AK548" s="14"/>
      <x:c r="AL548" s="14"/>
      <x:c r="AM548" s="14"/>
      <x:c r="AN548" s="14"/>
      <x:c r="AO548" s="14"/>
      <x:c r="AP548" s="14"/>
      <x:c r="AQ548" s="14"/>
      <x:c r="AR548" s="14"/>
      <x:c r="AS548" s="14"/>
      <x:c r="AT548" s="14"/>
      <x:c r="AU548" s="14"/>
      <x:c r="AV548" s="14"/>
      <x:c r="AW548" s="14"/>
      <x:c r="AX548" s="14"/>
      <x:c r="AY548" s="14"/>
      <x:c r="AZ548" s="14"/>
      <x:c r="BA548" s="14"/>
      <x:c r="BB548" s="14"/>
      <x:c r="BC548" s="14"/>
      <x:c r="BD548" s="14"/>
      <x:c r="BE548" s="14"/>
      <x:c r="BF548" s="14"/>
      <x:c r="BG548" s="14"/>
      <x:c r="BH548" s="14"/>
      <x:c r="BI548" s="14"/>
      <x:c r="BJ548" s="14"/>
      <x:c r="BK548" s="14"/>
      <x:c r="BL548" s="14"/>
      <x:c r="BM548" s="14"/>
      <x:c r="BN548" s="14"/>
      <x:c r="BO548" s="14"/>
      <x:c r="BP548" s="14"/>
      <x:c r="BQ548" s="14"/>
      <x:c r="BR548" s="14"/>
      <x:c r="BS548" s="14"/>
      <x:c r="BT548" s="14"/>
      <x:c r="BU548" s="14"/>
      <x:c r="BV548" s="14"/>
      <x:c r="BW548" s="14"/>
      <x:c r="BX548" s="14"/>
      <x:c r="BY548" s="14"/>
      <x:c r="BZ548" s="14"/>
      <x:c r="CA548" s="14"/>
      <x:c r="CB548" s="14"/>
      <x:c r="CC548" s="14"/>
      <x:c r="CD548" s="14"/>
      <x:c r="CE548" s="14"/>
    </x:row>
    <x:row r="549">
      <x:c r="A549" s="14" t="n">
        <x:v>548</x:v>
      </x:c>
      <x:c r="B549" s="14"/>
      <x:c r="C549" s="14" t="str">
        <x:v>CHECKING_EVENT</x:v>
      </x:c>
      <x:c r="D549" s="14" t="str">
        <x:v>Exploratory_Checking_611_Positional_Surrogate.xlsx</x:v>
      </x:c>
      <x:c r="E549" s="14"/>
      <x:c r="F549" s="14"/>
      <x:c r="G549" s="14"/>
      <x:c r="H549" s="14"/>
      <x:c r="I549" s="14"/>
      <x:c r="J549" s="14"/>
      <x:c r="K549" s="14" t="str">
        <x:v>NEEDS_WINDOW_BINDING</x:v>
      </x:c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  <x:c r="AA549" s="14"/>
      <x:c r="AB549" s="14"/>
      <x:c r="AC549" s="14"/>
      <x:c r="AD549" s="14"/>
      <x:c r="AE549" s="14"/>
      <x:c r="AF549" s="14"/>
      <x:c r="AG549" s="14"/>
      <x:c r="AH549" s="14"/>
      <x:c r="AI549" s="14"/>
      <x:c r="AJ549" s="14"/>
      <x:c r="AK549" s="14"/>
      <x:c r="AL549" s="14"/>
      <x:c r="AM549" s="14"/>
      <x:c r="AN549" s="14"/>
      <x:c r="AO549" s="14"/>
      <x:c r="AP549" s="14"/>
      <x:c r="AQ549" s="14"/>
      <x:c r="AR549" s="14"/>
      <x:c r="AS549" s="14"/>
      <x:c r="AT549" s="14"/>
      <x:c r="AU549" s="14"/>
      <x:c r="AV549" s="14"/>
      <x:c r="AW549" s="14"/>
      <x:c r="AX549" s="14"/>
      <x:c r="AY549" s="14"/>
      <x:c r="AZ549" s="14"/>
      <x:c r="BA549" s="14"/>
      <x:c r="BB549" s="14"/>
      <x:c r="BC549" s="14"/>
      <x:c r="BD549" s="14"/>
      <x:c r="BE549" s="14"/>
      <x:c r="BF549" s="14"/>
      <x:c r="BG549" s="14"/>
      <x:c r="BH549" s="14"/>
      <x:c r="BI549" s="14"/>
      <x:c r="BJ549" s="14"/>
      <x:c r="BK549" s="14"/>
      <x:c r="BL549" s="14"/>
      <x:c r="BM549" s="14"/>
      <x:c r="BN549" s="14"/>
      <x:c r="BO549" s="14"/>
      <x:c r="BP549" s="14"/>
      <x:c r="BQ549" s="14"/>
      <x:c r="BR549" s="14"/>
      <x:c r="BS549" s="14"/>
      <x:c r="BT549" s="14"/>
      <x:c r="BU549" s="14"/>
      <x:c r="BV549" s="14"/>
      <x:c r="BW549" s="14"/>
      <x:c r="BX549" s="14"/>
      <x:c r="BY549" s="14"/>
      <x:c r="BZ549" s="14"/>
      <x:c r="CA549" s="14"/>
      <x:c r="CB549" s="14"/>
      <x:c r="CC549" s="14"/>
      <x:c r="CD549" s="14"/>
      <x:c r="CE549" s="14"/>
    </x:row>
    <x:row r="550">
      <x:c r="A550" s="14" t="n">
        <x:v>549</x:v>
      </x:c>
      <x:c r="B550" s="14"/>
      <x:c r="C550" s="14" t="str">
        <x:v>CHECKING_EVENT</x:v>
      </x:c>
      <x:c r="D550" s="14" t="str">
        <x:v>Exploratory_Checking_611_Positional_Surrogate.xlsx</x:v>
      </x:c>
      <x:c r="E550" s="14"/>
      <x:c r="F550" s="14"/>
      <x:c r="G550" s="14"/>
      <x:c r="H550" s="14"/>
      <x:c r="I550" s="14"/>
      <x:c r="J550" s="14"/>
      <x:c r="K550" s="14" t="str">
        <x:v>NEEDS_WINDOW_BINDING</x:v>
      </x:c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14"/>
      <x:c r="AA550" s="14"/>
      <x:c r="AB550" s="14"/>
      <x:c r="AC550" s="14"/>
      <x:c r="AD550" s="14"/>
      <x:c r="AE550" s="14"/>
      <x:c r="AF550" s="14"/>
      <x:c r="AG550" s="14"/>
      <x:c r="AH550" s="14"/>
      <x:c r="AI550" s="14"/>
      <x:c r="AJ550" s="14"/>
      <x:c r="AK550" s="14"/>
      <x:c r="AL550" s="14"/>
      <x:c r="AM550" s="14"/>
      <x:c r="AN550" s="14"/>
      <x:c r="AO550" s="14"/>
      <x:c r="AP550" s="14"/>
      <x:c r="AQ550" s="14"/>
      <x:c r="AR550" s="14"/>
      <x:c r="AS550" s="14"/>
      <x:c r="AT550" s="14"/>
      <x:c r="AU550" s="14"/>
      <x:c r="AV550" s="14"/>
      <x:c r="AW550" s="14"/>
      <x:c r="AX550" s="14"/>
      <x:c r="AY550" s="14"/>
      <x:c r="AZ550" s="14"/>
      <x:c r="BA550" s="14"/>
      <x:c r="BB550" s="14"/>
      <x:c r="BC550" s="14"/>
      <x:c r="BD550" s="14"/>
      <x:c r="BE550" s="14"/>
      <x:c r="BF550" s="14"/>
      <x:c r="BG550" s="14"/>
      <x:c r="BH550" s="14"/>
      <x:c r="BI550" s="14"/>
      <x:c r="BJ550" s="14"/>
      <x:c r="BK550" s="14"/>
      <x:c r="BL550" s="14"/>
      <x:c r="BM550" s="14"/>
      <x:c r="BN550" s="14"/>
      <x:c r="BO550" s="14"/>
      <x:c r="BP550" s="14"/>
      <x:c r="BQ550" s="14"/>
      <x:c r="BR550" s="14"/>
      <x:c r="BS550" s="14"/>
      <x:c r="BT550" s="14"/>
      <x:c r="BU550" s="14"/>
      <x:c r="BV550" s="14"/>
      <x:c r="BW550" s="14"/>
      <x:c r="BX550" s="14"/>
      <x:c r="BY550" s="14"/>
      <x:c r="BZ550" s="14"/>
      <x:c r="CA550" s="14"/>
      <x:c r="CB550" s="14"/>
      <x:c r="CC550" s="14"/>
      <x:c r="CD550" s="14"/>
      <x:c r="CE550" s="14"/>
    </x:row>
    <x:row r="551">
      <x:c r="A551" s="14" t="n">
        <x:v>550</x:v>
      </x:c>
      <x:c r="B551" s="14"/>
      <x:c r="C551" s="14" t="str">
        <x:v>CHECKING_EVENT</x:v>
      </x:c>
      <x:c r="D551" s="14" t="str">
        <x:v>Exploratory_Checking_611_Positional_Surrogate.xlsx</x:v>
      </x:c>
      <x:c r="E551" s="14"/>
      <x:c r="F551" s="14"/>
      <x:c r="G551" s="14"/>
      <x:c r="H551" s="14"/>
      <x:c r="I551" s="14"/>
      <x:c r="J551" s="14"/>
      <x:c r="K551" s="14" t="str">
        <x:v>NEEDS_WINDOW_BINDING</x:v>
      </x:c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  <x:c r="AA551" s="14"/>
      <x:c r="AB551" s="14"/>
      <x:c r="AC551" s="14"/>
      <x:c r="AD551" s="14"/>
      <x:c r="AE551" s="14"/>
      <x:c r="AF551" s="14"/>
      <x:c r="AG551" s="14"/>
      <x:c r="AH551" s="14"/>
      <x:c r="AI551" s="14"/>
      <x:c r="AJ551" s="14"/>
      <x:c r="AK551" s="14"/>
      <x:c r="AL551" s="14"/>
      <x:c r="AM551" s="14"/>
      <x:c r="AN551" s="14"/>
      <x:c r="AO551" s="14"/>
      <x:c r="AP551" s="14"/>
      <x:c r="AQ551" s="14"/>
      <x:c r="AR551" s="14"/>
      <x:c r="AS551" s="14"/>
      <x:c r="AT551" s="14"/>
      <x:c r="AU551" s="14"/>
      <x:c r="AV551" s="14"/>
      <x:c r="AW551" s="14"/>
      <x:c r="AX551" s="14"/>
      <x:c r="AY551" s="14"/>
      <x:c r="AZ551" s="14"/>
      <x:c r="BA551" s="14"/>
      <x:c r="BB551" s="14"/>
      <x:c r="BC551" s="14"/>
      <x:c r="BD551" s="14"/>
      <x:c r="BE551" s="14"/>
      <x:c r="BF551" s="14"/>
      <x:c r="BG551" s="14"/>
      <x:c r="BH551" s="14"/>
      <x:c r="BI551" s="14"/>
      <x:c r="BJ551" s="14"/>
      <x:c r="BK551" s="14"/>
      <x:c r="BL551" s="14"/>
      <x:c r="BM551" s="14"/>
      <x:c r="BN551" s="14"/>
      <x:c r="BO551" s="14"/>
      <x:c r="BP551" s="14"/>
      <x:c r="BQ551" s="14"/>
      <x:c r="BR551" s="14"/>
      <x:c r="BS551" s="14"/>
      <x:c r="BT551" s="14"/>
      <x:c r="BU551" s="14"/>
      <x:c r="BV551" s="14"/>
      <x:c r="BW551" s="14"/>
      <x:c r="BX551" s="14"/>
      <x:c r="BY551" s="14"/>
      <x:c r="BZ551" s="14"/>
      <x:c r="CA551" s="14"/>
      <x:c r="CB551" s="14"/>
      <x:c r="CC551" s="14"/>
      <x:c r="CD551" s="14"/>
      <x:c r="CE551" s="14"/>
    </x:row>
    <x:row r="552">
      <x:c r="A552" s="14" t="n">
        <x:v>551</x:v>
      </x:c>
      <x:c r="B552" s="14"/>
      <x:c r="C552" s="14" t="str">
        <x:v>CHECKING_EVENT</x:v>
      </x:c>
      <x:c r="D552" s="14" t="str">
        <x:v>Exploratory_Checking_611_Positional_Surrogate.xlsx</x:v>
      </x:c>
      <x:c r="E552" s="14"/>
      <x:c r="F552" s="14"/>
      <x:c r="G552" s="14"/>
      <x:c r="H552" s="14"/>
      <x:c r="I552" s="14"/>
      <x:c r="J552" s="14"/>
      <x:c r="K552" s="14" t="str">
        <x:v>NEEDS_WINDOW_BINDING</x:v>
      </x:c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  <x:c r="AA552" s="14"/>
      <x:c r="AB552" s="14"/>
      <x:c r="AC552" s="14"/>
      <x:c r="AD552" s="14"/>
      <x:c r="AE552" s="14"/>
      <x:c r="AF552" s="14"/>
      <x:c r="AG552" s="14"/>
      <x:c r="AH552" s="14"/>
      <x:c r="AI552" s="14"/>
      <x:c r="AJ552" s="14"/>
      <x:c r="AK552" s="14"/>
      <x:c r="AL552" s="14"/>
      <x:c r="AM552" s="14"/>
      <x:c r="AN552" s="14"/>
      <x:c r="AO552" s="14"/>
      <x:c r="AP552" s="14"/>
      <x:c r="AQ552" s="14"/>
      <x:c r="AR552" s="14"/>
      <x:c r="AS552" s="14"/>
      <x:c r="AT552" s="14"/>
      <x:c r="AU552" s="14"/>
      <x:c r="AV552" s="14"/>
      <x:c r="AW552" s="14"/>
      <x:c r="AX552" s="14"/>
      <x:c r="AY552" s="14"/>
      <x:c r="AZ552" s="14"/>
      <x:c r="BA552" s="14"/>
      <x:c r="BB552" s="14"/>
      <x:c r="BC552" s="14"/>
      <x:c r="BD552" s="14"/>
      <x:c r="BE552" s="14"/>
      <x:c r="BF552" s="14"/>
      <x:c r="BG552" s="14"/>
      <x:c r="BH552" s="14"/>
      <x:c r="BI552" s="14"/>
      <x:c r="BJ552" s="14"/>
      <x:c r="BK552" s="14"/>
      <x:c r="BL552" s="14"/>
      <x:c r="BM552" s="14"/>
      <x:c r="BN552" s="14"/>
      <x:c r="BO552" s="14"/>
      <x:c r="BP552" s="14"/>
      <x:c r="BQ552" s="14"/>
      <x:c r="BR552" s="14"/>
      <x:c r="BS552" s="14"/>
      <x:c r="BT552" s="14"/>
      <x:c r="BU552" s="14"/>
      <x:c r="BV552" s="14"/>
      <x:c r="BW552" s="14"/>
      <x:c r="BX552" s="14"/>
      <x:c r="BY552" s="14"/>
      <x:c r="BZ552" s="14"/>
      <x:c r="CA552" s="14"/>
      <x:c r="CB552" s="14"/>
      <x:c r="CC552" s="14"/>
      <x:c r="CD552" s="14"/>
      <x:c r="CE552" s="14"/>
    </x:row>
    <x:row r="553">
      <x:c r="A553" s="14" t="n">
        <x:v>552</x:v>
      </x:c>
      <x:c r="B553" s="14"/>
      <x:c r="C553" s="14" t="str">
        <x:v>CHECKING_EVENT</x:v>
      </x:c>
      <x:c r="D553" s="14" t="str">
        <x:v>Exploratory_Checking_611_Positional_Surrogate.xlsx</x:v>
      </x:c>
      <x:c r="E553" s="14"/>
      <x:c r="F553" s="14"/>
      <x:c r="G553" s="14"/>
      <x:c r="H553" s="14"/>
      <x:c r="I553" s="14"/>
      <x:c r="J553" s="14"/>
      <x:c r="K553" s="14" t="str">
        <x:v>NEEDS_WINDOW_BINDING</x:v>
      </x:c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  <x:c r="AA553" s="14"/>
      <x:c r="AB553" s="14"/>
      <x:c r="AC553" s="14"/>
      <x:c r="AD553" s="14"/>
      <x:c r="AE553" s="14"/>
      <x:c r="AF553" s="14"/>
      <x:c r="AG553" s="14"/>
      <x:c r="AH553" s="14"/>
      <x:c r="AI553" s="14"/>
      <x:c r="AJ553" s="14"/>
      <x:c r="AK553" s="14"/>
      <x:c r="AL553" s="14"/>
      <x:c r="AM553" s="14"/>
      <x:c r="AN553" s="14"/>
      <x:c r="AO553" s="14"/>
      <x:c r="AP553" s="14"/>
      <x:c r="AQ553" s="14"/>
      <x:c r="AR553" s="14"/>
      <x:c r="AS553" s="14"/>
      <x:c r="AT553" s="14"/>
      <x:c r="AU553" s="14"/>
      <x:c r="AV553" s="14"/>
      <x:c r="AW553" s="14"/>
      <x:c r="AX553" s="14"/>
      <x:c r="AY553" s="14"/>
      <x:c r="AZ553" s="14"/>
      <x:c r="BA553" s="14"/>
      <x:c r="BB553" s="14"/>
      <x:c r="BC553" s="14"/>
      <x:c r="BD553" s="14"/>
      <x:c r="BE553" s="14"/>
      <x:c r="BF553" s="14"/>
      <x:c r="BG553" s="14"/>
      <x:c r="BH553" s="14"/>
      <x:c r="BI553" s="14"/>
      <x:c r="BJ553" s="14"/>
      <x:c r="BK553" s="14"/>
      <x:c r="BL553" s="14"/>
      <x:c r="BM553" s="14"/>
      <x:c r="BN553" s="14"/>
      <x:c r="BO553" s="14"/>
      <x:c r="BP553" s="14"/>
      <x:c r="BQ553" s="14"/>
      <x:c r="BR553" s="14"/>
      <x:c r="BS553" s="14"/>
      <x:c r="BT553" s="14"/>
      <x:c r="BU553" s="14"/>
      <x:c r="BV553" s="14"/>
      <x:c r="BW553" s="14"/>
      <x:c r="BX553" s="14"/>
      <x:c r="BY553" s="14"/>
      <x:c r="BZ553" s="14"/>
      <x:c r="CA553" s="14"/>
      <x:c r="CB553" s="14"/>
      <x:c r="CC553" s="14"/>
      <x:c r="CD553" s="14"/>
      <x:c r="CE553" s="14"/>
    </x:row>
    <x:row r="554">
      <x:c r="A554" s="14" t="n">
        <x:v>553</x:v>
      </x:c>
      <x:c r="B554" s="14"/>
      <x:c r="C554" s="14" t="str">
        <x:v>CHECKING_EVENT</x:v>
      </x:c>
      <x:c r="D554" s="14" t="str">
        <x:v>Exploratory_Checking_611_Positional_Surrogate.xlsx</x:v>
      </x:c>
      <x:c r="E554" s="14"/>
      <x:c r="F554" s="14"/>
      <x:c r="G554" s="14"/>
      <x:c r="H554" s="14"/>
      <x:c r="I554" s="14"/>
      <x:c r="J554" s="14"/>
      <x:c r="K554" s="14" t="str">
        <x:v>NEEDS_WINDOW_BINDING</x:v>
      </x:c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14"/>
      <x:c r="AA554" s="14"/>
      <x:c r="AB554" s="14"/>
      <x:c r="AC554" s="14"/>
      <x:c r="AD554" s="14"/>
      <x:c r="AE554" s="14"/>
      <x:c r="AF554" s="14"/>
      <x:c r="AG554" s="14"/>
      <x:c r="AH554" s="14"/>
      <x:c r="AI554" s="14"/>
      <x:c r="AJ554" s="14"/>
      <x:c r="AK554" s="14"/>
      <x:c r="AL554" s="14"/>
      <x:c r="AM554" s="14"/>
      <x:c r="AN554" s="14"/>
      <x:c r="AO554" s="14"/>
      <x:c r="AP554" s="14"/>
      <x:c r="AQ554" s="14"/>
      <x:c r="AR554" s="14"/>
      <x:c r="AS554" s="14"/>
      <x:c r="AT554" s="14"/>
      <x:c r="AU554" s="14"/>
      <x:c r="AV554" s="14"/>
      <x:c r="AW554" s="14"/>
      <x:c r="AX554" s="14"/>
      <x:c r="AY554" s="14"/>
      <x:c r="AZ554" s="14"/>
      <x:c r="BA554" s="14"/>
      <x:c r="BB554" s="14"/>
      <x:c r="BC554" s="14"/>
      <x:c r="BD554" s="14"/>
      <x:c r="BE554" s="14"/>
      <x:c r="BF554" s="14"/>
      <x:c r="BG554" s="14"/>
      <x:c r="BH554" s="14"/>
      <x:c r="BI554" s="14"/>
      <x:c r="BJ554" s="14"/>
      <x:c r="BK554" s="14"/>
      <x:c r="BL554" s="14"/>
      <x:c r="BM554" s="14"/>
      <x:c r="BN554" s="14"/>
      <x:c r="BO554" s="14"/>
      <x:c r="BP554" s="14"/>
      <x:c r="BQ554" s="14"/>
      <x:c r="BR554" s="14"/>
      <x:c r="BS554" s="14"/>
      <x:c r="BT554" s="14"/>
      <x:c r="BU554" s="14"/>
      <x:c r="BV554" s="14"/>
      <x:c r="BW554" s="14"/>
      <x:c r="BX554" s="14"/>
      <x:c r="BY554" s="14"/>
      <x:c r="BZ554" s="14"/>
      <x:c r="CA554" s="14"/>
      <x:c r="CB554" s="14"/>
      <x:c r="CC554" s="14"/>
      <x:c r="CD554" s="14"/>
      <x:c r="CE554" s="14"/>
    </x:row>
    <x:row r="555">
      <x:c r="A555" s="14" t="n">
        <x:v>554</x:v>
      </x:c>
      <x:c r="B555" s="14"/>
      <x:c r="C555" s="14" t="str">
        <x:v>CHECKING_EVENT</x:v>
      </x:c>
      <x:c r="D555" s="14" t="str">
        <x:v>Exploratory_Checking_611_Positional_Surrogate.xlsx</x:v>
      </x:c>
      <x:c r="E555" s="14"/>
      <x:c r="F555" s="14"/>
      <x:c r="G555" s="14"/>
      <x:c r="H555" s="14"/>
      <x:c r="I555" s="14"/>
      <x:c r="J555" s="14"/>
      <x:c r="K555" s="14" t="str">
        <x:v>NEEDS_WINDOW_BINDING</x:v>
      </x:c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  <x:c r="AA555" s="14"/>
      <x:c r="AB555" s="14"/>
      <x:c r="AC555" s="14"/>
      <x:c r="AD555" s="14"/>
      <x:c r="AE555" s="14"/>
      <x:c r="AF555" s="14"/>
      <x:c r="AG555" s="14"/>
      <x:c r="AH555" s="14"/>
      <x:c r="AI555" s="14"/>
      <x:c r="AJ555" s="14"/>
      <x:c r="AK555" s="14"/>
      <x:c r="AL555" s="14"/>
      <x:c r="AM555" s="14"/>
      <x:c r="AN555" s="14"/>
      <x:c r="AO555" s="14"/>
      <x:c r="AP555" s="14"/>
      <x:c r="AQ555" s="14"/>
      <x:c r="AR555" s="14"/>
      <x:c r="AS555" s="14"/>
      <x:c r="AT555" s="14"/>
      <x:c r="AU555" s="14"/>
      <x:c r="AV555" s="14"/>
      <x:c r="AW555" s="14"/>
      <x:c r="AX555" s="14"/>
      <x:c r="AY555" s="14"/>
      <x:c r="AZ555" s="14"/>
      <x:c r="BA555" s="14"/>
      <x:c r="BB555" s="14"/>
      <x:c r="BC555" s="14"/>
      <x:c r="BD555" s="14"/>
      <x:c r="BE555" s="14"/>
      <x:c r="BF555" s="14"/>
      <x:c r="BG555" s="14"/>
      <x:c r="BH555" s="14"/>
      <x:c r="BI555" s="14"/>
      <x:c r="BJ555" s="14"/>
      <x:c r="BK555" s="14"/>
      <x:c r="BL555" s="14"/>
      <x:c r="BM555" s="14"/>
      <x:c r="BN555" s="14"/>
      <x:c r="BO555" s="14"/>
      <x:c r="BP555" s="14"/>
      <x:c r="BQ555" s="14"/>
      <x:c r="BR555" s="14"/>
      <x:c r="BS555" s="14"/>
      <x:c r="BT555" s="14"/>
      <x:c r="BU555" s="14"/>
      <x:c r="BV555" s="14"/>
      <x:c r="BW555" s="14"/>
      <x:c r="BX555" s="14"/>
      <x:c r="BY555" s="14"/>
      <x:c r="BZ555" s="14"/>
      <x:c r="CA555" s="14"/>
      <x:c r="CB555" s="14"/>
      <x:c r="CC555" s="14"/>
      <x:c r="CD555" s="14"/>
      <x:c r="CE555" s="14"/>
    </x:row>
    <x:row r="556">
      <x:c r="A556" s="14" t="n">
        <x:v>555</x:v>
      </x:c>
      <x:c r="B556" s="14"/>
      <x:c r="C556" s="14" t="str">
        <x:v>CHECKING_EVENT</x:v>
      </x:c>
      <x:c r="D556" s="14" t="str">
        <x:v>Exploratory_Checking_611_Positional_Surrogate.xlsx</x:v>
      </x:c>
      <x:c r="E556" s="14"/>
      <x:c r="F556" s="14"/>
      <x:c r="G556" s="14"/>
      <x:c r="H556" s="14"/>
      <x:c r="I556" s="14"/>
      <x:c r="J556" s="14"/>
      <x:c r="K556" s="14" t="str">
        <x:v>NEEDS_WINDOW_BINDING</x:v>
      </x:c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4"/>
      <x:c r="AA556" s="14"/>
      <x:c r="AB556" s="14"/>
      <x:c r="AC556" s="14"/>
      <x:c r="AD556" s="14"/>
      <x:c r="AE556" s="14"/>
      <x:c r="AF556" s="14"/>
      <x:c r="AG556" s="14"/>
      <x:c r="AH556" s="14"/>
      <x:c r="AI556" s="14"/>
      <x:c r="AJ556" s="14"/>
      <x:c r="AK556" s="14"/>
      <x:c r="AL556" s="14"/>
      <x:c r="AM556" s="14"/>
      <x:c r="AN556" s="14"/>
      <x:c r="AO556" s="14"/>
      <x:c r="AP556" s="14"/>
      <x:c r="AQ556" s="14"/>
      <x:c r="AR556" s="14"/>
      <x:c r="AS556" s="14"/>
      <x:c r="AT556" s="14"/>
      <x:c r="AU556" s="14"/>
      <x:c r="AV556" s="14"/>
      <x:c r="AW556" s="14"/>
      <x:c r="AX556" s="14"/>
      <x:c r="AY556" s="14"/>
      <x:c r="AZ556" s="14"/>
      <x:c r="BA556" s="14"/>
      <x:c r="BB556" s="14"/>
      <x:c r="BC556" s="14"/>
      <x:c r="BD556" s="14"/>
      <x:c r="BE556" s="14"/>
      <x:c r="BF556" s="14"/>
      <x:c r="BG556" s="14"/>
      <x:c r="BH556" s="14"/>
      <x:c r="BI556" s="14"/>
      <x:c r="BJ556" s="14"/>
      <x:c r="BK556" s="14"/>
      <x:c r="BL556" s="14"/>
      <x:c r="BM556" s="14"/>
      <x:c r="BN556" s="14"/>
      <x:c r="BO556" s="14"/>
      <x:c r="BP556" s="14"/>
      <x:c r="BQ556" s="14"/>
      <x:c r="BR556" s="14"/>
      <x:c r="BS556" s="14"/>
      <x:c r="BT556" s="14"/>
      <x:c r="BU556" s="14"/>
      <x:c r="BV556" s="14"/>
      <x:c r="BW556" s="14"/>
      <x:c r="BX556" s="14"/>
      <x:c r="BY556" s="14"/>
      <x:c r="BZ556" s="14"/>
      <x:c r="CA556" s="14"/>
      <x:c r="CB556" s="14"/>
      <x:c r="CC556" s="14"/>
      <x:c r="CD556" s="14"/>
      <x:c r="CE556" s="14"/>
    </x:row>
    <x:row r="557">
      <x:c r="A557" s="14" t="n">
        <x:v>556</x:v>
      </x:c>
      <x:c r="B557" s="14"/>
      <x:c r="C557" s="14" t="str">
        <x:v>CHECKING_EVENT</x:v>
      </x:c>
      <x:c r="D557" s="14" t="str">
        <x:v>Exploratory_Checking_611_Positional_Surrogate.xlsx</x:v>
      </x:c>
      <x:c r="E557" s="14"/>
      <x:c r="F557" s="14"/>
      <x:c r="G557" s="14"/>
      <x:c r="H557" s="14"/>
      <x:c r="I557" s="14"/>
      <x:c r="J557" s="14"/>
      <x:c r="K557" s="14" t="str">
        <x:v>NEEDS_WINDOW_BINDING</x:v>
      </x:c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14"/>
      <x:c r="AA557" s="14"/>
      <x:c r="AB557" s="14"/>
      <x:c r="AC557" s="14"/>
      <x:c r="AD557" s="14"/>
      <x:c r="AE557" s="14"/>
      <x:c r="AF557" s="14"/>
      <x:c r="AG557" s="14"/>
      <x:c r="AH557" s="14"/>
      <x:c r="AI557" s="14"/>
      <x:c r="AJ557" s="14"/>
      <x:c r="AK557" s="14"/>
      <x:c r="AL557" s="14"/>
      <x:c r="AM557" s="14"/>
      <x:c r="AN557" s="14"/>
      <x:c r="AO557" s="14"/>
      <x:c r="AP557" s="14"/>
      <x:c r="AQ557" s="14"/>
      <x:c r="AR557" s="14"/>
      <x:c r="AS557" s="14"/>
      <x:c r="AT557" s="14"/>
      <x:c r="AU557" s="14"/>
      <x:c r="AV557" s="14"/>
      <x:c r="AW557" s="14"/>
      <x:c r="AX557" s="14"/>
      <x:c r="AY557" s="14"/>
      <x:c r="AZ557" s="14"/>
      <x:c r="BA557" s="14"/>
      <x:c r="BB557" s="14"/>
      <x:c r="BC557" s="14"/>
      <x:c r="BD557" s="14"/>
      <x:c r="BE557" s="14"/>
      <x:c r="BF557" s="14"/>
      <x:c r="BG557" s="14"/>
      <x:c r="BH557" s="14"/>
      <x:c r="BI557" s="14"/>
      <x:c r="BJ557" s="14"/>
      <x:c r="BK557" s="14"/>
      <x:c r="BL557" s="14"/>
      <x:c r="BM557" s="14"/>
      <x:c r="BN557" s="14"/>
      <x:c r="BO557" s="14"/>
      <x:c r="BP557" s="14"/>
      <x:c r="BQ557" s="14"/>
      <x:c r="BR557" s="14"/>
      <x:c r="BS557" s="14"/>
      <x:c r="BT557" s="14"/>
      <x:c r="BU557" s="14"/>
      <x:c r="BV557" s="14"/>
      <x:c r="BW557" s="14"/>
      <x:c r="BX557" s="14"/>
      <x:c r="BY557" s="14"/>
      <x:c r="BZ557" s="14"/>
      <x:c r="CA557" s="14"/>
      <x:c r="CB557" s="14"/>
      <x:c r="CC557" s="14"/>
      <x:c r="CD557" s="14"/>
      <x:c r="CE557" s="14"/>
    </x:row>
    <x:row r="558">
      <x:c r="A558" s="14" t="n">
        <x:v>557</x:v>
      </x:c>
      <x:c r="B558" s="14"/>
      <x:c r="C558" s="14" t="str">
        <x:v>CHECKING_EVENT</x:v>
      </x:c>
      <x:c r="D558" s="14" t="str">
        <x:v>Exploratory_Checking_611_Positional_Surrogate.xlsx</x:v>
      </x:c>
      <x:c r="E558" s="14"/>
      <x:c r="F558" s="14"/>
      <x:c r="G558" s="14"/>
      <x:c r="H558" s="14"/>
      <x:c r="I558" s="14"/>
      <x:c r="J558" s="14"/>
      <x:c r="K558" s="14" t="str">
        <x:v>NEEDS_WINDOW_BINDING</x:v>
      </x:c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14"/>
      <x:c r="AA558" s="14"/>
      <x:c r="AB558" s="14"/>
      <x:c r="AC558" s="14"/>
      <x:c r="AD558" s="14"/>
      <x:c r="AE558" s="14"/>
      <x:c r="AF558" s="14"/>
      <x:c r="AG558" s="14"/>
      <x:c r="AH558" s="14"/>
      <x:c r="AI558" s="14"/>
      <x:c r="AJ558" s="14"/>
      <x:c r="AK558" s="14"/>
      <x:c r="AL558" s="14"/>
      <x:c r="AM558" s="14"/>
      <x:c r="AN558" s="14"/>
      <x:c r="AO558" s="14"/>
      <x:c r="AP558" s="14"/>
      <x:c r="AQ558" s="14"/>
      <x:c r="AR558" s="14"/>
      <x:c r="AS558" s="14"/>
      <x:c r="AT558" s="14"/>
      <x:c r="AU558" s="14"/>
      <x:c r="AV558" s="14"/>
      <x:c r="AW558" s="14"/>
      <x:c r="AX558" s="14"/>
      <x:c r="AY558" s="14"/>
      <x:c r="AZ558" s="14"/>
      <x:c r="BA558" s="14"/>
      <x:c r="BB558" s="14"/>
      <x:c r="BC558" s="14"/>
      <x:c r="BD558" s="14"/>
      <x:c r="BE558" s="14"/>
      <x:c r="BF558" s="14"/>
      <x:c r="BG558" s="14"/>
      <x:c r="BH558" s="14"/>
      <x:c r="BI558" s="14"/>
      <x:c r="BJ558" s="14"/>
      <x:c r="BK558" s="14"/>
      <x:c r="BL558" s="14"/>
      <x:c r="BM558" s="14"/>
      <x:c r="BN558" s="14"/>
      <x:c r="BO558" s="14"/>
      <x:c r="BP558" s="14"/>
      <x:c r="BQ558" s="14"/>
      <x:c r="BR558" s="14"/>
      <x:c r="BS558" s="14"/>
      <x:c r="BT558" s="14"/>
      <x:c r="BU558" s="14"/>
      <x:c r="BV558" s="14"/>
      <x:c r="BW558" s="14"/>
      <x:c r="BX558" s="14"/>
      <x:c r="BY558" s="14"/>
      <x:c r="BZ558" s="14"/>
      <x:c r="CA558" s="14"/>
      <x:c r="CB558" s="14"/>
      <x:c r="CC558" s="14"/>
      <x:c r="CD558" s="14"/>
      <x:c r="CE558" s="14"/>
    </x:row>
    <x:row r="559">
      <x:c r="A559" s="14" t="n">
        <x:v>558</x:v>
      </x:c>
      <x:c r="B559" s="14"/>
      <x:c r="C559" s="14" t="str">
        <x:v>CHECKING_EVENT</x:v>
      </x:c>
      <x:c r="D559" s="14" t="str">
        <x:v>Exploratory_Checking_611_Positional_Surrogate.xlsx</x:v>
      </x:c>
      <x:c r="E559" s="14"/>
      <x:c r="F559" s="14"/>
      <x:c r="G559" s="14"/>
      <x:c r="H559" s="14"/>
      <x:c r="I559" s="14"/>
      <x:c r="J559" s="14"/>
      <x:c r="K559" s="14" t="str">
        <x:v>NEEDS_WINDOW_BINDING</x:v>
      </x:c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14"/>
      <x:c r="AA559" s="14"/>
      <x:c r="AB559" s="14"/>
      <x:c r="AC559" s="14"/>
      <x:c r="AD559" s="14"/>
      <x:c r="AE559" s="14"/>
      <x:c r="AF559" s="14"/>
      <x:c r="AG559" s="14"/>
      <x:c r="AH559" s="14"/>
      <x:c r="AI559" s="14"/>
      <x:c r="AJ559" s="14"/>
      <x:c r="AK559" s="14"/>
      <x:c r="AL559" s="14"/>
      <x:c r="AM559" s="14"/>
      <x:c r="AN559" s="14"/>
      <x:c r="AO559" s="14"/>
      <x:c r="AP559" s="14"/>
      <x:c r="AQ559" s="14"/>
      <x:c r="AR559" s="14"/>
      <x:c r="AS559" s="14"/>
      <x:c r="AT559" s="14"/>
      <x:c r="AU559" s="14"/>
      <x:c r="AV559" s="14"/>
      <x:c r="AW559" s="14"/>
      <x:c r="AX559" s="14"/>
      <x:c r="AY559" s="14"/>
      <x:c r="AZ559" s="14"/>
      <x:c r="BA559" s="14"/>
      <x:c r="BB559" s="14"/>
      <x:c r="BC559" s="14"/>
      <x:c r="BD559" s="14"/>
      <x:c r="BE559" s="14"/>
      <x:c r="BF559" s="14"/>
      <x:c r="BG559" s="14"/>
      <x:c r="BH559" s="14"/>
      <x:c r="BI559" s="14"/>
      <x:c r="BJ559" s="14"/>
      <x:c r="BK559" s="14"/>
      <x:c r="BL559" s="14"/>
      <x:c r="BM559" s="14"/>
      <x:c r="BN559" s="14"/>
      <x:c r="BO559" s="14"/>
      <x:c r="BP559" s="14"/>
      <x:c r="BQ559" s="14"/>
      <x:c r="BR559" s="14"/>
      <x:c r="BS559" s="14"/>
      <x:c r="BT559" s="14"/>
      <x:c r="BU559" s="14"/>
      <x:c r="BV559" s="14"/>
      <x:c r="BW559" s="14"/>
      <x:c r="BX559" s="14"/>
      <x:c r="BY559" s="14"/>
      <x:c r="BZ559" s="14"/>
      <x:c r="CA559" s="14"/>
      <x:c r="CB559" s="14"/>
      <x:c r="CC559" s="14"/>
      <x:c r="CD559" s="14"/>
      <x:c r="CE559" s="14"/>
    </x:row>
    <x:row r="560">
      <x:c r="A560" s="14" t="n">
        <x:v>559</x:v>
      </x:c>
      <x:c r="B560" s="14"/>
      <x:c r="C560" s="14" t="str">
        <x:v>CHECKING_EVENT</x:v>
      </x:c>
      <x:c r="D560" s="14" t="str">
        <x:v>Exploratory_Checking_611_Positional_Surrogate.xlsx</x:v>
      </x:c>
      <x:c r="E560" s="14"/>
      <x:c r="F560" s="14"/>
      <x:c r="G560" s="14"/>
      <x:c r="H560" s="14"/>
      <x:c r="I560" s="14"/>
      <x:c r="J560" s="14"/>
      <x:c r="K560" s="14" t="str">
        <x:v>NEEDS_WINDOW_BINDING</x:v>
      </x:c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4"/>
      <x:c r="AA560" s="14"/>
      <x:c r="AB560" s="14"/>
      <x:c r="AC560" s="14"/>
      <x:c r="AD560" s="14"/>
      <x:c r="AE560" s="14"/>
      <x:c r="AF560" s="14"/>
      <x:c r="AG560" s="14"/>
      <x:c r="AH560" s="14"/>
      <x:c r="AI560" s="14"/>
      <x:c r="AJ560" s="14"/>
      <x:c r="AK560" s="14"/>
      <x:c r="AL560" s="14"/>
      <x:c r="AM560" s="14"/>
      <x:c r="AN560" s="14"/>
      <x:c r="AO560" s="14"/>
      <x:c r="AP560" s="14"/>
      <x:c r="AQ560" s="14"/>
      <x:c r="AR560" s="14"/>
      <x:c r="AS560" s="14"/>
      <x:c r="AT560" s="14"/>
      <x:c r="AU560" s="14"/>
      <x:c r="AV560" s="14"/>
      <x:c r="AW560" s="14"/>
      <x:c r="AX560" s="14"/>
      <x:c r="AY560" s="14"/>
      <x:c r="AZ560" s="14"/>
      <x:c r="BA560" s="14"/>
      <x:c r="BB560" s="14"/>
      <x:c r="BC560" s="14"/>
      <x:c r="BD560" s="14"/>
      <x:c r="BE560" s="14"/>
      <x:c r="BF560" s="14"/>
      <x:c r="BG560" s="14"/>
      <x:c r="BH560" s="14"/>
      <x:c r="BI560" s="14"/>
      <x:c r="BJ560" s="14"/>
      <x:c r="BK560" s="14"/>
      <x:c r="BL560" s="14"/>
      <x:c r="BM560" s="14"/>
      <x:c r="BN560" s="14"/>
      <x:c r="BO560" s="14"/>
      <x:c r="BP560" s="14"/>
      <x:c r="BQ560" s="14"/>
      <x:c r="BR560" s="14"/>
      <x:c r="BS560" s="14"/>
      <x:c r="BT560" s="14"/>
      <x:c r="BU560" s="14"/>
      <x:c r="BV560" s="14"/>
      <x:c r="BW560" s="14"/>
      <x:c r="BX560" s="14"/>
      <x:c r="BY560" s="14"/>
      <x:c r="BZ560" s="14"/>
      <x:c r="CA560" s="14"/>
      <x:c r="CB560" s="14"/>
      <x:c r="CC560" s="14"/>
      <x:c r="CD560" s="14"/>
      <x:c r="CE560" s="14"/>
    </x:row>
    <x:row r="561">
      <x:c r="A561" s="14" t="n">
        <x:v>560</x:v>
      </x:c>
      <x:c r="B561" s="14"/>
      <x:c r="C561" s="14" t="str">
        <x:v>CHECKING_EVENT</x:v>
      </x:c>
      <x:c r="D561" s="14" t="str">
        <x:v>Exploratory_Checking_611_Positional_Surrogate.xlsx</x:v>
      </x:c>
      <x:c r="E561" s="14"/>
      <x:c r="F561" s="14"/>
      <x:c r="G561" s="14"/>
      <x:c r="H561" s="14"/>
      <x:c r="I561" s="14"/>
      <x:c r="J561" s="14"/>
      <x:c r="K561" s="14" t="str">
        <x:v>NEEDS_WINDOW_BINDING</x:v>
      </x:c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  <x:c r="AA561" s="14"/>
      <x:c r="AB561" s="14"/>
      <x:c r="AC561" s="14"/>
      <x:c r="AD561" s="14"/>
      <x:c r="AE561" s="14"/>
      <x:c r="AF561" s="14"/>
      <x:c r="AG561" s="14"/>
      <x:c r="AH561" s="14"/>
      <x:c r="AI561" s="14"/>
      <x:c r="AJ561" s="14"/>
      <x:c r="AK561" s="14"/>
      <x:c r="AL561" s="14"/>
      <x:c r="AM561" s="14"/>
      <x:c r="AN561" s="14"/>
      <x:c r="AO561" s="14"/>
      <x:c r="AP561" s="14"/>
      <x:c r="AQ561" s="14"/>
      <x:c r="AR561" s="14"/>
      <x:c r="AS561" s="14"/>
      <x:c r="AT561" s="14"/>
      <x:c r="AU561" s="14"/>
      <x:c r="AV561" s="14"/>
      <x:c r="AW561" s="14"/>
      <x:c r="AX561" s="14"/>
      <x:c r="AY561" s="14"/>
      <x:c r="AZ561" s="14"/>
      <x:c r="BA561" s="14"/>
      <x:c r="BB561" s="14"/>
      <x:c r="BC561" s="14"/>
      <x:c r="BD561" s="14"/>
      <x:c r="BE561" s="14"/>
      <x:c r="BF561" s="14"/>
      <x:c r="BG561" s="14"/>
      <x:c r="BH561" s="14"/>
      <x:c r="BI561" s="14"/>
      <x:c r="BJ561" s="14"/>
      <x:c r="BK561" s="14"/>
      <x:c r="BL561" s="14"/>
      <x:c r="BM561" s="14"/>
      <x:c r="BN561" s="14"/>
      <x:c r="BO561" s="14"/>
      <x:c r="BP561" s="14"/>
      <x:c r="BQ561" s="14"/>
      <x:c r="BR561" s="14"/>
      <x:c r="BS561" s="14"/>
      <x:c r="BT561" s="14"/>
      <x:c r="BU561" s="14"/>
      <x:c r="BV561" s="14"/>
      <x:c r="BW561" s="14"/>
      <x:c r="BX561" s="14"/>
      <x:c r="BY561" s="14"/>
      <x:c r="BZ561" s="14"/>
      <x:c r="CA561" s="14"/>
      <x:c r="CB561" s="14"/>
      <x:c r="CC561" s="14"/>
      <x:c r="CD561" s="14"/>
      <x:c r="CE561" s="14"/>
    </x:row>
    <x:row r="562">
      <x:c r="A562" s="14" t="n">
        <x:v>561</x:v>
      </x:c>
      <x:c r="B562" s="14"/>
      <x:c r="C562" s="14" t="str">
        <x:v>CHECKING_EVENT</x:v>
      </x:c>
      <x:c r="D562" s="14" t="str">
        <x:v>Exploratory_Checking_611_Positional_Surrogate.xlsx</x:v>
      </x:c>
      <x:c r="E562" s="14"/>
      <x:c r="F562" s="14"/>
      <x:c r="G562" s="14"/>
      <x:c r="H562" s="14"/>
      <x:c r="I562" s="14"/>
      <x:c r="J562" s="14"/>
      <x:c r="K562" s="14" t="str">
        <x:v>NEEDS_WINDOW_BINDING</x:v>
      </x:c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  <x:c r="AA562" s="14"/>
      <x:c r="AB562" s="14"/>
      <x:c r="AC562" s="14"/>
      <x:c r="AD562" s="14"/>
      <x:c r="AE562" s="14"/>
      <x:c r="AF562" s="14"/>
      <x:c r="AG562" s="14"/>
      <x:c r="AH562" s="14"/>
      <x:c r="AI562" s="14"/>
      <x:c r="AJ562" s="14"/>
      <x:c r="AK562" s="14"/>
      <x:c r="AL562" s="14"/>
      <x:c r="AM562" s="14"/>
      <x:c r="AN562" s="14"/>
      <x:c r="AO562" s="14"/>
      <x:c r="AP562" s="14"/>
      <x:c r="AQ562" s="14"/>
      <x:c r="AR562" s="14"/>
      <x:c r="AS562" s="14"/>
      <x:c r="AT562" s="14"/>
      <x:c r="AU562" s="14"/>
      <x:c r="AV562" s="14"/>
      <x:c r="AW562" s="14"/>
      <x:c r="AX562" s="14"/>
      <x:c r="AY562" s="14"/>
      <x:c r="AZ562" s="14"/>
      <x:c r="BA562" s="14"/>
      <x:c r="BB562" s="14"/>
      <x:c r="BC562" s="14"/>
      <x:c r="BD562" s="14"/>
      <x:c r="BE562" s="14"/>
      <x:c r="BF562" s="14"/>
      <x:c r="BG562" s="14"/>
      <x:c r="BH562" s="14"/>
      <x:c r="BI562" s="14"/>
      <x:c r="BJ562" s="14"/>
      <x:c r="BK562" s="14"/>
      <x:c r="BL562" s="14"/>
      <x:c r="BM562" s="14"/>
      <x:c r="BN562" s="14"/>
      <x:c r="BO562" s="14"/>
      <x:c r="BP562" s="14"/>
      <x:c r="BQ562" s="14"/>
      <x:c r="BR562" s="14"/>
      <x:c r="BS562" s="14"/>
      <x:c r="BT562" s="14"/>
      <x:c r="BU562" s="14"/>
      <x:c r="BV562" s="14"/>
      <x:c r="BW562" s="14"/>
      <x:c r="BX562" s="14"/>
      <x:c r="BY562" s="14"/>
      <x:c r="BZ562" s="14"/>
      <x:c r="CA562" s="14"/>
      <x:c r="CB562" s="14"/>
      <x:c r="CC562" s="14"/>
      <x:c r="CD562" s="14"/>
      <x:c r="CE562" s="14"/>
    </x:row>
    <x:row r="563">
      <x:c r="A563" s="14" t="n">
        <x:v>562</x:v>
      </x:c>
      <x:c r="B563" s="14"/>
      <x:c r="C563" s="14" t="str">
        <x:v>CHECKING_EVENT</x:v>
      </x:c>
      <x:c r="D563" s="14" t="str">
        <x:v>Exploratory_Checking_611_Positional_Surrogate.xlsx</x:v>
      </x:c>
      <x:c r="E563" s="14"/>
      <x:c r="F563" s="14"/>
      <x:c r="G563" s="14"/>
      <x:c r="H563" s="14"/>
      <x:c r="I563" s="14"/>
      <x:c r="J563" s="14"/>
      <x:c r="K563" s="14" t="str">
        <x:v>NEEDS_WINDOW_BINDING</x:v>
      </x:c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  <x:c r="AA563" s="14"/>
      <x:c r="AB563" s="14"/>
      <x:c r="AC563" s="14"/>
      <x:c r="AD563" s="14"/>
      <x:c r="AE563" s="14"/>
      <x:c r="AF563" s="14"/>
      <x:c r="AG563" s="14"/>
      <x:c r="AH563" s="14"/>
      <x:c r="AI563" s="14"/>
      <x:c r="AJ563" s="14"/>
      <x:c r="AK563" s="14"/>
      <x:c r="AL563" s="14"/>
      <x:c r="AM563" s="14"/>
      <x:c r="AN563" s="14"/>
      <x:c r="AO563" s="14"/>
      <x:c r="AP563" s="14"/>
      <x:c r="AQ563" s="14"/>
      <x:c r="AR563" s="14"/>
      <x:c r="AS563" s="14"/>
      <x:c r="AT563" s="14"/>
      <x:c r="AU563" s="14"/>
      <x:c r="AV563" s="14"/>
      <x:c r="AW563" s="14"/>
      <x:c r="AX563" s="14"/>
      <x:c r="AY563" s="14"/>
      <x:c r="AZ563" s="14"/>
      <x:c r="BA563" s="14"/>
      <x:c r="BB563" s="14"/>
      <x:c r="BC563" s="14"/>
      <x:c r="BD563" s="14"/>
      <x:c r="BE563" s="14"/>
      <x:c r="BF563" s="14"/>
      <x:c r="BG563" s="14"/>
      <x:c r="BH563" s="14"/>
      <x:c r="BI563" s="14"/>
      <x:c r="BJ563" s="14"/>
      <x:c r="BK563" s="14"/>
      <x:c r="BL563" s="14"/>
      <x:c r="BM563" s="14"/>
      <x:c r="BN563" s="14"/>
      <x:c r="BO563" s="14"/>
      <x:c r="BP563" s="14"/>
      <x:c r="BQ563" s="14"/>
      <x:c r="BR563" s="14"/>
      <x:c r="BS563" s="14"/>
      <x:c r="BT563" s="14"/>
      <x:c r="BU563" s="14"/>
      <x:c r="BV563" s="14"/>
      <x:c r="BW563" s="14"/>
      <x:c r="BX563" s="14"/>
      <x:c r="BY563" s="14"/>
      <x:c r="BZ563" s="14"/>
      <x:c r="CA563" s="14"/>
      <x:c r="CB563" s="14"/>
      <x:c r="CC563" s="14"/>
      <x:c r="CD563" s="14"/>
      <x:c r="CE563" s="14"/>
    </x:row>
    <x:row r="564">
      <x:c r="A564" s="14" t="n">
        <x:v>563</x:v>
      </x:c>
      <x:c r="B564" s="14"/>
      <x:c r="C564" s="14" t="str">
        <x:v>CHECKING_EVENT</x:v>
      </x:c>
      <x:c r="D564" s="14" t="str">
        <x:v>Exploratory_Checking_611_Positional_Surrogate.xlsx</x:v>
      </x:c>
      <x:c r="E564" s="14"/>
      <x:c r="F564" s="14"/>
      <x:c r="G564" s="14"/>
      <x:c r="H564" s="14"/>
      <x:c r="I564" s="14"/>
      <x:c r="J564" s="14"/>
      <x:c r="K564" s="14" t="str">
        <x:v>NEEDS_WINDOW_BINDING</x:v>
      </x:c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  <x:c r="AA564" s="14"/>
      <x:c r="AB564" s="14"/>
      <x:c r="AC564" s="14"/>
      <x:c r="AD564" s="14"/>
      <x:c r="AE564" s="14"/>
      <x:c r="AF564" s="14"/>
      <x:c r="AG564" s="14"/>
      <x:c r="AH564" s="14"/>
      <x:c r="AI564" s="14"/>
      <x:c r="AJ564" s="14"/>
      <x:c r="AK564" s="14"/>
      <x:c r="AL564" s="14"/>
      <x:c r="AM564" s="14"/>
      <x:c r="AN564" s="14"/>
      <x:c r="AO564" s="14"/>
      <x:c r="AP564" s="14"/>
      <x:c r="AQ564" s="14"/>
      <x:c r="AR564" s="14"/>
      <x:c r="AS564" s="14"/>
      <x:c r="AT564" s="14"/>
      <x:c r="AU564" s="14"/>
      <x:c r="AV564" s="14"/>
      <x:c r="AW564" s="14"/>
      <x:c r="AX564" s="14"/>
      <x:c r="AY564" s="14"/>
      <x:c r="AZ564" s="14"/>
      <x:c r="BA564" s="14"/>
      <x:c r="BB564" s="14"/>
      <x:c r="BC564" s="14"/>
      <x:c r="BD564" s="14"/>
      <x:c r="BE564" s="14"/>
      <x:c r="BF564" s="14"/>
      <x:c r="BG564" s="14"/>
      <x:c r="BH564" s="14"/>
      <x:c r="BI564" s="14"/>
      <x:c r="BJ564" s="14"/>
      <x:c r="BK564" s="14"/>
      <x:c r="BL564" s="14"/>
      <x:c r="BM564" s="14"/>
      <x:c r="BN564" s="14"/>
      <x:c r="BO564" s="14"/>
      <x:c r="BP564" s="14"/>
      <x:c r="BQ564" s="14"/>
      <x:c r="BR564" s="14"/>
      <x:c r="BS564" s="14"/>
      <x:c r="BT564" s="14"/>
      <x:c r="BU564" s="14"/>
      <x:c r="BV564" s="14"/>
      <x:c r="BW564" s="14"/>
      <x:c r="BX564" s="14"/>
      <x:c r="BY564" s="14"/>
      <x:c r="BZ564" s="14"/>
      <x:c r="CA564" s="14"/>
      <x:c r="CB564" s="14"/>
      <x:c r="CC564" s="14"/>
      <x:c r="CD564" s="14"/>
      <x:c r="CE564" s="14"/>
    </x:row>
    <x:row r="565">
      <x:c r="A565" s="14" t="n">
        <x:v>564</x:v>
      </x:c>
      <x:c r="B565" s="14"/>
      <x:c r="C565" s="14" t="str">
        <x:v>CHECKING_EVENT</x:v>
      </x:c>
      <x:c r="D565" s="14" t="str">
        <x:v>Exploratory_Checking_611_Positional_Surrogate.xlsx</x:v>
      </x:c>
      <x:c r="E565" s="14"/>
      <x:c r="F565" s="14"/>
      <x:c r="G565" s="14"/>
      <x:c r="H565" s="14"/>
      <x:c r="I565" s="14"/>
      <x:c r="J565" s="14"/>
      <x:c r="K565" s="14" t="str">
        <x:v>NEEDS_WINDOW_BINDING</x:v>
      </x:c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  <x:c r="AA565" s="14"/>
      <x:c r="AB565" s="14"/>
      <x:c r="AC565" s="14"/>
      <x:c r="AD565" s="14"/>
      <x:c r="AE565" s="14"/>
      <x:c r="AF565" s="14"/>
      <x:c r="AG565" s="14"/>
      <x:c r="AH565" s="14"/>
      <x:c r="AI565" s="14"/>
      <x:c r="AJ565" s="14"/>
      <x:c r="AK565" s="14"/>
      <x:c r="AL565" s="14"/>
      <x:c r="AM565" s="14"/>
      <x:c r="AN565" s="14"/>
      <x:c r="AO565" s="14"/>
      <x:c r="AP565" s="14"/>
      <x:c r="AQ565" s="14"/>
      <x:c r="AR565" s="14"/>
      <x:c r="AS565" s="14"/>
      <x:c r="AT565" s="14"/>
      <x:c r="AU565" s="14"/>
      <x:c r="AV565" s="14"/>
      <x:c r="AW565" s="14"/>
      <x:c r="AX565" s="14"/>
      <x:c r="AY565" s="14"/>
      <x:c r="AZ565" s="14"/>
      <x:c r="BA565" s="14"/>
      <x:c r="BB565" s="14"/>
      <x:c r="BC565" s="14"/>
      <x:c r="BD565" s="14"/>
      <x:c r="BE565" s="14"/>
      <x:c r="BF565" s="14"/>
      <x:c r="BG565" s="14"/>
      <x:c r="BH565" s="14"/>
      <x:c r="BI565" s="14"/>
      <x:c r="BJ565" s="14"/>
      <x:c r="BK565" s="14"/>
      <x:c r="BL565" s="14"/>
      <x:c r="BM565" s="14"/>
      <x:c r="BN565" s="14"/>
      <x:c r="BO565" s="14"/>
      <x:c r="BP565" s="14"/>
      <x:c r="BQ565" s="14"/>
      <x:c r="BR565" s="14"/>
      <x:c r="BS565" s="14"/>
      <x:c r="BT565" s="14"/>
      <x:c r="BU565" s="14"/>
      <x:c r="BV565" s="14"/>
      <x:c r="BW565" s="14"/>
      <x:c r="BX565" s="14"/>
      <x:c r="BY565" s="14"/>
      <x:c r="BZ565" s="14"/>
      <x:c r="CA565" s="14"/>
      <x:c r="CB565" s="14"/>
      <x:c r="CC565" s="14"/>
      <x:c r="CD565" s="14"/>
      <x:c r="CE565" s="14"/>
    </x:row>
    <x:row r="566">
      <x:c r="A566" s="14" t="n">
        <x:v>565</x:v>
      </x:c>
      <x:c r="B566" s="14"/>
      <x:c r="C566" s="14" t="str">
        <x:v>CHECKING_EVENT</x:v>
      </x:c>
      <x:c r="D566" s="14" t="str">
        <x:v>Exploratory_Checking_611_Positional_Surrogate.xlsx</x:v>
      </x:c>
      <x:c r="E566" s="14"/>
      <x:c r="F566" s="14"/>
      <x:c r="G566" s="14"/>
      <x:c r="H566" s="14"/>
      <x:c r="I566" s="14"/>
      <x:c r="J566" s="14"/>
      <x:c r="K566" s="14" t="str">
        <x:v>NEEDS_WINDOW_BINDING</x:v>
      </x:c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  <x:c r="AA566" s="14"/>
      <x:c r="AB566" s="14"/>
      <x:c r="AC566" s="14"/>
      <x:c r="AD566" s="14"/>
      <x:c r="AE566" s="14"/>
      <x:c r="AF566" s="14"/>
      <x:c r="AG566" s="14"/>
      <x:c r="AH566" s="14"/>
      <x:c r="AI566" s="14"/>
      <x:c r="AJ566" s="14"/>
      <x:c r="AK566" s="14"/>
      <x:c r="AL566" s="14"/>
      <x:c r="AM566" s="14"/>
      <x:c r="AN566" s="14"/>
      <x:c r="AO566" s="14"/>
      <x:c r="AP566" s="14"/>
      <x:c r="AQ566" s="14"/>
      <x:c r="AR566" s="14"/>
      <x:c r="AS566" s="14"/>
      <x:c r="AT566" s="14"/>
      <x:c r="AU566" s="14"/>
      <x:c r="AV566" s="14"/>
      <x:c r="AW566" s="14"/>
      <x:c r="AX566" s="14"/>
      <x:c r="AY566" s="14"/>
      <x:c r="AZ566" s="14"/>
      <x:c r="BA566" s="14"/>
      <x:c r="BB566" s="14"/>
      <x:c r="BC566" s="14"/>
      <x:c r="BD566" s="14"/>
      <x:c r="BE566" s="14"/>
      <x:c r="BF566" s="14"/>
      <x:c r="BG566" s="14"/>
      <x:c r="BH566" s="14"/>
      <x:c r="BI566" s="14"/>
      <x:c r="BJ566" s="14"/>
      <x:c r="BK566" s="14"/>
      <x:c r="BL566" s="14"/>
      <x:c r="BM566" s="14"/>
      <x:c r="BN566" s="14"/>
      <x:c r="BO566" s="14"/>
      <x:c r="BP566" s="14"/>
      <x:c r="BQ566" s="14"/>
      <x:c r="BR566" s="14"/>
      <x:c r="BS566" s="14"/>
      <x:c r="BT566" s="14"/>
      <x:c r="BU566" s="14"/>
      <x:c r="BV566" s="14"/>
      <x:c r="BW566" s="14"/>
      <x:c r="BX566" s="14"/>
      <x:c r="BY566" s="14"/>
      <x:c r="BZ566" s="14"/>
      <x:c r="CA566" s="14"/>
      <x:c r="CB566" s="14"/>
      <x:c r="CC566" s="14"/>
      <x:c r="CD566" s="14"/>
      <x:c r="CE566" s="14"/>
    </x:row>
    <x:row r="567">
      <x:c r="A567" s="14" t="n">
        <x:v>566</x:v>
      </x:c>
      <x:c r="B567" s="14"/>
      <x:c r="C567" s="14" t="str">
        <x:v>CHECKING_EVENT</x:v>
      </x:c>
      <x:c r="D567" s="14" t="str">
        <x:v>Exploratory_Checking_611_Positional_Surrogate.xlsx</x:v>
      </x:c>
      <x:c r="E567" s="14"/>
      <x:c r="F567" s="14"/>
      <x:c r="G567" s="14"/>
      <x:c r="H567" s="14"/>
      <x:c r="I567" s="14"/>
      <x:c r="J567" s="14"/>
      <x:c r="K567" s="14" t="str">
        <x:v>NEEDS_WINDOW_BINDING</x:v>
      </x:c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  <x:c r="AA567" s="14"/>
      <x:c r="AB567" s="14"/>
      <x:c r="AC567" s="14"/>
      <x:c r="AD567" s="14"/>
      <x:c r="AE567" s="14"/>
      <x:c r="AF567" s="14"/>
      <x:c r="AG567" s="14"/>
      <x:c r="AH567" s="14"/>
      <x:c r="AI567" s="14"/>
      <x:c r="AJ567" s="14"/>
      <x:c r="AK567" s="14"/>
      <x:c r="AL567" s="14"/>
      <x:c r="AM567" s="14"/>
      <x:c r="AN567" s="14"/>
      <x:c r="AO567" s="14"/>
      <x:c r="AP567" s="14"/>
      <x:c r="AQ567" s="14"/>
      <x:c r="AR567" s="14"/>
      <x:c r="AS567" s="14"/>
      <x:c r="AT567" s="14"/>
      <x:c r="AU567" s="14"/>
      <x:c r="AV567" s="14"/>
      <x:c r="AW567" s="14"/>
      <x:c r="AX567" s="14"/>
      <x:c r="AY567" s="14"/>
      <x:c r="AZ567" s="14"/>
      <x:c r="BA567" s="14"/>
      <x:c r="BB567" s="14"/>
      <x:c r="BC567" s="14"/>
      <x:c r="BD567" s="14"/>
      <x:c r="BE567" s="14"/>
      <x:c r="BF567" s="14"/>
      <x:c r="BG567" s="14"/>
      <x:c r="BH567" s="14"/>
      <x:c r="BI567" s="14"/>
      <x:c r="BJ567" s="14"/>
      <x:c r="BK567" s="14"/>
      <x:c r="BL567" s="14"/>
      <x:c r="BM567" s="14"/>
      <x:c r="BN567" s="14"/>
      <x:c r="BO567" s="14"/>
      <x:c r="BP567" s="14"/>
      <x:c r="BQ567" s="14"/>
      <x:c r="BR567" s="14"/>
      <x:c r="BS567" s="14"/>
      <x:c r="BT567" s="14"/>
      <x:c r="BU567" s="14"/>
      <x:c r="BV567" s="14"/>
      <x:c r="BW567" s="14"/>
      <x:c r="BX567" s="14"/>
      <x:c r="BY567" s="14"/>
      <x:c r="BZ567" s="14"/>
      <x:c r="CA567" s="14"/>
      <x:c r="CB567" s="14"/>
      <x:c r="CC567" s="14"/>
      <x:c r="CD567" s="14"/>
      <x:c r="CE567" s="14"/>
    </x:row>
    <x:row r="568">
      <x:c r="A568" s="14" t="n">
        <x:v>567</x:v>
      </x:c>
      <x:c r="B568" s="14"/>
      <x:c r="C568" s="14" t="str">
        <x:v>CHECKING_EVENT</x:v>
      </x:c>
      <x:c r="D568" s="14" t="str">
        <x:v>Exploratory_Checking_611_Positional_Surrogate.xlsx</x:v>
      </x:c>
      <x:c r="E568" s="14"/>
      <x:c r="F568" s="14"/>
      <x:c r="G568" s="14"/>
      <x:c r="H568" s="14"/>
      <x:c r="I568" s="14"/>
      <x:c r="J568" s="14"/>
      <x:c r="K568" s="14" t="str">
        <x:v>NEEDS_WINDOW_BINDING</x:v>
      </x:c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  <x:c r="AA568" s="14"/>
      <x:c r="AB568" s="14"/>
      <x:c r="AC568" s="14"/>
      <x:c r="AD568" s="14"/>
      <x:c r="AE568" s="14"/>
      <x:c r="AF568" s="14"/>
      <x:c r="AG568" s="14"/>
      <x:c r="AH568" s="14"/>
      <x:c r="AI568" s="14"/>
      <x:c r="AJ568" s="14"/>
      <x:c r="AK568" s="14"/>
      <x:c r="AL568" s="14"/>
      <x:c r="AM568" s="14"/>
      <x:c r="AN568" s="14"/>
      <x:c r="AO568" s="14"/>
      <x:c r="AP568" s="14"/>
      <x:c r="AQ568" s="14"/>
      <x:c r="AR568" s="14"/>
      <x:c r="AS568" s="14"/>
      <x:c r="AT568" s="14"/>
      <x:c r="AU568" s="14"/>
      <x:c r="AV568" s="14"/>
      <x:c r="AW568" s="14"/>
      <x:c r="AX568" s="14"/>
      <x:c r="AY568" s="14"/>
      <x:c r="AZ568" s="14"/>
      <x:c r="BA568" s="14"/>
      <x:c r="BB568" s="14"/>
      <x:c r="BC568" s="14"/>
      <x:c r="BD568" s="14"/>
      <x:c r="BE568" s="14"/>
      <x:c r="BF568" s="14"/>
      <x:c r="BG568" s="14"/>
      <x:c r="BH568" s="14"/>
      <x:c r="BI568" s="14"/>
      <x:c r="BJ568" s="14"/>
      <x:c r="BK568" s="14"/>
      <x:c r="BL568" s="14"/>
      <x:c r="BM568" s="14"/>
      <x:c r="BN568" s="14"/>
      <x:c r="BO568" s="14"/>
      <x:c r="BP568" s="14"/>
      <x:c r="BQ568" s="14"/>
      <x:c r="BR568" s="14"/>
      <x:c r="BS568" s="14"/>
      <x:c r="BT568" s="14"/>
      <x:c r="BU568" s="14"/>
      <x:c r="BV568" s="14"/>
      <x:c r="BW568" s="14"/>
      <x:c r="BX568" s="14"/>
      <x:c r="BY568" s="14"/>
      <x:c r="BZ568" s="14"/>
      <x:c r="CA568" s="14"/>
      <x:c r="CB568" s="14"/>
      <x:c r="CC568" s="14"/>
      <x:c r="CD568" s="14"/>
      <x:c r="CE568" s="14"/>
    </x:row>
    <x:row r="569">
      <x:c r="A569" s="14" t="n">
        <x:v>568</x:v>
      </x:c>
      <x:c r="B569" s="14"/>
      <x:c r="C569" s="14" t="str">
        <x:v>CHECKING_EVENT</x:v>
      </x:c>
      <x:c r="D569" s="14" t="str">
        <x:v>Exploratory_Checking_611_Positional_Surrogate.xlsx</x:v>
      </x:c>
      <x:c r="E569" s="14"/>
      <x:c r="F569" s="14"/>
      <x:c r="G569" s="14"/>
      <x:c r="H569" s="14"/>
      <x:c r="I569" s="14"/>
      <x:c r="J569" s="14"/>
      <x:c r="K569" s="14" t="str">
        <x:v>NEEDS_WINDOW_BINDING</x:v>
      </x:c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  <x:c r="AA569" s="14"/>
      <x:c r="AB569" s="14"/>
      <x:c r="AC569" s="14"/>
      <x:c r="AD569" s="14"/>
      <x:c r="AE569" s="14"/>
      <x:c r="AF569" s="14"/>
      <x:c r="AG569" s="14"/>
      <x:c r="AH569" s="14"/>
      <x:c r="AI569" s="14"/>
      <x:c r="AJ569" s="14"/>
      <x:c r="AK569" s="14"/>
      <x:c r="AL569" s="14"/>
      <x:c r="AM569" s="14"/>
      <x:c r="AN569" s="14"/>
      <x:c r="AO569" s="14"/>
      <x:c r="AP569" s="14"/>
      <x:c r="AQ569" s="14"/>
      <x:c r="AR569" s="14"/>
      <x:c r="AS569" s="14"/>
      <x:c r="AT569" s="14"/>
      <x:c r="AU569" s="14"/>
      <x:c r="AV569" s="14"/>
      <x:c r="AW569" s="14"/>
      <x:c r="AX569" s="14"/>
      <x:c r="AY569" s="14"/>
      <x:c r="AZ569" s="14"/>
      <x:c r="BA569" s="14"/>
      <x:c r="BB569" s="14"/>
      <x:c r="BC569" s="14"/>
      <x:c r="BD569" s="14"/>
      <x:c r="BE569" s="14"/>
      <x:c r="BF569" s="14"/>
      <x:c r="BG569" s="14"/>
      <x:c r="BH569" s="14"/>
      <x:c r="BI569" s="14"/>
      <x:c r="BJ569" s="14"/>
      <x:c r="BK569" s="14"/>
      <x:c r="BL569" s="14"/>
      <x:c r="BM569" s="14"/>
      <x:c r="BN569" s="14"/>
      <x:c r="BO569" s="14"/>
      <x:c r="BP569" s="14"/>
      <x:c r="BQ569" s="14"/>
      <x:c r="BR569" s="14"/>
      <x:c r="BS569" s="14"/>
      <x:c r="BT569" s="14"/>
      <x:c r="BU569" s="14"/>
      <x:c r="BV569" s="14"/>
      <x:c r="BW569" s="14"/>
      <x:c r="BX569" s="14"/>
      <x:c r="BY569" s="14"/>
      <x:c r="BZ569" s="14"/>
      <x:c r="CA569" s="14"/>
      <x:c r="CB569" s="14"/>
      <x:c r="CC569" s="14"/>
      <x:c r="CD569" s="14"/>
      <x:c r="CE569" s="14"/>
    </x:row>
    <x:row r="570">
      <x:c r="A570" s="14" t="n">
        <x:v>569</x:v>
      </x:c>
      <x:c r="B570" s="14"/>
      <x:c r="C570" s="14" t="str">
        <x:v>CHECKING_EVENT</x:v>
      </x:c>
      <x:c r="D570" s="14" t="str">
        <x:v>Exploratory_Checking_611_Positional_Surrogate.xlsx</x:v>
      </x:c>
      <x:c r="E570" s="14"/>
      <x:c r="F570" s="14"/>
      <x:c r="G570" s="14"/>
      <x:c r="H570" s="14"/>
      <x:c r="I570" s="14"/>
      <x:c r="J570" s="14"/>
      <x:c r="K570" s="14" t="str">
        <x:v>NEEDS_WINDOW_BINDING</x:v>
      </x:c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14"/>
      <x:c r="AA570" s="14"/>
      <x:c r="AB570" s="14"/>
      <x:c r="AC570" s="14"/>
      <x:c r="AD570" s="14"/>
      <x:c r="AE570" s="14"/>
      <x:c r="AF570" s="14"/>
      <x:c r="AG570" s="14"/>
      <x:c r="AH570" s="14"/>
      <x:c r="AI570" s="14"/>
      <x:c r="AJ570" s="14"/>
      <x:c r="AK570" s="14"/>
      <x:c r="AL570" s="14"/>
      <x:c r="AM570" s="14"/>
      <x:c r="AN570" s="14"/>
      <x:c r="AO570" s="14"/>
      <x:c r="AP570" s="14"/>
      <x:c r="AQ570" s="14"/>
      <x:c r="AR570" s="14"/>
      <x:c r="AS570" s="14"/>
      <x:c r="AT570" s="14"/>
      <x:c r="AU570" s="14"/>
      <x:c r="AV570" s="14"/>
      <x:c r="AW570" s="14"/>
      <x:c r="AX570" s="14"/>
      <x:c r="AY570" s="14"/>
      <x:c r="AZ570" s="14"/>
      <x:c r="BA570" s="14"/>
      <x:c r="BB570" s="14"/>
      <x:c r="BC570" s="14"/>
      <x:c r="BD570" s="14"/>
      <x:c r="BE570" s="14"/>
      <x:c r="BF570" s="14"/>
      <x:c r="BG570" s="14"/>
      <x:c r="BH570" s="14"/>
      <x:c r="BI570" s="14"/>
      <x:c r="BJ570" s="14"/>
      <x:c r="BK570" s="14"/>
      <x:c r="BL570" s="14"/>
      <x:c r="BM570" s="14"/>
      <x:c r="BN570" s="14"/>
      <x:c r="BO570" s="14"/>
      <x:c r="BP570" s="14"/>
      <x:c r="BQ570" s="14"/>
      <x:c r="BR570" s="14"/>
      <x:c r="BS570" s="14"/>
      <x:c r="BT570" s="14"/>
      <x:c r="BU570" s="14"/>
      <x:c r="BV570" s="14"/>
      <x:c r="BW570" s="14"/>
      <x:c r="BX570" s="14"/>
      <x:c r="BY570" s="14"/>
      <x:c r="BZ570" s="14"/>
      <x:c r="CA570" s="14"/>
      <x:c r="CB570" s="14"/>
      <x:c r="CC570" s="14"/>
      <x:c r="CD570" s="14"/>
      <x:c r="CE570" s="14"/>
    </x:row>
    <x:row r="571">
      <x:c r="A571" s="14" t="n">
        <x:v>570</x:v>
      </x:c>
      <x:c r="B571" s="14"/>
      <x:c r="C571" s="14" t="str">
        <x:v>CHECKING_EVENT</x:v>
      </x:c>
      <x:c r="D571" s="14" t="str">
        <x:v>Exploratory_Checking_611_Positional_Surrogate.xlsx</x:v>
      </x:c>
      <x:c r="E571" s="14"/>
      <x:c r="F571" s="14"/>
      <x:c r="G571" s="14"/>
      <x:c r="H571" s="14"/>
      <x:c r="I571" s="14"/>
      <x:c r="J571" s="14"/>
      <x:c r="K571" s="14" t="str">
        <x:v>NEEDS_WINDOW_BINDING</x:v>
      </x:c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4"/>
      <x:c r="AA571" s="14"/>
      <x:c r="AB571" s="14"/>
      <x:c r="AC571" s="14"/>
      <x:c r="AD571" s="14"/>
      <x:c r="AE571" s="14"/>
      <x:c r="AF571" s="14"/>
      <x:c r="AG571" s="14"/>
      <x:c r="AH571" s="14"/>
      <x:c r="AI571" s="14"/>
      <x:c r="AJ571" s="14"/>
      <x:c r="AK571" s="14"/>
      <x:c r="AL571" s="14"/>
      <x:c r="AM571" s="14"/>
      <x:c r="AN571" s="14"/>
      <x:c r="AO571" s="14"/>
      <x:c r="AP571" s="14"/>
      <x:c r="AQ571" s="14"/>
      <x:c r="AR571" s="14"/>
      <x:c r="AS571" s="14"/>
      <x:c r="AT571" s="14"/>
      <x:c r="AU571" s="14"/>
      <x:c r="AV571" s="14"/>
      <x:c r="AW571" s="14"/>
      <x:c r="AX571" s="14"/>
      <x:c r="AY571" s="14"/>
      <x:c r="AZ571" s="14"/>
      <x:c r="BA571" s="14"/>
      <x:c r="BB571" s="14"/>
      <x:c r="BC571" s="14"/>
      <x:c r="BD571" s="14"/>
      <x:c r="BE571" s="14"/>
      <x:c r="BF571" s="14"/>
      <x:c r="BG571" s="14"/>
      <x:c r="BH571" s="14"/>
      <x:c r="BI571" s="14"/>
      <x:c r="BJ571" s="14"/>
      <x:c r="BK571" s="14"/>
      <x:c r="BL571" s="14"/>
      <x:c r="BM571" s="14"/>
      <x:c r="BN571" s="14"/>
      <x:c r="BO571" s="14"/>
      <x:c r="BP571" s="14"/>
      <x:c r="BQ571" s="14"/>
      <x:c r="BR571" s="14"/>
      <x:c r="BS571" s="14"/>
      <x:c r="BT571" s="14"/>
      <x:c r="BU571" s="14"/>
      <x:c r="BV571" s="14"/>
      <x:c r="BW571" s="14"/>
      <x:c r="BX571" s="14"/>
      <x:c r="BY571" s="14"/>
      <x:c r="BZ571" s="14"/>
      <x:c r="CA571" s="14"/>
      <x:c r="CB571" s="14"/>
      <x:c r="CC571" s="14"/>
      <x:c r="CD571" s="14"/>
      <x:c r="CE571" s="14"/>
    </x:row>
    <x:row r="572">
      <x:c r="A572" s="14" t="n">
        <x:v>571</x:v>
      </x:c>
      <x:c r="B572" s="14"/>
      <x:c r="C572" s="14" t="str">
        <x:v>CHECKING_EVENT</x:v>
      </x:c>
      <x:c r="D572" s="14" t="str">
        <x:v>Exploratory_Checking_611_Positional_Surrogate.xlsx</x:v>
      </x:c>
      <x:c r="E572" s="14"/>
      <x:c r="F572" s="14"/>
      <x:c r="G572" s="14"/>
      <x:c r="H572" s="14"/>
      <x:c r="I572" s="14"/>
      <x:c r="J572" s="14"/>
      <x:c r="K572" s="14" t="str">
        <x:v>NEEDS_WINDOW_BINDING</x:v>
      </x:c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  <x:c r="AA572" s="14"/>
      <x:c r="AB572" s="14"/>
      <x:c r="AC572" s="14"/>
      <x:c r="AD572" s="14"/>
      <x:c r="AE572" s="14"/>
      <x:c r="AF572" s="14"/>
      <x:c r="AG572" s="14"/>
      <x:c r="AH572" s="14"/>
      <x:c r="AI572" s="14"/>
      <x:c r="AJ572" s="14"/>
      <x:c r="AK572" s="14"/>
      <x:c r="AL572" s="14"/>
      <x:c r="AM572" s="14"/>
      <x:c r="AN572" s="14"/>
      <x:c r="AO572" s="14"/>
      <x:c r="AP572" s="14"/>
      <x:c r="AQ572" s="14"/>
      <x:c r="AR572" s="14"/>
      <x:c r="AS572" s="14"/>
      <x:c r="AT572" s="14"/>
      <x:c r="AU572" s="14"/>
      <x:c r="AV572" s="14"/>
      <x:c r="AW572" s="14"/>
      <x:c r="AX572" s="14"/>
      <x:c r="AY572" s="14"/>
      <x:c r="AZ572" s="14"/>
      <x:c r="BA572" s="14"/>
      <x:c r="BB572" s="14"/>
      <x:c r="BC572" s="14"/>
      <x:c r="BD572" s="14"/>
      <x:c r="BE572" s="14"/>
      <x:c r="BF572" s="14"/>
      <x:c r="BG572" s="14"/>
      <x:c r="BH572" s="14"/>
      <x:c r="BI572" s="14"/>
      <x:c r="BJ572" s="14"/>
      <x:c r="BK572" s="14"/>
      <x:c r="BL572" s="14"/>
      <x:c r="BM572" s="14"/>
      <x:c r="BN572" s="14"/>
      <x:c r="BO572" s="14"/>
      <x:c r="BP572" s="14"/>
      <x:c r="BQ572" s="14"/>
      <x:c r="BR572" s="14"/>
      <x:c r="BS572" s="14"/>
      <x:c r="BT572" s="14"/>
      <x:c r="BU572" s="14"/>
      <x:c r="BV572" s="14"/>
      <x:c r="BW572" s="14"/>
      <x:c r="BX572" s="14"/>
      <x:c r="BY572" s="14"/>
      <x:c r="BZ572" s="14"/>
      <x:c r="CA572" s="14"/>
      <x:c r="CB572" s="14"/>
      <x:c r="CC572" s="14"/>
      <x:c r="CD572" s="14"/>
      <x:c r="CE572" s="14"/>
    </x:row>
    <x:row r="573">
      <x:c r="A573" s="14" t="n">
        <x:v>572</x:v>
      </x:c>
      <x:c r="B573" s="14"/>
      <x:c r="C573" s="14" t="str">
        <x:v>CHECKING_EVENT</x:v>
      </x:c>
      <x:c r="D573" s="14" t="str">
        <x:v>Exploratory_Checking_611_Positional_Surrogate.xlsx</x:v>
      </x:c>
      <x:c r="E573" s="14"/>
      <x:c r="F573" s="14"/>
      <x:c r="G573" s="14"/>
      <x:c r="H573" s="14"/>
      <x:c r="I573" s="14"/>
      <x:c r="J573" s="14"/>
      <x:c r="K573" s="14" t="str">
        <x:v>NEEDS_WINDOW_BINDING</x:v>
      </x:c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  <x:c r="AA573" s="14"/>
      <x:c r="AB573" s="14"/>
      <x:c r="AC573" s="14"/>
      <x:c r="AD573" s="14"/>
      <x:c r="AE573" s="14"/>
      <x:c r="AF573" s="14"/>
      <x:c r="AG573" s="14"/>
      <x:c r="AH573" s="14"/>
      <x:c r="AI573" s="14"/>
      <x:c r="AJ573" s="14"/>
      <x:c r="AK573" s="14"/>
      <x:c r="AL573" s="14"/>
      <x:c r="AM573" s="14"/>
      <x:c r="AN573" s="14"/>
      <x:c r="AO573" s="14"/>
      <x:c r="AP573" s="14"/>
      <x:c r="AQ573" s="14"/>
      <x:c r="AR573" s="14"/>
      <x:c r="AS573" s="14"/>
      <x:c r="AT573" s="14"/>
      <x:c r="AU573" s="14"/>
      <x:c r="AV573" s="14"/>
      <x:c r="AW573" s="14"/>
      <x:c r="AX573" s="14"/>
      <x:c r="AY573" s="14"/>
      <x:c r="AZ573" s="14"/>
      <x:c r="BA573" s="14"/>
      <x:c r="BB573" s="14"/>
      <x:c r="BC573" s="14"/>
      <x:c r="BD573" s="14"/>
      <x:c r="BE573" s="14"/>
      <x:c r="BF573" s="14"/>
      <x:c r="BG573" s="14"/>
      <x:c r="BH573" s="14"/>
      <x:c r="BI573" s="14"/>
      <x:c r="BJ573" s="14"/>
      <x:c r="BK573" s="14"/>
      <x:c r="BL573" s="14"/>
      <x:c r="BM573" s="14"/>
      <x:c r="BN573" s="14"/>
      <x:c r="BO573" s="14"/>
      <x:c r="BP573" s="14"/>
      <x:c r="BQ573" s="14"/>
      <x:c r="BR573" s="14"/>
      <x:c r="BS573" s="14"/>
      <x:c r="BT573" s="14"/>
      <x:c r="BU573" s="14"/>
      <x:c r="BV573" s="14"/>
      <x:c r="BW573" s="14"/>
      <x:c r="BX573" s="14"/>
      <x:c r="BY573" s="14"/>
      <x:c r="BZ573" s="14"/>
      <x:c r="CA573" s="14"/>
      <x:c r="CB573" s="14"/>
      <x:c r="CC573" s="14"/>
      <x:c r="CD573" s="14"/>
      <x:c r="CE573" s="14"/>
    </x:row>
    <x:row r="574">
      <x:c r="A574" s="14" t="n">
        <x:v>573</x:v>
      </x:c>
      <x:c r="B574" s="14"/>
      <x:c r="C574" s="14" t="str">
        <x:v>CHECKING_EVENT</x:v>
      </x:c>
      <x:c r="D574" s="14" t="str">
        <x:v>Exploratory_Checking_611_Positional_Surrogate.xlsx</x:v>
      </x:c>
      <x:c r="E574" s="14"/>
      <x:c r="F574" s="14"/>
      <x:c r="G574" s="14"/>
      <x:c r="H574" s="14"/>
      <x:c r="I574" s="14"/>
      <x:c r="J574" s="14"/>
      <x:c r="K574" s="14" t="str">
        <x:v>NEEDS_WINDOW_BINDING</x:v>
      </x:c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14"/>
      <x:c r="AA574" s="14"/>
      <x:c r="AB574" s="14"/>
      <x:c r="AC574" s="14"/>
      <x:c r="AD574" s="14"/>
      <x:c r="AE574" s="14"/>
      <x:c r="AF574" s="14"/>
      <x:c r="AG574" s="14"/>
      <x:c r="AH574" s="14"/>
      <x:c r="AI574" s="14"/>
      <x:c r="AJ574" s="14"/>
      <x:c r="AK574" s="14"/>
      <x:c r="AL574" s="14"/>
      <x:c r="AM574" s="14"/>
      <x:c r="AN574" s="14"/>
      <x:c r="AO574" s="14"/>
      <x:c r="AP574" s="14"/>
      <x:c r="AQ574" s="14"/>
      <x:c r="AR574" s="14"/>
      <x:c r="AS574" s="14"/>
      <x:c r="AT574" s="14"/>
      <x:c r="AU574" s="14"/>
      <x:c r="AV574" s="14"/>
      <x:c r="AW574" s="14"/>
      <x:c r="AX574" s="14"/>
      <x:c r="AY574" s="14"/>
      <x:c r="AZ574" s="14"/>
      <x:c r="BA574" s="14"/>
      <x:c r="BB574" s="14"/>
      <x:c r="BC574" s="14"/>
      <x:c r="BD574" s="14"/>
      <x:c r="BE574" s="14"/>
      <x:c r="BF574" s="14"/>
      <x:c r="BG574" s="14"/>
      <x:c r="BH574" s="14"/>
      <x:c r="BI574" s="14"/>
      <x:c r="BJ574" s="14"/>
      <x:c r="BK574" s="14"/>
      <x:c r="BL574" s="14"/>
      <x:c r="BM574" s="14"/>
      <x:c r="BN574" s="14"/>
      <x:c r="BO574" s="14"/>
      <x:c r="BP574" s="14"/>
      <x:c r="BQ574" s="14"/>
      <x:c r="BR574" s="14"/>
      <x:c r="BS574" s="14"/>
      <x:c r="BT574" s="14"/>
      <x:c r="BU574" s="14"/>
      <x:c r="BV574" s="14"/>
      <x:c r="BW574" s="14"/>
      <x:c r="BX574" s="14"/>
      <x:c r="BY574" s="14"/>
      <x:c r="BZ574" s="14"/>
      <x:c r="CA574" s="14"/>
      <x:c r="CB574" s="14"/>
      <x:c r="CC574" s="14"/>
      <x:c r="CD574" s="14"/>
      <x:c r="CE574" s="14"/>
    </x:row>
    <x:row r="575">
      <x:c r="A575" s="14" t="n">
        <x:v>574</x:v>
      </x:c>
      <x:c r="B575" s="14"/>
      <x:c r="C575" s="14" t="str">
        <x:v>CHECKING_EVENT</x:v>
      </x:c>
      <x:c r="D575" s="14" t="str">
        <x:v>Exploratory_Checking_611_Positional_Surrogate.xlsx</x:v>
      </x:c>
      <x:c r="E575" s="14"/>
      <x:c r="F575" s="14"/>
      <x:c r="G575" s="14"/>
      <x:c r="H575" s="14"/>
      <x:c r="I575" s="14"/>
      <x:c r="J575" s="14"/>
      <x:c r="K575" s="14" t="str">
        <x:v>NEEDS_WINDOW_BINDING</x:v>
      </x:c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  <x:c r="AA575" s="14"/>
      <x:c r="AB575" s="14"/>
      <x:c r="AC575" s="14"/>
      <x:c r="AD575" s="14"/>
      <x:c r="AE575" s="14"/>
      <x:c r="AF575" s="14"/>
      <x:c r="AG575" s="14"/>
      <x:c r="AH575" s="14"/>
      <x:c r="AI575" s="14"/>
      <x:c r="AJ575" s="14"/>
      <x:c r="AK575" s="14"/>
      <x:c r="AL575" s="14"/>
      <x:c r="AM575" s="14"/>
      <x:c r="AN575" s="14"/>
      <x:c r="AO575" s="14"/>
      <x:c r="AP575" s="14"/>
      <x:c r="AQ575" s="14"/>
      <x:c r="AR575" s="14"/>
      <x:c r="AS575" s="14"/>
      <x:c r="AT575" s="14"/>
      <x:c r="AU575" s="14"/>
      <x:c r="AV575" s="14"/>
      <x:c r="AW575" s="14"/>
      <x:c r="AX575" s="14"/>
      <x:c r="AY575" s="14"/>
      <x:c r="AZ575" s="14"/>
      <x:c r="BA575" s="14"/>
      <x:c r="BB575" s="14"/>
      <x:c r="BC575" s="14"/>
      <x:c r="BD575" s="14"/>
      <x:c r="BE575" s="14"/>
      <x:c r="BF575" s="14"/>
      <x:c r="BG575" s="14"/>
      <x:c r="BH575" s="14"/>
      <x:c r="BI575" s="14"/>
      <x:c r="BJ575" s="14"/>
      <x:c r="BK575" s="14"/>
      <x:c r="BL575" s="14"/>
      <x:c r="BM575" s="14"/>
      <x:c r="BN575" s="14"/>
      <x:c r="BO575" s="14"/>
      <x:c r="BP575" s="14"/>
      <x:c r="BQ575" s="14"/>
      <x:c r="BR575" s="14"/>
      <x:c r="BS575" s="14"/>
      <x:c r="BT575" s="14"/>
      <x:c r="BU575" s="14"/>
      <x:c r="BV575" s="14"/>
      <x:c r="BW575" s="14"/>
      <x:c r="BX575" s="14"/>
      <x:c r="BY575" s="14"/>
      <x:c r="BZ575" s="14"/>
      <x:c r="CA575" s="14"/>
      <x:c r="CB575" s="14"/>
      <x:c r="CC575" s="14"/>
      <x:c r="CD575" s="14"/>
      <x:c r="CE575" s="14"/>
    </x:row>
    <x:row r="576">
      <x:c r="A576" s="14" t="n">
        <x:v>575</x:v>
      </x:c>
      <x:c r="B576" s="14"/>
      <x:c r="C576" s="14" t="str">
        <x:v>CHECKING_EVENT</x:v>
      </x:c>
      <x:c r="D576" s="14" t="str">
        <x:v>Exploratory_Checking_611_Positional_Surrogate.xlsx</x:v>
      </x:c>
      <x:c r="E576" s="14"/>
      <x:c r="F576" s="14"/>
      <x:c r="G576" s="14"/>
      <x:c r="H576" s="14"/>
      <x:c r="I576" s="14"/>
      <x:c r="J576" s="14"/>
      <x:c r="K576" s="14" t="str">
        <x:v>NEEDS_WINDOW_BINDING</x:v>
      </x:c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  <x:c r="AA576" s="14"/>
      <x:c r="AB576" s="14"/>
      <x:c r="AC576" s="14"/>
      <x:c r="AD576" s="14"/>
      <x:c r="AE576" s="14"/>
      <x:c r="AF576" s="14"/>
      <x:c r="AG576" s="14"/>
      <x:c r="AH576" s="14"/>
      <x:c r="AI576" s="14"/>
      <x:c r="AJ576" s="14"/>
      <x:c r="AK576" s="14"/>
      <x:c r="AL576" s="14"/>
      <x:c r="AM576" s="14"/>
      <x:c r="AN576" s="14"/>
      <x:c r="AO576" s="14"/>
      <x:c r="AP576" s="14"/>
      <x:c r="AQ576" s="14"/>
      <x:c r="AR576" s="14"/>
      <x:c r="AS576" s="14"/>
      <x:c r="AT576" s="14"/>
      <x:c r="AU576" s="14"/>
      <x:c r="AV576" s="14"/>
      <x:c r="AW576" s="14"/>
      <x:c r="AX576" s="14"/>
      <x:c r="AY576" s="14"/>
      <x:c r="AZ576" s="14"/>
      <x:c r="BA576" s="14"/>
      <x:c r="BB576" s="14"/>
      <x:c r="BC576" s="14"/>
      <x:c r="BD576" s="14"/>
      <x:c r="BE576" s="14"/>
      <x:c r="BF576" s="14"/>
      <x:c r="BG576" s="14"/>
      <x:c r="BH576" s="14"/>
      <x:c r="BI576" s="14"/>
      <x:c r="BJ576" s="14"/>
      <x:c r="BK576" s="14"/>
      <x:c r="BL576" s="14"/>
      <x:c r="BM576" s="14"/>
      <x:c r="BN576" s="14"/>
      <x:c r="BO576" s="14"/>
      <x:c r="BP576" s="14"/>
      <x:c r="BQ576" s="14"/>
      <x:c r="BR576" s="14"/>
      <x:c r="BS576" s="14"/>
      <x:c r="BT576" s="14"/>
      <x:c r="BU576" s="14"/>
      <x:c r="BV576" s="14"/>
      <x:c r="BW576" s="14"/>
      <x:c r="BX576" s="14"/>
      <x:c r="BY576" s="14"/>
      <x:c r="BZ576" s="14"/>
      <x:c r="CA576" s="14"/>
      <x:c r="CB576" s="14"/>
      <x:c r="CC576" s="14"/>
      <x:c r="CD576" s="14"/>
      <x:c r="CE576" s="14"/>
    </x:row>
    <x:row r="577">
      <x:c r="A577" s="14" t="n">
        <x:v>576</x:v>
      </x:c>
      <x:c r="B577" s="14"/>
      <x:c r="C577" s="14" t="str">
        <x:v>CHECKING_EVENT</x:v>
      </x:c>
      <x:c r="D577" s="14" t="str">
        <x:v>Exploratory_Checking_611_Positional_Surrogate.xlsx</x:v>
      </x:c>
      <x:c r="E577" s="14"/>
      <x:c r="F577" s="14"/>
      <x:c r="G577" s="14"/>
      <x:c r="H577" s="14"/>
      <x:c r="I577" s="14"/>
      <x:c r="J577" s="14"/>
      <x:c r="K577" s="14" t="str">
        <x:v>NEEDS_WINDOW_BINDING</x:v>
      </x:c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14"/>
      <x:c r="AA577" s="14"/>
      <x:c r="AB577" s="14"/>
      <x:c r="AC577" s="14"/>
      <x:c r="AD577" s="14"/>
      <x:c r="AE577" s="14"/>
      <x:c r="AF577" s="14"/>
      <x:c r="AG577" s="14"/>
      <x:c r="AH577" s="14"/>
      <x:c r="AI577" s="14"/>
      <x:c r="AJ577" s="14"/>
      <x:c r="AK577" s="14"/>
      <x:c r="AL577" s="14"/>
      <x:c r="AM577" s="14"/>
      <x:c r="AN577" s="14"/>
      <x:c r="AO577" s="14"/>
      <x:c r="AP577" s="14"/>
      <x:c r="AQ577" s="14"/>
      <x:c r="AR577" s="14"/>
      <x:c r="AS577" s="14"/>
      <x:c r="AT577" s="14"/>
      <x:c r="AU577" s="14"/>
      <x:c r="AV577" s="14"/>
      <x:c r="AW577" s="14"/>
      <x:c r="AX577" s="14"/>
      <x:c r="AY577" s="14"/>
      <x:c r="AZ577" s="14"/>
      <x:c r="BA577" s="14"/>
      <x:c r="BB577" s="14"/>
      <x:c r="BC577" s="14"/>
      <x:c r="BD577" s="14"/>
      <x:c r="BE577" s="14"/>
      <x:c r="BF577" s="14"/>
      <x:c r="BG577" s="14"/>
      <x:c r="BH577" s="14"/>
      <x:c r="BI577" s="14"/>
      <x:c r="BJ577" s="14"/>
      <x:c r="BK577" s="14"/>
      <x:c r="BL577" s="14"/>
      <x:c r="BM577" s="14"/>
      <x:c r="BN577" s="14"/>
      <x:c r="BO577" s="14"/>
      <x:c r="BP577" s="14"/>
      <x:c r="BQ577" s="14"/>
      <x:c r="BR577" s="14"/>
      <x:c r="BS577" s="14"/>
      <x:c r="BT577" s="14"/>
      <x:c r="BU577" s="14"/>
      <x:c r="BV577" s="14"/>
      <x:c r="BW577" s="14"/>
      <x:c r="BX577" s="14"/>
      <x:c r="BY577" s="14"/>
      <x:c r="BZ577" s="14"/>
      <x:c r="CA577" s="14"/>
      <x:c r="CB577" s="14"/>
      <x:c r="CC577" s="14"/>
      <x:c r="CD577" s="14"/>
      <x:c r="CE577" s="14"/>
    </x:row>
    <x:row r="578">
      <x:c r="A578" s="14" t="n">
        <x:v>577</x:v>
      </x:c>
      <x:c r="B578" s="14"/>
      <x:c r="C578" s="14" t="str">
        <x:v>CHECKING_EVENT</x:v>
      </x:c>
      <x:c r="D578" s="14" t="str">
        <x:v>Exploratory_Checking_611_Positional_Surrogate.xlsx</x:v>
      </x:c>
      <x:c r="E578" s="14"/>
      <x:c r="F578" s="14"/>
      <x:c r="G578" s="14"/>
      <x:c r="H578" s="14"/>
      <x:c r="I578" s="14"/>
      <x:c r="J578" s="14"/>
      <x:c r="K578" s="14" t="str">
        <x:v>NEEDS_WINDOW_BINDING</x:v>
      </x:c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  <x:c r="AA578" s="14"/>
      <x:c r="AB578" s="14"/>
      <x:c r="AC578" s="14"/>
      <x:c r="AD578" s="14"/>
      <x:c r="AE578" s="14"/>
      <x:c r="AF578" s="14"/>
      <x:c r="AG578" s="14"/>
      <x:c r="AH578" s="14"/>
      <x:c r="AI578" s="14"/>
      <x:c r="AJ578" s="14"/>
      <x:c r="AK578" s="14"/>
      <x:c r="AL578" s="14"/>
      <x:c r="AM578" s="14"/>
      <x:c r="AN578" s="14"/>
      <x:c r="AO578" s="14"/>
      <x:c r="AP578" s="14"/>
      <x:c r="AQ578" s="14"/>
      <x:c r="AR578" s="14"/>
      <x:c r="AS578" s="14"/>
      <x:c r="AT578" s="14"/>
      <x:c r="AU578" s="14"/>
      <x:c r="AV578" s="14"/>
      <x:c r="AW578" s="14"/>
      <x:c r="AX578" s="14"/>
      <x:c r="AY578" s="14"/>
      <x:c r="AZ578" s="14"/>
      <x:c r="BA578" s="14"/>
      <x:c r="BB578" s="14"/>
      <x:c r="BC578" s="14"/>
      <x:c r="BD578" s="14"/>
      <x:c r="BE578" s="14"/>
      <x:c r="BF578" s="14"/>
      <x:c r="BG578" s="14"/>
      <x:c r="BH578" s="14"/>
      <x:c r="BI578" s="14"/>
      <x:c r="BJ578" s="14"/>
      <x:c r="BK578" s="14"/>
      <x:c r="BL578" s="14"/>
      <x:c r="BM578" s="14"/>
      <x:c r="BN578" s="14"/>
      <x:c r="BO578" s="14"/>
      <x:c r="BP578" s="14"/>
      <x:c r="BQ578" s="14"/>
      <x:c r="BR578" s="14"/>
      <x:c r="BS578" s="14"/>
      <x:c r="BT578" s="14"/>
      <x:c r="BU578" s="14"/>
      <x:c r="BV578" s="14"/>
      <x:c r="BW578" s="14"/>
      <x:c r="BX578" s="14"/>
      <x:c r="BY578" s="14"/>
      <x:c r="BZ578" s="14"/>
      <x:c r="CA578" s="14"/>
      <x:c r="CB578" s="14"/>
      <x:c r="CC578" s="14"/>
      <x:c r="CD578" s="14"/>
      <x:c r="CE578" s="14"/>
    </x:row>
    <x:row r="579">
      <x:c r="A579" s="14" t="n">
        <x:v>578</x:v>
      </x:c>
      <x:c r="B579" s="14"/>
      <x:c r="C579" s="14" t="str">
        <x:v>CHECKING_EVENT</x:v>
      </x:c>
      <x:c r="D579" s="14" t="str">
        <x:v>Exploratory_Checking_611_Positional_Surrogate.xlsx</x:v>
      </x:c>
      <x:c r="E579" s="14"/>
      <x:c r="F579" s="14"/>
      <x:c r="G579" s="14"/>
      <x:c r="H579" s="14"/>
      <x:c r="I579" s="14"/>
      <x:c r="J579" s="14"/>
      <x:c r="K579" s="14" t="str">
        <x:v>NEEDS_WINDOW_BINDING</x:v>
      </x:c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  <x:c r="AA579" s="14"/>
      <x:c r="AB579" s="14"/>
      <x:c r="AC579" s="14"/>
      <x:c r="AD579" s="14"/>
      <x:c r="AE579" s="14"/>
      <x:c r="AF579" s="14"/>
      <x:c r="AG579" s="14"/>
      <x:c r="AH579" s="14"/>
      <x:c r="AI579" s="14"/>
      <x:c r="AJ579" s="14"/>
      <x:c r="AK579" s="14"/>
      <x:c r="AL579" s="14"/>
      <x:c r="AM579" s="14"/>
      <x:c r="AN579" s="14"/>
      <x:c r="AO579" s="14"/>
      <x:c r="AP579" s="14"/>
      <x:c r="AQ579" s="14"/>
      <x:c r="AR579" s="14"/>
      <x:c r="AS579" s="14"/>
      <x:c r="AT579" s="14"/>
      <x:c r="AU579" s="14"/>
      <x:c r="AV579" s="14"/>
      <x:c r="AW579" s="14"/>
      <x:c r="AX579" s="14"/>
      <x:c r="AY579" s="14"/>
      <x:c r="AZ579" s="14"/>
      <x:c r="BA579" s="14"/>
      <x:c r="BB579" s="14"/>
      <x:c r="BC579" s="14"/>
      <x:c r="BD579" s="14"/>
      <x:c r="BE579" s="14"/>
      <x:c r="BF579" s="14"/>
      <x:c r="BG579" s="14"/>
      <x:c r="BH579" s="14"/>
      <x:c r="BI579" s="14"/>
      <x:c r="BJ579" s="14"/>
      <x:c r="BK579" s="14"/>
      <x:c r="BL579" s="14"/>
      <x:c r="BM579" s="14"/>
      <x:c r="BN579" s="14"/>
      <x:c r="BO579" s="14"/>
      <x:c r="BP579" s="14"/>
      <x:c r="BQ579" s="14"/>
      <x:c r="BR579" s="14"/>
      <x:c r="BS579" s="14"/>
      <x:c r="BT579" s="14"/>
      <x:c r="BU579" s="14"/>
      <x:c r="BV579" s="14"/>
      <x:c r="BW579" s="14"/>
      <x:c r="BX579" s="14"/>
      <x:c r="BY579" s="14"/>
      <x:c r="BZ579" s="14"/>
      <x:c r="CA579" s="14"/>
      <x:c r="CB579" s="14"/>
      <x:c r="CC579" s="14"/>
      <x:c r="CD579" s="14"/>
      <x:c r="CE579" s="14"/>
    </x:row>
    <x:row r="580">
      <x:c r="A580" s="14" t="n">
        <x:v>579</x:v>
      </x:c>
      <x:c r="B580" s="14"/>
      <x:c r="C580" s="14" t="str">
        <x:v>CHECKING_EVENT</x:v>
      </x:c>
      <x:c r="D580" s="14" t="str">
        <x:v>Exploratory_Checking_611_Positional_Surrogate.xlsx</x:v>
      </x:c>
      <x:c r="E580" s="14"/>
      <x:c r="F580" s="14"/>
      <x:c r="G580" s="14"/>
      <x:c r="H580" s="14"/>
      <x:c r="I580" s="14"/>
      <x:c r="J580" s="14"/>
      <x:c r="K580" s="14" t="str">
        <x:v>NEEDS_WINDOW_BINDING</x:v>
      </x:c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  <x:c r="AA580" s="14"/>
      <x:c r="AB580" s="14"/>
      <x:c r="AC580" s="14"/>
      <x:c r="AD580" s="14"/>
      <x:c r="AE580" s="14"/>
      <x:c r="AF580" s="14"/>
      <x:c r="AG580" s="14"/>
      <x:c r="AH580" s="14"/>
      <x:c r="AI580" s="14"/>
      <x:c r="AJ580" s="14"/>
      <x:c r="AK580" s="14"/>
      <x:c r="AL580" s="14"/>
      <x:c r="AM580" s="14"/>
      <x:c r="AN580" s="14"/>
      <x:c r="AO580" s="14"/>
      <x:c r="AP580" s="14"/>
      <x:c r="AQ580" s="14"/>
      <x:c r="AR580" s="14"/>
      <x:c r="AS580" s="14"/>
      <x:c r="AT580" s="14"/>
      <x:c r="AU580" s="14"/>
      <x:c r="AV580" s="14"/>
      <x:c r="AW580" s="14"/>
      <x:c r="AX580" s="14"/>
      <x:c r="AY580" s="14"/>
      <x:c r="AZ580" s="14"/>
      <x:c r="BA580" s="14"/>
      <x:c r="BB580" s="14"/>
      <x:c r="BC580" s="14"/>
      <x:c r="BD580" s="14"/>
      <x:c r="BE580" s="14"/>
      <x:c r="BF580" s="14"/>
      <x:c r="BG580" s="14"/>
      <x:c r="BH580" s="14"/>
      <x:c r="BI580" s="14"/>
      <x:c r="BJ580" s="14"/>
      <x:c r="BK580" s="14"/>
      <x:c r="BL580" s="14"/>
      <x:c r="BM580" s="14"/>
      <x:c r="BN580" s="14"/>
      <x:c r="BO580" s="14"/>
      <x:c r="BP580" s="14"/>
      <x:c r="BQ580" s="14"/>
      <x:c r="BR580" s="14"/>
      <x:c r="BS580" s="14"/>
      <x:c r="BT580" s="14"/>
      <x:c r="BU580" s="14"/>
      <x:c r="BV580" s="14"/>
      <x:c r="BW580" s="14"/>
      <x:c r="BX580" s="14"/>
      <x:c r="BY580" s="14"/>
      <x:c r="BZ580" s="14"/>
      <x:c r="CA580" s="14"/>
      <x:c r="CB580" s="14"/>
      <x:c r="CC580" s="14"/>
      <x:c r="CD580" s="14"/>
      <x:c r="CE580" s="14"/>
    </x:row>
    <x:row r="581">
      <x:c r="A581" s="14" t="n">
        <x:v>580</x:v>
      </x:c>
      <x:c r="B581" s="14"/>
      <x:c r="C581" s="14" t="str">
        <x:v>CHECKING_EVENT</x:v>
      </x:c>
      <x:c r="D581" s="14" t="str">
        <x:v>Exploratory_Checking_611_Positional_Surrogate.xlsx</x:v>
      </x:c>
      <x:c r="E581" s="14"/>
      <x:c r="F581" s="14"/>
      <x:c r="G581" s="14"/>
      <x:c r="H581" s="14"/>
      <x:c r="I581" s="14"/>
      <x:c r="J581" s="14"/>
      <x:c r="K581" s="14" t="str">
        <x:v>NEEDS_WINDOW_BINDING</x:v>
      </x:c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  <x:c r="AA581" s="14"/>
      <x:c r="AB581" s="14"/>
      <x:c r="AC581" s="14"/>
      <x:c r="AD581" s="14"/>
      <x:c r="AE581" s="14"/>
      <x:c r="AF581" s="14"/>
      <x:c r="AG581" s="14"/>
      <x:c r="AH581" s="14"/>
      <x:c r="AI581" s="14"/>
      <x:c r="AJ581" s="14"/>
      <x:c r="AK581" s="14"/>
      <x:c r="AL581" s="14"/>
      <x:c r="AM581" s="14"/>
      <x:c r="AN581" s="14"/>
      <x:c r="AO581" s="14"/>
      <x:c r="AP581" s="14"/>
      <x:c r="AQ581" s="14"/>
      <x:c r="AR581" s="14"/>
      <x:c r="AS581" s="14"/>
      <x:c r="AT581" s="14"/>
      <x:c r="AU581" s="14"/>
      <x:c r="AV581" s="14"/>
      <x:c r="AW581" s="14"/>
      <x:c r="AX581" s="14"/>
      <x:c r="AY581" s="14"/>
      <x:c r="AZ581" s="14"/>
      <x:c r="BA581" s="14"/>
      <x:c r="BB581" s="14"/>
      <x:c r="BC581" s="14"/>
      <x:c r="BD581" s="14"/>
      <x:c r="BE581" s="14"/>
      <x:c r="BF581" s="14"/>
      <x:c r="BG581" s="14"/>
      <x:c r="BH581" s="14"/>
      <x:c r="BI581" s="14"/>
      <x:c r="BJ581" s="14"/>
      <x:c r="BK581" s="14"/>
      <x:c r="BL581" s="14"/>
      <x:c r="BM581" s="14"/>
      <x:c r="BN581" s="14"/>
      <x:c r="BO581" s="14"/>
      <x:c r="BP581" s="14"/>
      <x:c r="BQ581" s="14"/>
      <x:c r="BR581" s="14"/>
      <x:c r="BS581" s="14"/>
      <x:c r="BT581" s="14"/>
      <x:c r="BU581" s="14"/>
      <x:c r="BV581" s="14"/>
      <x:c r="BW581" s="14"/>
      <x:c r="BX581" s="14"/>
      <x:c r="BY581" s="14"/>
      <x:c r="BZ581" s="14"/>
      <x:c r="CA581" s="14"/>
      <x:c r="CB581" s="14"/>
      <x:c r="CC581" s="14"/>
      <x:c r="CD581" s="14"/>
      <x:c r="CE581" s="14"/>
    </x:row>
    <x:row r="582">
      <x:c r="A582" s="14" t="n">
        <x:v>581</x:v>
      </x:c>
      <x:c r="B582" s="14"/>
      <x:c r="C582" s="14" t="str">
        <x:v>CHECKING_EVENT</x:v>
      </x:c>
      <x:c r="D582" s="14" t="str">
        <x:v>Exploratory_Checking_611_Positional_Surrogate.xlsx</x:v>
      </x:c>
      <x:c r="E582" s="14"/>
      <x:c r="F582" s="14"/>
      <x:c r="G582" s="14"/>
      <x:c r="H582" s="14"/>
      <x:c r="I582" s="14"/>
      <x:c r="J582" s="14"/>
      <x:c r="K582" s="14" t="str">
        <x:v>NEEDS_WINDOW_BINDING</x:v>
      </x:c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14"/>
      <x:c r="AA582" s="14"/>
      <x:c r="AB582" s="14"/>
      <x:c r="AC582" s="14"/>
      <x:c r="AD582" s="14"/>
      <x:c r="AE582" s="14"/>
      <x:c r="AF582" s="14"/>
      <x:c r="AG582" s="14"/>
      <x:c r="AH582" s="14"/>
      <x:c r="AI582" s="14"/>
      <x:c r="AJ582" s="14"/>
      <x:c r="AK582" s="14"/>
      <x:c r="AL582" s="14"/>
      <x:c r="AM582" s="14"/>
      <x:c r="AN582" s="14"/>
      <x:c r="AO582" s="14"/>
      <x:c r="AP582" s="14"/>
      <x:c r="AQ582" s="14"/>
      <x:c r="AR582" s="14"/>
      <x:c r="AS582" s="14"/>
      <x:c r="AT582" s="14"/>
      <x:c r="AU582" s="14"/>
      <x:c r="AV582" s="14"/>
      <x:c r="AW582" s="14"/>
      <x:c r="AX582" s="14"/>
      <x:c r="AY582" s="14"/>
      <x:c r="AZ582" s="14"/>
      <x:c r="BA582" s="14"/>
      <x:c r="BB582" s="14"/>
      <x:c r="BC582" s="14"/>
      <x:c r="BD582" s="14"/>
      <x:c r="BE582" s="14"/>
      <x:c r="BF582" s="14"/>
      <x:c r="BG582" s="14"/>
      <x:c r="BH582" s="14"/>
      <x:c r="BI582" s="14"/>
      <x:c r="BJ582" s="14"/>
      <x:c r="BK582" s="14"/>
      <x:c r="BL582" s="14"/>
      <x:c r="BM582" s="14"/>
      <x:c r="BN582" s="14"/>
      <x:c r="BO582" s="14"/>
      <x:c r="BP582" s="14"/>
      <x:c r="BQ582" s="14"/>
      <x:c r="BR582" s="14"/>
      <x:c r="BS582" s="14"/>
      <x:c r="BT582" s="14"/>
      <x:c r="BU582" s="14"/>
      <x:c r="BV582" s="14"/>
      <x:c r="BW582" s="14"/>
      <x:c r="BX582" s="14"/>
      <x:c r="BY582" s="14"/>
      <x:c r="BZ582" s="14"/>
      <x:c r="CA582" s="14"/>
      <x:c r="CB582" s="14"/>
      <x:c r="CC582" s="14"/>
      <x:c r="CD582" s="14"/>
      <x:c r="CE582" s="14"/>
    </x:row>
    <x:row r="583">
      <x:c r="A583" s="14" t="n">
        <x:v>582</x:v>
      </x:c>
      <x:c r="B583" s="14"/>
      <x:c r="C583" s="14" t="str">
        <x:v>CHECKING_EVENT</x:v>
      </x:c>
      <x:c r="D583" s="14" t="str">
        <x:v>Exploratory_Checking_611_Positional_Surrogate.xlsx</x:v>
      </x:c>
      <x:c r="E583" s="14"/>
      <x:c r="F583" s="14"/>
      <x:c r="G583" s="14"/>
      <x:c r="H583" s="14"/>
      <x:c r="I583" s="14"/>
      <x:c r="J583" s="14"/>
      <x:c r="K583" s="14" t="str">
        <x:v>NEEDS_WINDOW_BINDING</x:v>
      </x:c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  <x:c r="AA583" s="14"/>
      <x:c r="AB583" s="14"/>
      <x:c r="AC583" s="14"/>
      <x:c r="AD583" s="14"/>
      <x:c r="AE583" s="14"/>
      <x:c r="AF583" s="14"/>
      <x:c r="AG583" s="14"/>
      <x:c r="AH583" s="14"/>
      <x:c r="AI583" s="14"/>
      <x:c r="AJ583" s="14"/>
      <x:c r="AK583" s="14"/>
      <x:c r="AL583" s="14"/>
      <x:c r="AM583" s="14"/>
      <x:c r="AN583" s="14"/>
      <x:c r="AO583" s="14"/>
      <x:c r="AP583" s="14"/>
      <x:c r="AQ583" s="14"/>
      <x:c r="AR583" s="14"/>
      <x:c r="AS583" s="14"/>
      <x:c r="AT583" s="14"/>
      <x:c r="AU583" s="14"/>
      <x:c r="AV583" s="14"/>
      <x:c r="AW583" s="14"/>
      <x:c r="AX583" s="14"/>
      <x:c r="AY583" s="14"/>
      <x:c r="AZ583" s="14"/>
      <x:c r="BA583" s="14"/>
      <x:c r="BB583" s="14"/>
      <x:c r="BC583" s="14"/>
      <x:c r="BD583" s="14"/>
      <x:c r="BE583" s="14"/>
      <x:c r="BF583" s="14"/>
      <x:c r="BG583" s="14"/>
      <x:c r="BH583" s="14"/>
      <x:c r="BI583" s="14"/>
      <x:c r="BJ583" s="14"/>
      <x:c r="BK583" s="14"/>
      <x:c r="BL583" s="14"/>
      <x:c r="BM583" s="14"/>
      <x:c r="BN583" s="14"/>
      <x:c r="BO583" s="14"/>
      <x:c r="BP583" s="14"/>
      <x:c r="BQ583" s="14"/>
      <x:c r="BR583" s="14"/>
      <x:c r="BS583" s="14"/>
      <x:c r="BT583" s="14"/>
      <x:c r="BU583" s="14"/>
      <x:c r="BV583" s="14"/>
      <x:c r="BW583" s="14"/>
      <x:c r="BX583" s="14"/>
      <x:c r="BY583" s="14"/>
      <x:c r="BZ583" s="14"/>
      <x:c r="CA583" s="14"/>
      <x:c r="CB583" s="14"/>
      <x:c r="CC583" s="14"/>
      <x:c r="CD583" s="14"/>
      <x:c r="CE583" s="14"/>
    </x:row>
    <x:row r="584">
      <x:c r="A584" s="14" t="n">
        <x:v>583</x:v>
      </x:c>
      <x:c r="B584" s="14"/>
      <x:c r="C584" s="14" t="str">
        <x:v>CHECKING_EVENT</x:v>
      </x:c>
      <x:c r="D584" s="14" t="str">
        <x:v>Exploratory_Checking_611_Positional_Surrogate.xlsx</x:v>
      </x:c>
      <x:c r="E584" s="14"/>
      <x:c r="F584" s="14"/>
      <x:c r="G584" s="14"/>
      <x:c r="H584" s="14"/>
      <x:c r="I584" s="14"/>
      <x:c r="J584" s="14"/>
      <x:c r="K584" s="14" t="str">
        <x:v>NEEDS_WINDOW_BINDING</x:v>
      </x:c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14"/>
      <x:c r="AA584" s="14"/>
      <x:c r="AB584" s="14"/>
      <x:c r="AC584" s="14"/>
      <x:c r="AD584" s="14"/>
      <x:c r="AE584" s="14"/>
      <x:c r="AF584" s="14"/>
      <x:c r="AG584" s="14"/>
      <x:c r="AH584" s="14"/>
      <x:c r="AI584" s="14"/>
      <x:c r="AJ584" s="14"/>
      <x:c r="AK584" s="14"/>
      <x:c r="AL584" s="14"/>
      <x:c r="AM584" s="14"/>
      <x:c r="AN584" s="14"/>
      <x:c r="AO584" s="14"/>
      <x:c r="AP584" s="14"/>
      <x:c r="AQ584" s="14"/>
      <x:c r="AR584" s="14"/>
      <x:c r="AS584" s="14"/>
      <x:c r="AT584" s="14"/>
      <x:c r="AU584" s="14"/>
      <x:c r="AV584" s="14"/>
      <x:c r="AW584" s="14"/>
      <x:c r="AX584" s="14"/>
      <x:c r="AY584" s="14"/>
      <x:c r="AZ584" s="14"/>
      <x:c r="BA584" s="14"/>
      <x:c r="BB584" s="14"/>
      <x:c r="BC584" s="14"/>
      <x:c r="BD584" s="14"/>
      <x:c r="BE584" s="14"/>
      <x:c r="BF584" s="14"/>
      <x:c r="BG584" s="14"/>
      <x:c r="BH584" s="14"/>
      <x:c r="BI584" s="14"/>
      <x:c r="BJ584" s="14"/>
      <x:c r="BK584" s="14"/>
      <x:c r="BL584" s="14"/>
      <x:c r="BM584" s="14"/>
      <x:c r="BN584" s="14"/>
      <x:c r="BO584" s="14"/>
      <x:c r="BP584" s="14"/>
      <x:c r="BQ584" s="14"/>
      <x:c r="BR584" s="14"/>
      <x:c r="BS584" s="14"/>
      <x:c r="BT584" s="14"/>
      <x:c r="BU584" s="14"/>
      <x:c r="BV584" s="14"/>
      <x:c r="BW584" s="14"/>
      <x:c r="BX584" s="14"/>
      <x:c r="BY584" s="14"/>
      <x:c r="BZ584" s="14"/>
      <x:c r="CA584" s="14"/>
      <x:c r="CB584" s="14"/>
      <x:c r="CC584" s="14"/>
      <x:c r="CD584" s="14"/>
      <x:c r="CE584" s="14"/>
    </x:row>
    <x:row r="585">
      <x:c r="A585" s="14" t="n">
        <x:v>584</x:v>
      </x:c>
      <x:c r="B585" s="14"/>
      <x:c r="C585" s="14" t="str">
        <x:v>CHECKING_EVENT</x:v>
      </x:c>
      <x:c r="D585" s="14" t="str">
        <x:v>Exploratory_Checking_611_Positional_Surrogate.xlsx</x:v>
      </x:c>
      <x:c r="E585" s="14"/>
      <x:c r="F585" s="14"/>
      <x:c r="G585" s="14"/>
      <x:c r="H585" s="14"/>
      <x:c r="I585" s="14"/>
      <x:c r="J585" s="14"/>
      <x:c r="K585" s="14" t="str">
        <x:v>NEEDS_WINDOW_BINDING</x:v>
      </x:c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  <x:c r="AA585" s="14"/>
      <x:c r="AB585" s="14"/>
      <x:c r="AC585" s="14"/>
      <x:c r="AD585" s="14"/>
      <x:c r="AE585" s="14"/>
      <x:c r="AF585" s="14"/>
      <x:c r="AG585" s="14"/>
      <x:c r="AH585" s="14"/>
      <x:c r="AI585" s="14"/>
      <x:c r="AJ585" s="14"/>
      <x:c r="AK585" s="14"/>
      <x:c r="AL585" s="14"/>
      <x:c r="AM585" s="14"/>
      <x:c r="AN585" s="14"/>
      <x:c r="AO585" s="14"/>
      <x:c r="AP585" s="14"/>
      <x:c r="AQ585" s="14"/>
      <x:c r="AR585" s="14"/>
      <x:c r="AS585" s="14"/>
      <x:c r="AT585" s="14"/>
      <x:c r="AU585" s="14"/>
      <x:c r="AV585" s="14"/>
      <x:c r="AW585" s="14"/>
      <x:c r="AX585" s="14"/>
      <x:c r="AY585" s="14"/>
      <x:c r="AZ585" s="14"/>
      <x:c r="BA585" s="14"/>
      <x:c r="BB585" s="14"/>
      <x:c r="BC585" s="14"/>
      <x:c r="BD585" s="14"/>
      <x:c r="BE585" s="14"/>
      <x:c r="BF585" s="14"/>
      <x:c r="BG585" s="14"/>
      <x:c r="BH585" s="14"/>
      <x:c r="BI585" s="14"/>
      <x:c r="BJ585" s="14"/>
      <x:c r="BK585" s="14"/>
      <x:c r="BL585" s="14"/>
      <x:c r="BM585" s="14"/>
      <x:c r="BN585" s="14"/>
      <x:c r="BO585" s="14"/>
      <x:c r="BP585" s="14"/>
      <x:c r="BQ585" s="14"/>
      <x:c r="BR585" s="14"/>
      <x:c r="BS585" s="14"/>
      <x:c r="BT585" s="14"/>
      <x:c r="BU585" s="14"/>
      <x:c r="BV585" s="14"/>
      <x:c r="BW585" s="14"/>
      <x:c r="BX585" s="14"/>
      <x:c r="BY585" s="14"/>
      <x:c r="BZ585" s="14"/>
      <x:c r="CA585" s="14"/>
      <x:c r="CB585" s="14"/>
      <x:c r="CC585" s="14"/>
      <x:c r="CD585" s="14"/>
      <x:c r="CE585" s="14"/>
    </x:row>
    <x:row r="586">
      <x:c r="A586" s="14" t="n">
        <x:v>585</x:v>
      </x:c>
      <x:c r="B586" s="14"/>
      <x:c r="C586" s="14" t="str">
        <x:v>CHECKING_EVENT</x:v>
      </x:c>
      <x:c r="D586" s="14" t="str">
        <x:v>Exploratory_Checking_611_Positional_Surrogate.xlsx</x:v>
      </x:c>
      <x:c r="E586" s="14"/>
      <x:c r="F586" s="14"/>
      <x:c r="G586" s="14"/>
      <x:c r="H586" s="14"/>
      <x:c r="I586" s="14"/>
      <x:c r="J586" s="14"/>
      <x:c r="K586" s="14" t="str">
        <x:v>NEEDS_WINDOW_BINDING</x:v>
      </x:c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4"/>
      <x:c r="AA586" s="14"/>
      <x:c r="AB586" s="14"/>
      <x:c r="AC586" s="14"/>
      <x:c r="AD586" s="14"/>
      <x:c r="AE586" s="14"/>
      <x:c r="AF586" s="14"/>
      <x:c r="AG586" s="14"/>
      <x:c r="AH586" s="14"/>
      <x:c r="AI586" s="14"/>
      <x:c r="AJ586" s="14"/>
      <x:c r="AK586" s="14"/>
      <x:c r="AL586" s="14"/>
      <x:c r="AM586" s="14"/>
      <x:c r="AN586" s="14"/>
      <x:c r="AO586" s="14"/>
      <x:c r="AP586" s="14"/>
      <x:c r="AQ586" s="14"/>
      <x:c r="AR586" s="14"/>
      <x:c r="AS586" s="14"/>
      <x:c r="AT586" s="14"/>
      <x:c r="AU586" s="14"/>
      <x:c r="AV586" s="14"/>
      <x:c r="AW586" s="14"/>
      <x:c r="AX586" s="14"/>
      <x:c r="AY586" s="14"/>
      <x:c r="AZ586" s="14"/>
      <x:c r="BA586" s="14"/>
      <x:c r="BB586" s="14"/>
      <x:c r="BC586" s="14"/>
      <x:c r="BD586" s="14"/>
      <x:c r="BE586" s="14"/>
      <x:c r="BF586" s="14"/>
      <x:c r="BG586" s="14"/>
      <x:c r="BH586" s="14"/>
      <x:c r="BI586" s="14"/>
      <x:c r="BJ586" s="14"/>
      <x:c r="BK586" s="14"/>
      <x:c r="BL586" s="14"/>
      <x:c r="BM586" s="14"/>
      <x:c r="BN586" s="14"/>
      <x:c r="BO586" s="14"/>
      <x:c r="BP586" s="14"/>
      <x:c r="BQ586" s="14"/>
      <x:c r="BR586" s="14"/>
      <x:c r="BS586" s="14"/>
      <x:c r="BT586" s="14"/>
      <x:c r="BU586" s="14"/>
      <x:c r="BV586" s="14"/>
      <x:c r="BW586" s="14"/>
      <x:c r="BX586" s="14"/>
      <x:c r="BY586" s="14"/>
      <x:c r="BZ586" s="14"/>
      <x:c r="CA586" s="14"/>
      <x:c r="CB586" s="14"/>
      <x:c r="CC586" s="14"/>
      <x:c r="CD586" s="14"/>
      <x:c r="CE586" s="14"/>
    </x:row>
    <x:row r="587">
      <x:c r="A587" s="14" t="n">
        <x:v>586</x:v>
      </x:c>
      <x:c r="B587" s="14"/>
      <x:c r="C587" s="14" t="str">
        <x:v>CHECKING_EVENT</x:v>
      </x:c>
      <x:c r="D587" s="14" t="str">
        <x:v>Exploratory_Checking_611_Positional_Surrogate.xlsx</x:v>
      </x:c>
      <x:c r="E587" s="14"/>
      <x:c r="F587" s="14"/>
      <x:c r="G587" s="14"/>
      <x:c r="H587" s="14"/>
      <x:c r="I587" s="14"/>
      <x:c r="J587" s="14"/>
      <x:c r="K587" s="14" t="str">
        <x:v>NEEDS_WINDOW_BINDING</x:v>
      </x:c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  <x:c r="AA587" s="14"/>
      <x:c r="AB587" s="14"/>
      <x:c r="AC587" s="14"/>
      <x:c r="AD587" s="14"/>
      <x:c r="AE587" s="14"/>
      <x:c r="AF587" s="14"/>
      <x:c r="AG587" s="14"/>
      <x:c r="AH587" s="14"/>
      <x:c r="AI587" s="14"/>
      <x:c r="AJ587" s="14"/>
      <x:c r="AK587" s="14"/>
      <x:c r="AL587" s="14"/>
      <x:c r="AM587" s="14"/>
      <x:c r="AN587" s="14"/>
      <x:c r="AO587" s="14"/>
      <x:c r="AP587" s="14"/>
      <x:c r="AQ587" s="14"/>
      <x:c r="AR587" s="14"/>
      <x:c r="AS587" s="14"/>
      <x:c r="AT587" s="14"/>
      <x:c r="AU587" s="14"/>
      <x:c r="AV587" s="14"/>
      <x:c r="AW587" s="14"/>
      <x:c r="AX587" s="14"/>
      <x:c r="AY587" s="14"/>
      <x:c r="AZ587" s="14"/>
      <x:c r="BA587" s="14"/>
      <x:c r="BB587" s="14"/>
      <x:c r="BC587" s="14"/>
      <x:c r="BD587" s="14"/>
      <x:c r="BE587" s="14"/>
      <x:c r="BF587" s="14"/>
      <x:c r="BG587" s="14"/>
      <x:c r="BH587" s="14"/>
      <x:c r="BI587" s="14"/>
      <x:c r="BJ587" s="14"/>
      <x:c r="BK587" s="14"/>
      <x:c r="BL587" s="14"/>
      <x:c r="BM587" s="14"/>
      <x:c r="BN587" s="14"/>
      <x:c r="BO587" s="14"/>
      <x:c r="BP587" s="14"/>
      <x:c r="BQ587" s="14"/>
      <x:c r="BR587" s="14"/>
      <x:c r="BS587" s="14"/>
      <x:c r="BT587" s="14"/>
      <x:c r="BU587" s="14"/>
      <x:c r="BV587" s="14"/>
      <x:c r="BW587" s="14"/>
      <x:c r="BX587" s="14"/>
      <x:c r="BY587" s="14"/>
      <x:c r="BZ587" s="14"/>
      <x:c r="CA587" s="14"/>
      <x:c r="CB587" s="14"/>
      <x:c r="CC587" s="14"/>
      <x:c r="CD587" s="14"/>
      <x:c r="CE587" s="14"/>
    </x:row>
    <x:row r="588">
      <x:c r="A588" s="14" t="n">
        <x:v>587</x:v>
      </x:c>
      <x:c r="B588" s="14"/>
      <x:c r="C588" s="14" t="str">
        <x:v>CHECKING_EVENT</x:v>
      </x:c>
      <x:c r="D588" s="14" t="str">
        <x:v>Exploratory_Checking_611_Positional_Surrogate.xlsx</x:v>
      </x:c>
      <x:c r="E588" s="14"/>
      <x:c r="F588" s="14"/>
      <x:c r="G588" s="14"/>
      <x:c r="H588" s="14"/>
      <x:c r="I588" s="14"/>
      <x:c r="J588" s="14"/>
      <x:c r="K588" s="14" t="str">
        <x:v>NEEDS_WINDOW_BINDING</x:v>
      </x:c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  <x:c r="AA588" s="14"/>
      <x:c r="AB588" s="14"/>
      <x:c r="AC588" s="14"/>
      <x:c r="AD588" s="14"/>
      <x:c r="AE588" s="14"/>
      <x:c r="AF588" s="14"/>
      <x:c r="AG588" s="14"/>
      <x:c r="AH588" s="14"/>
      <x:c r="AI588" s="14"/>
      <x:c r="AJ588" s="14"/>
      <x:c r="AK588" s="14"/>
      <x:c r="AL588" s="14"/>
      <x:c r="AM588" s="14"/>
      <x:c r="AN588" s="14"/>
      <x:c r="AO588" s="14"/>
      <x:c r="AP588" s="14"/>
      <x:c r="AQ588" s="14"/>
      <x:c r="AR588" s="14"/>
      <x:c r="AS588" s="14"/>
      <x:c r="AT588" s="14"/>
      <x:c r="AU588" s="14"/>
      <x:c r="AV588" s="14"/>
      <x:c r="AW588" s="14"/>
      <x:c r="AX588" s="14"/>
      <x:c r="AY588" s="14"/>
      <x:c r="AZ588" s="14"/>
      <x:c r="BA588" s="14"/>
      <x:c r="BB588" s="14"/>
      <x:c r="BC588" s="14"/>
      <x:c r="BD588" s="14"/>
      <x:c r="BE588" s="14"/>
      <x:c r="BF588" s="14"/>
      <x:c r="BG588" s="14"/>
      <x:c r="BH588" s="14"/>
      <x:c r="BI588" s="14"/>
      <x:c r="BJ588" s="14"/>
      <x:c r="BK588" s="14"/>
      <x:c r="BL588" s="14"/>
      <x:c r="BM588" s="14"/>
      <x:c r="BN588" s="14"/>
      <x:c r="BO588" s="14"/>
      <x:c r="BP588" s="14"/>
      <x:c r="BQ588" s="14"/>
      <x:c r="BR588" s="14"/>
      <x:c r="BS588" s="14"/>
      <x:c r="BT588" s="14"/>
      <x:c r="BU588" s="14"/>
      <x:c r="BV588" s="14"/>
      <x:c r="BW588" s="14"/>
      <x:c r="BX588" s="14"/>
      <x:c r="BY588" s="14"/>
      <x:c r="BZ588" s="14"/>
      <x:c r="CA588" s="14"/>
      <x:c r="CB588" s="14"/>
      <x:c r="CC588" s="14"/>
      <x:c r="CD588" s="14"/>
      <x:c r="CE588" s="14"/>
    </x:row>
    <x:row r="589">
      <x:c r="A589" s="14" t="n">
        <x:v>588</x:v>
      </x:c>
      <x:c r="B589" s="14"/>
      <x:c r="C589" s="14" t="str">
        <x:v>CHECKING_EVENT</x:v>
      </x:c>
      <x:c r="D589" s="14" t="str">
        <x:v>Exploratory_Checking_611_Positional_Surrogate.xlsx</x:v>
      </x:c>
      <x:c r="E589" s="14"/>
      <x:c r="F589" s="14"/>
      <x:c r="G589" s="14"/>
      <x:c r="H589" s="14"/>
      <x:c r="I589" s="14"/>
      <x:c r="J589" s="14"/>
      <x:c r="K589" s="14" t="str">
        <x:v>NEEDS_WINDOW_BINDING</x:v>
      </x:c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14"/>
      <x:c r="AA589" s="14"/>
      <x:c r="AB589" s="14"/>
      <x:c r="AC589" s="14"/>
      <x:c r="AD589" s="14"/>
      <x:c r="AE589" s="14"/>
      <x:c r="AF589" s="14"/>
      <x:c r="AG589" s="14"/>
      <x:c r="AH589" s="14"/>
      <x:c r="AI589" s="14"/>
      <x:c r="AJ589" s="14"/>
      <x:c r="AK589" s="14"/>
      <x:c r="AL589" s="14"/>
      <x:c r="AM589" s="14"/>
      <x:c r="AN589" s="14"/>
      <x:c r="AO589" s="14"/>
      <x:c r="AP589" s="14"/>
      <x:c r="AQ589" s="14"/>
      <x:c r="AR589" s="14"/>
      <x:c r="AS589" s="14"/>
      <x:c r="AT589" s="14"/>
      <x:c r="AU589" s="14"/>
      <x:c r="AV589" s="14"/>
      <x:c r="AW589" s="14"/>
      <x:c r="AX589" s="14"/>
      <x:c r="AY589" s="14"/>
      <x:c r="AZ589" s="14"/>
      <x:c r="BA589" s="14"/>
      <x:c r="BB589" s="14"/>
      <x:c r="BC589" s="14"/>
      <x:c r="BD589" s="14"/>
      <x:c r="BE589" s="14"/>
      <x:c r="BF589" s="14"/>
      <x:c r="BG589" s="14"/>
      <x:c r="BH589" s="14"/>
      <x:c r="BI589" s="14"/>
      <x:c r="BJ589" s="14"/>
      <x:c r="BK589" s="14"/>
      <x:c r="BL589" s="14"/>
      <x:c r="BM589" s="14"/>
      <x:c r="BN589" s="14"/>
      <x:c r="BO589" s="14"/>
      <x:c r="BP589" s="14"/>
      <x:c r="BQ589" s="14"/>
      <x:c r="BR589" s="14"/>
      <x:c r="BS589" s="14"/>
      <x:c r="BT589" s="14"/>
      <x:c r="BU589" s="14"/>
      <x:c r="BV589" s="14"/>
      <x:c r="BW589" s="14"/>
      <x:c r="BX589" s="14"/>
      <x:c r="BY589" s="14"/>
      <x:c r="BZ589" s="14"/>
      <x:c r="CA589" s="14"/>
      <x:c r="CB589" s="14"/>
      <x:c r="CC589" s="14"/>
      <x:c r="CD589" s="14"/>
      <x:c r="CE589" s="14"/>
    </x:row>
    <x:row r="590">
      <x:c r="A590" s="14" t="n">
        <x:v>589</x:v>
      </x:c>
      <x:c r="B590" s="14"/>
      <x:c r="C590" s="14" t="str">
        <x:v>CHECKING_EVENT</x:v>
      </x:c>
      <x:c r="D590" s="14" t="str">
        <x:v>Exploratory_Checking_611_Positional_Surrogate.xlsx</x:v>
      </x:c>
      <x:c r="E590" s="14"/>
      <x:c r="F590" s="14"/>
      <x:c r="G590" s="14"/>
      <x:c r="H590" s="14"/>
      <x:c r="I590" s="14"/>
      <x:c r="J590" s="14"/>
      <x:c r="K590" s="14" t="str">
        <x:v>NEEDS_WINDOW_BINDING</x:v>
      </x:c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  <x:c r="AA590" s="14"/>
      <x:c r="AB590" s="14"/>
      <x:c r="AC590" s="14"/>
      <x:c r="AD590" s="14"/>
      <x:c r="AE590" s="14"/>
      <x:c r="AF590" s="14"/>
      <x:c r="AG590" s="14"/>
      <x:c r="AH590" s="14"/>
      <x:c r="AI590" s="14"/>
      <x:c r="AJ590" s="14"/>
      <x:c r="AK590" s="14"/>
      <x:c r="AL590" s="14"/>
      <x:c r="AM590" s="14"/>
      <x:c r="AN590" s="14"/>
      <x:c r="AO590" s="14"/>
      <x:c r="AP590" s="14"/>
      <x:c r="AQ590" s="14"/>
      <x:c r="AR590" s="14"/>
      <x:c r="AS590" s="14"/>
      <x:c r="AT590" s="14"/>
      <x:c r="AU590" s="14"/>
      <x:c r="AV590" s="14"/>
      <x:c r="AW590" s="14"/>
      <x:c r="AX590" s="14"/>
      <x:c r="AY590" s="14"/>
      <x:c r="AZ590" s="14"/>
      <x:c r="BA590" s="14"/>
      <x:c r="BB590" s="14"/>
      <x:c r="BC590" s="14"/>
      <x:c r="BD590" s="14"/>
      <x:c r="BE590" s="14"/>
      <x:c r="BF590" s="14"/>
      <x:c r="BG590" s="14"/>
      <x:c r="BH590" s="14"/>
      <x:c r="BI590" s="14"/>
      <x:c r="BJ590" s="14"/>
      <x:c r="BK590" s="14"/>
      <x:c r="BL590" s="14"/>
      <x:c r="BM590" s="14"/>
      <x:c r="BN590" s="14"/>
      <x:c r="BO590" s="14"/>
      <x:c r="BP590" s="14"/>
      <x:c r="BQ590" s="14"/>
      <x:c r="BR590" s="14"/>
      <x:c r="BS590" s="14"/>
      <x:c r="BT590" s="14"/>
      <x:c r="BU590" s="14"/>
      <x:c r="BV590" s="14"/>
      <x:c r="BW590" s="14"/>
      <x:c r="BX590" s="14"/>
      <x:c r="BY590" s="14"/>
      <x:c r="BZ590" s="14"/>
      <x:c r="CA590" s="14"/>
      <x:c r="CB590" s="14"/>
      <x:c r="CC590" s="14"/>
      <x:c r="CD590" s="14"/>
      <x:c r="CE590" s="14"/>
    </x:row>
    <x:row r="591">
      <x:c r="A591" s="14" t="n">
        <x:v>590</x:v>
      </x:c>
      <x:c r="B591" s="14"/>
      <x:c r="C591" s="14" t="str">
        <x:v>CHECKING_EVENT</x:v>
      </x:c>
      <x:c r="D591" s="14" t="str">
        <x:v>Exploratory_Checking_611_Positional_Surrogate.xlsx</x:v>
      </x:c>
      <x:c r="E591" s="14"/>
      <x:c r="F591" s="14"/>
      <x:c r="G591" s="14"/>
      <x:c r="H591" s="14"/>
      <x:c r="I591" s="14"/>
      <x:c r="J591" s="14"/>
      <x:c r="K591" s="14" t="str">
        <x:v>NEEDS_WINDOW_BINDING</x:v>
      </x:c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  <x:c r="AA591" s="14"/>
      <x:c r="AB591" s="14"/>
      <x:c r="AC591" s="14"/>
      <x:c r="AD591" s="14"/>
      <x:c r="AE591" s="14"/>
      <x:c r="AF591" s="14"/>
      <x:c r="AG591" s="14"/>
      <x:c r="AH591" s="14"/>
      <x:c r="AI591" s="14"/>
      <x:c r="AJ591" s="14"/>
      <x:c r="AK591" s="14"/>
      <x:c r="AL591" s="14"/>
      <x:c r="AM591" s="14"/>
      <x:c r="AN591" s="14"/>
      <x:c r="AO591" s="14"/>
      <x:c r="AP591" s="14"/>
      <x:c r="AQ591" s="14"/>
      <x:c r="AR591" s="14"/>
      <x:c r="AS591" s="14"/>
      <x:c r="AT591" s="14"/>
      <x:c r="AU591" s="14"/>
      <x:c r="AV591" s="14"/>
      <x:c r="AW591" s="14"/>
      <x:c r="AX591" s="14"/>
      <x:c r="AY591" s="14"/>
      <x:c r="AZ591" s="14"/>
      <x:c r="BA591" s="14"/>
      <x:c r="BB591" s="14"/>
      <x:c r="BC591" s="14"/>
      <x:c r="BD591" s="14"/>
      <x:c r="BE591" s="14"/>
      <x:c r="BF591" s="14"/>
      <x:c r="BG591" s="14"/>
      <x:c r="BH591" s="14"/>
      <x:c r="BI591" s="14"/>
      <x:c r="BJ591" s="14"/>
      <x:c r="BK591" s="14"/>
      <x:c r="BL591" s="14"/>
      <x:c r="BM591" s="14"/>
      <x:c r="BN591" s="14"/>
      <x:c r="BO591" s="14"/>
      <x:c r="BP591" s="14"/>
      <x:c r="BQ591" s="14"/>
      <x:c r="BR591" s="14"/>
      <x:c r="BS591" s="14"/>
      <x:c r="BT591" s="14"/>
      <x:c r="BU591" s="14"/>
      <x:c r="BV591" s="14"/>
      <x:c r="BW591" s="14"/>
      <x:c r="BX591" s="14"/>
      <x:c r="BY591" s="14"/>
      <x:c r="BZ591" s="14"/>
      <x:c r="CA591" s="14"/>
      <x:c r="CB591" s="14"/>
      <x:c r="CC591" s="14"/>
      <x:c r="CD591" s="14"/>
      <x:c r="CE591" s="14"/>
    </x:row>
    <x:row r="592">
      <x:c r="A592" s="14" t="n">
        <x:v>591</x:v>
      </x:c>
      <x:c r="B592" s="14"/>
      <x:c r="C592" s="14" t="str">
        <x:v>CHECKING_EVENT</x:v>
      </x:c>
      <x:c r="D592" s="14" t="str">
        <x:v>Exploratory_Checking_611_Positional_Surrogate.xlsx</x:v>
      </x:c>
      <x:c r="E592" s="14"/>
      <x:c r="F592" s="14"/>
      <x:c r="G592" s="14"/>
      <x:c r="H592" s="14"/>
      <x:c r="I592" s="14"/>
      <x:c r="J592" s="14"/>
      <x:c r="K592" s="14" t="str">
        <x:v>NEEDS_WINDOW_BINDING</x:v>
      </x:c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14"/>
      <x:c r="AA592" s="14"/>
      <x:c r="AB592" s="14"/>
      <x:c r="AC592" s="14"/>
      <x:c r="AD592" s="14"/>
      <x:c r="AE592" s="14"/>
      <x:c r="AF592" s="14"/>
      <x:c r="AG592" s="14"/>
      <x:c r="AH592" s="14"/>
      <x:c r="AI592" s="14"/>
      <x:c r="AJ592" s="14"/>
      <x:c r="AK592" s="14"/>
      <x:c r="AL592" s="14"/>
      <x:c r="AM592" s="14"/>
      <x:c r="AN592" s="14"/>
      <x:c r="AO592" s="14"/>
      <x:c r="AP592" s="14"/>
      <x:c r="AQ592" s="14"/>
      <x:c r="AR592" s="14"/>
      <x:c r="AS592" s="14"/>
      <x:c r="AT592" s="14"/>
      <x:c r="AU592" s="14"/>
      <x:c r="AV592" s="14"/>
      <x:c r="AW592" s="14"/>
      <x:c r="AX592" s="14"/>
      <x:c r="AY592" s="14"/>
      <x:c r="AZ592" s="14"/>
      <x:c r="BA592" s="14"/>
      <x:c r="BB592" s="14"/>
      <x:c r="BC592" s="14"/>
      <x:c r="BD592" s="14"/>
      <x:c r="BE592" s="14"/>
      <x:c r="BF592" s="14"/>
      <x:c r="BG592" s="14"/>
      <x:c r="BH592" s="14"/>
      <x:c r="BI592" s="14"/>
      <x:c r="BJ592" s="14"/>
      <x:c r="BK592" s="14"/>
      <x:c r="BL592" s="14"/>
      <x:c r="BM592" s="14"/>
      <x:c r="BN592" s="14"/>
      <x:c r="BO592" s="14"/>
      <x:c r="BP592" s="14"/>
      <x:c r="BQ592" s="14"/>
      <x:c r="BR592" s="14"/>
      <x:c r="BS592" s="14"/>
      <x:c r="BT592" s="14"/>
      <x:c r="BU592" s="14"/>
      <x:c r="BV592" s="14"/>
      <x:c r="BW592" s="14"/>
      <x:c r="BX592" s="14"/>
      <x:c r="BY592" s="14"/>
      <x:c r="BZ592" s="14"/>
      <x:c r="CA592" s="14"/>
      <x:c r="CB592" s="14"/>
      <x:c r="CC592" s="14"/>
      <x:c r="CD592" s="14"/>
      <x:c r="CE592" s="14"/>
    </x:row>
    <x:row r="593">
      <x:c r="A593" s="14" t="n">
        <x:v>592</x:v>
      </x:c>
      <x:c r="B593" s="14"/>
      <x:c r="C593" s="14" t="str">
        <x:v>CHECKING_EVENT</x:v>
      </x:c>
      <x:c r="D593" s="14" t="str">
        <x:v>Exploratory_Checking_611_Positional_Surrogate.xlsx</x:v>
      </x:c>
      <x:c r="E593" s="14"/>
      <x:c r="F593" s="14"/>
      <x:c r="G593" s="14"/>
      <x:c r="H593" s="14"/>
      <x:c r="I593" s="14"/>
      <x:c r="J593" s="14"/>
      <x:c r="K593" s="14" t="str">
        <x:v>NEEDS_WINDOW_BINDING</x:v>
      </x:c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4"/>
      <x:c r="AA593" s="14"/>
      <x:c r="AB593" s="14"/>
      <x:c r="AC593" s="14"/>
      <x:c r="AD593" s="14"/>
      <x:c r="AE593" s="14"/>
      <x:c r="AF593" s="14"/>
      <x:c r="AG593" s="14"/>
      <x:c r="AH593" s="14"/>
      <x:c r="AI593" s="14"/>
      <x:c r="AJ593" s="14"/>
      <x:c r="AK593" s="14"/>
      <x:c r="AL593" s="14"/>
      <x:c r="AM593" s="14"/>
      <x:c r="AN593" s="14"/>
      <x:c r="AO593" s="14"/>
      <x:c r="AP593" s="14"/>
      <x:c r="AQ593" s="14"/>
      <x:c r="AR593" s="14"/>
      <x:c r="AS593" s="14"/>
      <x:c r="AT593" s="14"/>
      <x:c r="AU593" s="14"/>
      <x:c r="AV593" s="14"/>
      <x:c r="AW593" s="14"/>
      <x:c r="AX593" s="14"/>
      <x:c r="AY593" s="14"/>
      <x:c r="AZ593" s="14"/>
      <x:c r="BA593" s="14"/>
      <x:c r="BB593" s="14"/>
      <x:c r="BC593" s="14"/>
      <x:c r="BD593" s="14"/>
      <x:c r="BE593" s="14"/>
      <x:c r="BF593" s="14"/>
      <x:c r="BG593" s="14"/>
      <x:c r="BH593" s="14"/>
      <x:c r="BI593" s="14"/>
      <x:c r="BJ593" s="14"/>
      <x:c r="BK593" s="14"/>
      <x:c r="BL593" s="14"/>
      <x:c r="BM593" s="14"/>
      <x:c r="BN593" s="14"/>
      <x:c r="BO593" s="14"/>
      <x:c r="BP593" s="14"/>
      <x:c r="BQ593" s="14"/>
      <x:c r="BR593" s="14"/>
      <x:c r="BS593" s="14"/>
      <x:c r="BT593" s="14"/>
      <x:c r="BU593" s="14"/>
      <x:c r="BV593" s="14"/>
      <x:c r="BW593" s="14"/>
      <x:c r="BX593" s="14"/>
      <x:c r="BY593" s="14"/>
      <x:c r="BZ593" s="14"/>
      <x:c r="CA593" s="14"/>
      <x:c r="CB593" s="14"/>
      <x:c r="CC593" s="14"/>
      <x:c r="CD593" s="14"/>
      <x:c r="CE593" s="14"/>
    </x:row>
    <x:row r="594">
      <x:c r="A594" s="14" t="n">
        <x:v>593</x:v>
      </x:c>
      <x:c r="B594" s="14"/>
      <x:c r="C594" s="14" t="str">
        <x:v>CHECKING_EVENT</x:v>
      </x:c>
      <x:c r="D594" s="14" t="str">
        <x:v>Exploratory_Checking_611_Positional_Surrogate.xlsx</x:v>
      </x:c>
      <x:c r="E594" s="14"/>
      <x:c r="F594" s="14"/>
      <x:c r="G594" s="14"/>
      <x:c r="H594" s="14"/>
      <x:c r="I594" s="14"/>
      <x:c r="J594" s="14"/>
      <x:c r="K594" s="14" t="str">
        <x:v>NEEDS_WINDOW_BINDING</x:v>
      </x:c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  <x:c r="AA594" s="14"/>
      <x:c r="AB594" s="14"/>
      <x:c r="AC594" s="14"/>
      <x:c r="AD594" s="14"/>
      <x:c r="AE594" s="14"/>
      <x:c r="AF594" s="14"/>
      <x:c r="AG594" s="14"/>
      <x:c r="AH594" s="14"/>
      <x:c r="AI594" s="14"/>
      <x:c r="AJ594" s="14"/>
      <x:c r="AK594" s="14"/>
      <x:c r="AL594" s="14"/>
      <x:c r="AM594" s="14"/>
      <x:c r="AN594" s="14"/>
      <x:c r="AO594" s="14"/>
      <x:c r="AP594" s="14"/>
      <x:c r="AQ594" s="14"/>
      <x:c r="AR594" s="14"/>
      <x:c r="AS594" s="14"/>
      <x:c r="AT594" s="14"/>
      <x:c r="AU594" s="14"/>
      <x:c r="AV594" s="14"/>
      <x:c r="AW594" s="14"/>
      <x:c r="AX594" s="14"/>
      <x:c r="AY594" s="14"/>
      <x:c r="AZ594" s="14"/>
      <x:c r="BA594" s="14"/>
      <x:c r="BB594" s="14"/>
      <x:c r="BC594" s="14"/>
      <x:c r="BD594" s="14"/>
      <x:c r="BE594" s="14"/>
      <x:c r="BF594" s="14"/>
      <x:c r="BG594" s="14"/>
      <x:c r="BH594" s="14"/>
      <x:c r="BI594" s="14"/>
      <x:c r="BJ594" s="14"/>
      <x:c r="BK594" s="14"/>
      <x:c r="BL594" s="14"/>
      <x:c r="BM594" s="14"/>
      <x:c r="BN594" s="14"/>
      <x:c r="BO594" s="14"/>
      <x:c r="BP594" s="14"/>
      <x:c r="BQ594" s="14"/>
      <x:c r="BR594" s="14"/>
      <x:c r="BS594" s="14"/>
      <x:c r="BT594" s="14"/>
      <x:c r="BU594" s="14"/>
      <x:c r="BV594" s="14"/>
      <x:c r="BW594" s="14"/>
      <x:c r="BX594" s="14"/>
      <x:c r="BY594" s="14"/>
      <x:c r="BZ594" s="14"/>
      <x:c r="CA594" s="14"/>
      <x:c r="CB594" s="14"/>
      <x:c r="CC594" s="14"/>
      <x:c r="CD594" s="14"/>
      <x:c r="CE594" s="14"/>
    </x:row>
    <x:row r="595">
      <x:c r="A595" s="14" t="n">
        <x:v>594</x:v>
      </x:c>
      <x:c r="B595" s="14"/>
      <x:c r="C595" s="14" t="str">
        <x:v>CHECKING_EVENT</x:v>
      </x:c>
      <x:c r="D595" s="14" t="str">
        <x:v>Exploratory_Checking_611_Positional_Surrogate.xlsx</x:v>
      </x:c>
      <x:c r="E595" s="14"/>
      <x:c r="F595" s="14"/>
      <x:c r="G595" s="14"/>
      <x:c r="H595" s="14"/>
      <x:c r="I595" s="14"/>
      <x:c r="J595" s="14"/>
      <x:c r="K595" s="14" t="str">
        <x:v>NEEDS_WINDOW_BINDING</x:v>
      </x:c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4"/>
      <x:c r="AA595" s="14"/>
      <x:c r="AB595" s="14"/>
      <x:c r="AC595" s="14"/>
      <x:c r="AD595" s="14"/>
      <x:c r="AE595" s="14"/>
      <x:c r="AF595" s="14"/>
      <x:c r="AG595" s="14"/>
      <x:c r="AH595" s="14"/>
      <x:c r="AI595" s="14"/>
      <x:c r="AJ595" s="14"/>
      <x:c r="AK595" s="14"/>
      <x:c r="AL595" s="14"/>
      <x:c r="AM595" s="14"/>
      <x:c r="AN595" s="14"/>
      <x:c r="AO595" s="14"/>
      <x:c r="AP595" s="14"/>
      <x:c r="AQ595" s="14"/>
      <x:c r="AR595" s="14"/>
      <x:c r="AS595" s="14"/>
      <x:c r="AT595" s="14"/>
      <x:c r="AU595" s="14"/>
      <x:c r="AV595" s="14"/>
      <x:c r="AW595" s="14"/>
      <x:c r="AX595" s="14"/>
      <x:c r="AY595" s="14"/>
      <x:c r="AZ595" s="14"/>
      <x:c r="BA595" s="14"/>
      <x:c r="BB595" s="14"/>
      <x:c r="BC595" s="14"/>
      <x:c r="BD595" s="14"/>
      <x:c r="BE595" s="14"/>
      <x:c r="BF595" s="14"/>
      <x:c r="BG595" s="14"/>
      <x:c r="BH595" s="14"/>
      <x:c r="BI595" s="14"/>
      <x:c r="BJ595" s="14"/>
      <x:c r="BK595" s="14"/>
      <x:c r="BL595" s="14"/>
      <x:c r="BM595" s="14"/>
      <x:c r="BN595" s="14"/>
      <x:c r="BO595" s="14"/>
      <x:c r="BP595" s="14"/>
      <x:c r="BQ595" s="14"/>
      <x:c r="BR595" s="14"/>
      <x:c r="BS595" s="14"/>
      <x:c r="BT595" s="14"/>
      <x:c r="BU595" s="14"/>
      <x:c r="BV595" s="14"/>
      <x:c r="BW595" s="14"/>
      <x:c r="BX595" s="14"/>
      <x:c r="BY595" s="14"/>
      <x:c r="BZ595" s="14"/>
      <x:c r="CA595" s="14"/>
      <x:c r="CB595" s="14"/>
      <x:c r="CC595" s="14"/>
      <x:c r="CD595" s="14"/>
      <x:c r="CE595" s="14"/>
    </x:row>
    <x:row r="596">
      <x:c r="A596" s="14" t="n">
        <x:v>595</x:v>
      </x:c>
      <x:c r="B596" s="14"/>
      <x:c r="C596" s="14" t="str">
        <x:v>CHECKING_EVENT</x:v>
      </x:c>
      <x:c r="D596" s="14" t="str">
        <x:v>Exploratory_Checking_611_Positional_Surrogate.xlsx</x:v>
      </x:c>
      <x:c r="E596" s="14"/>
      <x:c r="F596" s="14"/>
      <x:c r="G596" s="14"/>
      <x:c r="H596" s="14"/>
      <x:c r="I596" s="14"/>
      <x:c r="J596" s="14"/>
      <x:c r="K596" s="14" t="str">
        <x:v>NEEDS_WINDOW_BINDING</x:v>
      </x:c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4"/>
      <x:c r="AA596" s="14"/>
      <x:c r="AB596" s="14"/>
      <x:c r="AC596" s="14"/>
      <x:c r="AD596" s="14"/>
      <x:c r="AE596" s="14"/>
      <x:c r="AF596" s="14"/>
      <x:c r="AG596" s="14"/>
      <x:c r="AH596" s="14"/>
      <x:c r="AI596" s="14"/>
      <x:c r="AJ596" s="14"/>
      <x:c r="AK596" s="14"/>
      <x:c r="AL596" s="14"/>
      <x:c r="AM596" s="14"/>
      <x:c r="AN596" s="14"/>
      <x:c r="AO596" s="14"/>
      <x:c r="AP596" s="14"/>
      <x:c r="AQ596" s="14"/>
      <x:c r="AR596" s="14"/>
      <x:c r="AS596" s="14"/>
      <x:c r="AT596" s="14"/>
      <x:c r="AU596" s="14"/>
      <x:c r="AV596" s="14"/>
      <x:c r="AW596" s="14"/>
      <x:c r="AX596" s="14"/>
      <x:c r="AY596" s="14"/>
      <x:c r="AZ596" s="14"/>
      <x:c r="BA596" s="14"/>
      <x:c r="BB596" s="14"/>
      <x:c r="BC596" s="14"/>
      <x:c r="BD596" s="14"/>
      <x:c r="BE596" s="14"/>
      <x:c r="BF596" s="14"/>
      <x:c r="BG596" s="14"/>
      <x:c r="BH596" s="14"/>
      <x:c r="BI596" s="14"/>
      <x:c r="BJ596" s="14"/>
      <x:c r="BK596" s="14"/>
      <x:c r="BL596" s="14"/>
      <x:c r="BM596" s="14"/>
      <x:c r="BN596" s="14"/>
      <x:c r="BO596" s="14"/>
      <x:c r="BP596" s="14"/>
      <x:c r="BQ596" s="14"/>
      <x:c r="BR596" s="14"/>
      <x:c r="BS596" s="14"/>
      <x:c r="BT596" s="14"/>
      <x:c r="BU596" s="14"/>
      <x:c r="BV596" s="14"/>
      <x:c r="BW596" s="14"/>
      <x:c r="BX596" s="14"/>
      <x:c r="BY596" s="14"/>
      <x:c r="BZ596" s="14"/>
      <x:c r="CA596" s="14"/>
      <x:c r="CB596" s="14"/>
      <x:c r="CC596" s="14"/>
      <x:c r="CD596" s="14"/>
      <x:c r="CE596" s="14"/>
    </x:row>
    <x:row r="597">
      <x:c r="A597" s="14" t="n">
        <x:v>596</x:v>
      </x:c>
      <x:c r="B597" s="14"/>
      <x:c r="C597" s="14" t="str">
        <x:v>CHECKING_EVENT</x:v>
      </x:c>
      <x:c r="D597" s="14" t="str">
        <x:v>Exploratory_Checking_611_Positional_Surrogate.xlsx</x:v>
      </x:c>
      <x:c r="E597" s="14"/>
      <x:c r="F597" s="14"/>
      <x:c r="G597" s="14"/>
      <x:c r="H597" s="14"/>
      <x:c r="I597" s="14"/>
      <x:c r="J597" s="14"/>
      <x:c r="K597" s="14" t="str">
        <x:v>NEEDS_WINDOW_BINDING</x:v>
      </x:c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  <x:c r="AA597" s="14"/>
      <x:c r="AB597" s="14"/>
      <x:c r="AC597" s="14"/>
      <x:c r="AD597" s="14"/>
      <x:c r="AE597" s="14"/>
      <x:c r="AF597" s="14"/>
      <x:c r="AG597" s="14"/>
      <x:c r="AH597" s="14"/>
      <x:c r="AI597" s="14"/>
      <x:c r="AJ597" s="14"/>
      <x:c r="AK597" s="14"/>
      <x:c r="AL597" s="14"/>
      <x:c r="AM597" s="14"/>
      <x:c r="AN597" s="14"/>
      <x:c r="AO597" s="14"/>
      <x:c r="AP597" s="14"/>
      <x:c r="AQ597" s="14"/>
      <x:c r="AR597" s="14"/>
      <x:c r="AS597" s="14"/>
      <x:c r="AT597" s="14"/>
      <x:c r="AU597" s="14"/>
      <x:c r="AV597" s="14"/>
      <x:c r="AW597" s="14"/>
      <x:c r="AX597" s="14"/>
      <x:c r="AY597" s="14"/>
      <x:c r="AZ597" s="14"/>
      <x:c r="BA597" s="14"/>
      <x:c r="BB597" s="14"/>
      <x:c r="BC597" s="14"/>
      <x:c r="BD597" s="14"/>
      <x:c r="BE597" s="14"/>
      <x:c r="BF597" s="14"/>
      <x:c r="BG597" s="14"/>
      <x:c r="BH597" s="14"/>
      <x:c r="BI597" s="14"/>
      <x:c r="BJ597" s="14"/>
      <x:c r="BK597" s="14"/>
      <x:c r="BL597" s="14"/>
      <x:c r="BM597" s="14"/>
      <x:c r="BN597" s="14"/>
      <x:c r="BO597" s="14"/>
      <x:c r="BP597" s="14"/>
      <x:c r="BQ597" s="14"/>
      <x:c r="BR597" s="14"/>
      <x:c r="BS597" s="14"/>
      <x:c r="BT597" s="14"/>
      <x:c r="BU597" s="14"/>
      <x:c r="BV597" s="14"/>
      <x:c r="BW597" s="14"/>
      <x:c r="BX597" s="14"/>
      <x:c r="BY597" s="14"/>
      <x:c r="BZ597" s="14"/>
      <x:c r="CA597" s="14"/>
      <x:c r="CB597" s="14"/>
      <x:c r="CC597" s="14"/>
      <x:c r="CD597" s="14"/>
      <x:c r="CE597" s="14"/>
    </x:row>
    <x:row r="598">
      <x:c r="A598" s="14" t="n">
        <x:v>597</x:v>
      </x:c>
      <x:c r="B598" s="14"/>
      <x:c r="C598" s="14" t="str">
        <x:v>CHECKING_EVENT</x:v>
      </x:c>
      <x:c r="D598" s="14" t="str">
        <x:v>Exploratory_Checking_611_Positional_Surrogate.xlsx</x:v>
      </x:c>
      <x:c r="E598" s="14"/>
      <x:c r="F598" s="14"/>
      <x:c r="G598" s="14"/>
      <x:c r="H598" s="14"/>
      <x:c r="I598" s="14"/>
      <x:c r="J598" s="14"/>
      <x:c r="K598" s="14" t="str">
        <x:v>NEEDS_WINDOW_BINDING</x:v>
      </x:c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  <x:c r="AA598" s="14"/>
      <x:c r="AB598" s="14"/>
      <x:c r="AC598" s="14"/>
      <x:c r="AD598" s="14"/>
      <x:c r="AE598" s="14"/>
      <x:c r="AF598" s="14"/>
      <x:c r="AG598" s="14"/>
      <x:c r="AH598" s="14"/>
      <x:c r="AI598" s="14"/>
      <x:c r="AJ598" s="14"/>
      <x:c r="AK598" s="14"/>
      <x:c r="AL598" s="14"/>
      <x:c r="AM598" s="14"/>
      <x:c r="AN598" s="14"/>
      <x:c r="AO598" s="14"/>
      <x:c r="AP598" s="14"/>
      <x:c r="AQ598" s="14"/>
      <x:c r="AR598" s="14"/>
      <x:c r="AS598" s="14"/>
      <x:c r="AT598" s="14"/>
      <x:c r="AU598" s="14"/>
      <x:c r="AV598" s="14"/>
      <x:c r="AW598" s="14"/>
      <x:c r="AX598" s="14"/>
      <x:c r="AY598" s="14"/>
      <x:c r="AZ598" s="14"/>
      <x:c r="BA598" s="14"/>
      <x:c r="BB598" s="14"/>
      <x:c r="BC598" s="14"/>
      <x:c r="BD598" s="14"/>
      <x:c r="BE598" s="14"/>
      <x:c r="BF598" s="14"/>
      <x:c r="BG598" s="14"/>
      <x:c r="BH598" s="14"/>
      <x:c r="BI598" s="14"/>
      <x:c r="BJ598" s="14"/>
      <x:c r="BK598" s="14"/>
      <x:c r="BL598" s="14"/>
      <x:c r="BM598" s="14"/>
      <x:c r="BN598" s="14"/>
      <x:c r="BO598" s="14"/>
      <x:c r="BP598" s="14"/>
      <x:c r="BQ598" s="14"/>
      <x:c r="BR598" s="14"/>
      <x:c r="BS598" s="14"/>
      <x:c r="BT598" s="14"/>
      <x:c r="BU598" s="14"/>
      <x:c r="BV598" s="14"/>
      <x:c r="BW598" s="14"/>
      <x:c r="BX598" s="14"/>
      <x:c r="BY598" s="14"/>
      <x:c r="BZ598" s="14"/>
      <x:c r="CA598" s="14"/>
      <x:c r="CB598" s="14"/>
      <x:c r="CC598" s="14"/>
      <x:c r="CD598" s="14"/>
      <x:c r="CE598" s="14"/>
    </x:row>
    <x:row r="599">
      <x:c r="A599" s="14" t="n">
        <x:v>598</x:v>
      </x:c>
      <x:c r="B599" s="14"/>
      <x:c r="C599" s="14" t="str">
        <x:v>CHECKING_EVENT</x:v>
      </x:c>
      <x:c r="D599" s="14" t="str">
        <x:v>Exploratory_Checking_611_Positional_Surrogate.xlsx</x:v>
      </x:c>
      <x:c r="E599" s="14"/>
      <x:c r="F599" s="14"/>
      <x:c r="G599" s="14"/>
      <x:c r="H599" s="14"/>
      <x:c r="I599" s="14"/>
      <x:c r="J599" s="14"/>
      <x:c r="K599" s="14" t="str">
        <x:v>NEEDS_WINDOW_BINDING</x:v>
      </x:c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  <x:c r="AA599" s="14"/>
      <x:c r="AB599" s="14"/>
      <x:c r="AC599" s="14"/>
      <x:c r="AD599" s="14"/>
      <x:c r="AE599" s="14"/>
      <x:c r="AF599" s="14"/>
      <x:c r="AG599" s="14"/>
      <x:c r="AH599" s="14"/>
      <x:c r="AI599" s="14"/>
      <x:c r="AJ599" s="14"/>
      <x:c r="AK599" s="14"/>
      <x:c r="AL599" s="14"/>
      <x:c r="AM599" s="14"/>
      <x:c r="AN599" s="14"/>
      <x:c r="AO599" s="14"/>
      <x:c r="AP599" s="14"/>
      <x:c r="AQ599" s="14"/>
      <x:c r="AR599" s="14"/>
      <x:c r="AS599" s="14"/>
      <x:c r="AT599" s="14"/>
      <x:c r="AU599" s="14"/>
      <x:c r="AV599" s="14"/>
      <x:c r="AW599" s="14"/>
      <x:c r="AX599" s="14"/>
      <x:c r="AY599" s="14"/>
      <x:c r="AZ599" s="14"/>
      <x:c r="BA599" s="14"/>
      <x:c r="BB599" s="14"/>
      <x:c r="BC599" s="14"/>
      <x:c r="BD599" s="14"/>
      <x:c r="BE599" s="14"/>
      <x:c r="BF599" s="14"/>
      <x:c r="BG599" s="14"/>
      <x:c r="BH599" s="14"/>
      <x:c r="BI599" s="14"/>
      <x:c r="BJ599" s="14"/>
      <x:c r="BK599" s="14"/>
      <x:c r="BL599" s="14"/>
      <x:c r="BM599" s="14"/>
      <x:c r="BN599" s="14"/>
      <x:c r="BO599" s="14"/>
      <x:c r="BP599" s="14"/>
      <x:c r="BQ599" s="14"/>
      <x:c r="BR599" s="14"/>
      <x:c r="BS599" s="14"/>
      <x:c r="BT599" s="14"/>
      <x:c r="BU599" s="14"/>
      <x:c r="BV599" s="14"/>
      <x:c r="BW599" s="14"/>
      <x:c r="BX599" s="14"/>
      <x:c r="BY599" s="14"/>
      <x:c r="BZ599" s="14"/>
      <x:c r="CA599" s="14"/>
      <x:c r="CB599" s="14"/>
      <x:c r="CC599" s="14"/>
      <x:c r="CD599" s="14"/>
      <x:c r="CE599" s="14"/>
    </x:row>
    <x:row r="600">
      <x:c r="A600" s="14" t="n">
        <x:v>599</x:v>
      </x:c>
      <x:c r="B600" s="14"/>
      <x:c r="C600" s="14" t="str">
        <x:v>CHECKING_EVENT</x:v>
      </x:c>
      <x:c r="D600" s="14" t="str">
        <x:v>Exploratory_Checking_611_Positional_Surrogate.xlsx</x:v>
      </x:c>
      <x:c r="E600" s="14"/>
      <x:c r="F600" s="14"/>
      <x:c r="G600" s="14"/>
      <x:c r="H600" s="14"/>
      <x:c r="I600" s="14"/>
      <x:c r="J600" s="14"/>
      <x:c r="K600" s="14" t="str">
        <x:v>NEEDS_WINDOW_BINDING</x:v>
      </x:c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  <x:c r="AA600" s="14"/>
      <x:c r="AB600" s="14"/>
      <x:c r="AC600" s="14"/>
      <x:c r="AD600" s="14"/>
      <x:c r="AE600" s="14"/>
      <x:c r="AF600" s="14"/>
      <x:c r="AG600" s="14"/>
      <x:c r="AH600" s="14"/>
      <x:c r="AI600" s="14"/>
      <x:c r="AJ600" s="14"/>
      <x:c r="AK600" s="14"/>
      <x:c r="AL600" s="14"/>
      <x:c r="AM600" s="14"/>
      <x:c r="AN600" s="14"/>
      <x:c r="AO600" s="14"/>
      <x:c r="AP600" s="14"/>
      <x:c r="AQ600" s="14"/>
      <x:c r="AR600" s="14"/>
      <x:c r="AS600" s="14"/>
      <x:c r="AT600" s="14"/>
      <x:c r="AU600" s="14"/>
      <x:c r="AV600" s="14"/>
      <x:c r="AW600" s="14"/>
      <x:c r="AX600" s="14"/>
      <x:c r="AY600" s="14"/>
      <x:c r="AZ600" s="14"/>
      <x:c r="BA600" s="14"/>
      <x:c r="BB600" s="14"/>
      <x:c r="BC600" s="14"/>
      <x:c r="BD600" s="14"/>
      <x:c r="BE600" s="14"/>
      <x:c r="BF600" s="14"/>
      <x:c r="BG600" s="14"/>
      <x:c r="BH600" s="14"/>
      <x:c r="BI600" s="14"/>
      <x:c r="BJ600" s="14"/>
      <x:c r="BK600" s="14"/>
      <x:c r="BL600" s="14"/>
      <x:c r="BM600" s="14"/>
      <x:c r="BN600" s="14"/>
      <x:c r="BO600" s="14"/>
      <x:c r="BP600" s="14"/>
      <x:c r="BQ600" s="14"/>
      <x:c r="BR600" s="14"/>
      <x:c r="BS600" s="14"/>
      <x:c r="BT600" s="14"/>
      <x:c r="BU600" s="14"/>
      <x:c r="BV600" s="14"/>
      <x:c r="BW600" s="14"/>
      <x:c r="BX600" s="14"/>
      <x:c r="BY600" s="14"/>
      <x:c r="BZ600" s="14"/>
      <x:c r="CA600" s="14"/>
      <x:c r="CB600" s="14"/>
      <x:c r="CC600" s="14"/>
      <x:c r="CD600" s="14"/>
      <x:c r="CE600" s="14"/>
    </x:row>
    <x:row r="601">
      <x:c r="A601" s="14" t="n">
        <x:v>600</x:v>
      </x:c>
      <x:c r="B601" s="14"/>
      <x:c r="C601" s="14" t="str">
        <x:v>CHECKING_EVENT</x:v>
      </x:c>
      <x:c r="D601" s="14" t="str">
        <x:v>Exploratory_Checking_611_Positional_Surrogate.xlsx</x:v>
      </x:c>
      <x:c r="E601" s="14"/>
      <x:c r="F601" s="14"/>
      <x:c r="G601" s="14"/>
      <x:c r="H601" s="14"/>
      <x:c r="I601" s="14"/>
      <x:c r="J601" s="14"/>
      <x:c r="K601" s="14" t="str">
        <x:v>NEEDS_WINDOW_BINDING</x:v>
      </x:c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  <x:c r="AA601" s="14"/>
      <x:c r="AB601" s="14"/>
      <x:c r="AC601" s="14"/>
      <x:c r="AD601" s="14"/>
      <x:c r="AE601" s="14"/>
      <x:c r="AF601" s="14"/>
      <x:c r="AG601" s="14"/>
      <x:c r="AH601" s="14"/>
      <x:c r="AI601" s="14"/>
      <x:c r="AJ601" s="14"/>
      <x:c r="AK601" s="14"/>
      <x:c r="AL601" s="14"/>
      <x:c r="AM601" s="14"/>
      <x:c r="AN601" s="14"/>
      <x:c r="AO601" s="14"/>
      <x:c r="AP601" s="14"/>
      <x:c r="AQ601" s="14"/>
      <x:c r="AR601" s="14"/>
      <x:c r="AS601" s="14"/>
      <x:c r="AT601" s="14"/>
      <x:c r="AU601" s="14"/>
      <x:c r="AV601" s="14"/>
      <x:c r="AW601" s="14"/>
      <x:c r="AX601" s="14"/>
      <x:c r="AY601" s="14"/>
      <x:c r="AZ601" s="14"/>
      <x:c r="BA601" s="14"/>
      <x:c r="BB601" s="14"/>
      <x:c r="BC601" s="14"/>
      <x:c r="BD601" s="14"/>
      <x:c r="BE601" s="14"/>
      <x:c r="BF601" s="14"/>
      <x:c r="BG601" s="14"/>
      <x:c r="BH601" s="14"/>
      <x:c r="BI601" s="14"/>
      <x:c r="BJ601" s="14"/>
      <x:c r="BK601" s="14"/>
      <x:c r="BL601" s="14"/>
      <x:c r="BM601" s="14"/>
      <x:c r="BN601" s="14"/>
      <x:c r="BO601" s="14"/>
      <x:c r="BP601" s="14"/>
      <x:c r="BQ601" s="14"/>
      <x:c r="BR601" s="14"/>
      <x:c r="BS601" s="14"/>
      <x:c r="BT601" s="14"/>
      <x:c r="BU601" s="14"/>
      <x:c r="BV601" s="14"/>
      <x:c r="BW601" s="14"/>
      <x:c r="BX601" s="14"/>
      <x:c r="BY601" s="14"/>
      <x:c r="BZ601" s="14"/>
      <x:c r="CA601" s="14"/>
      <x:c r="CB601" s="14"/>
      <x:c r="CC601" s="14"/>
      <x:c r="CD601" s="14"/>
      <x:c r="CE601" s="14"/>
    </x:row>
    <x:row r="602">
      <x:c r="A602" s="14" t="n">
        <x:v>601</x:v>
      </x:c>
      <x:c r="B602" s="14"/>
      <x:c r="C602" s="14" t="str">
        <x:v>CHECKING_EVENT</x:v>
      </x:c>
      <x:c r="D602" s="14" t="str">
        <x:v>Exploratory_Checking_611_Positional_Surrogate.xlsx</x:v>
      </x:c>
      <x:c r="E602" s="14"/>
      <x:c r="F602" s="14"/>
      <x:c r="G602" s="14"/>
      <x:c r="H602" s="14"/>
      <x:c r="I602" s="14"/>
      <x:c r="J602" s="14"/>
      <x:c r="K602" s="14" t="str">
        <x:v>NEEDS_WINDOW_BINDING</x:v>
      </x:c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14"/>
      <x:c r="AA602" s="14"/>
      <x:c r="AB602" s="14"/>
      <x:c r="AC602" s="14"/>
      <x:c r="AD602" s="14"/>
      <x:c r="AE602" s="14"/>
      <x:c r="AF602" s="14"/>
      <x:c r="AG602" s="14"/>
      <x:c r="AH602" s="14"/>
      <x:c r="AI602" s="14"/>
      <x:c r="AJ602" s="14"/>
      <x:c r="AK602" s="14"/>
      <x:c r="AL602" s="14"/>
      <x:c r="AM602" s="14"/>
      <x:c r="AN602" s="14"/>
      <x:c r="AO602" s="14"/>
      <x:c r="AP602" s="14"/>
      <x:c r="AQ602" s="14"/>
      <x:c r="AR602" s="14"/>
      <x:c r="AS602" s="14"/>
      <x:c r="AT602" s="14"/>
      <x:c r="AU602" s="14"/>
      <x:c r="AV602" s="14"/>
      <x:c r="AW602" s="14"/>
      <x:c r="AX602" s="14"/>
      <x:c r="AY602" s="14"/>
      <x:c r="AZ602" s="14"/>
      <x:c r="BA602" s="14"/>
      <x:c r="BB602" s="14"/>
      <x:c r="BC602" s="14"/>
      <x:c r="BD602" s="14"/>
      <x:c r="BE602" s="14"/>
      <x:c r="BF602" s="14"/>
      <x:c r="BG602" s="14"/>
      <x:c r="BH602" s="14"/>
      <x:c r="BI602" s="14"/>
      <x:c r="BJ602" s="14"/>
      <x:c r="BK602" s="14"/>
      <x:c r="BL602" s="14"/>
      <x:c r="BM602" s="14"/>
      <x:c r="BN602" s="14"/>
      <x:c r="BO602" s="14"/>
      <x:c r="BP602" s="14"/>
      <x:c r="BQ602" s="14"/>
      <x:c r="BR602" s="14"/>
      <x:c r="BS602" s="14"/>
      <x:c r="BT602" s="14"/>
      <x:c r="BU602" s="14"/>
      <x:c r="BV602" s="14"/>
      <x:c r="BW602" s="14"/>
      <x:c r="BX602" s="14"/>
      <x:c r="BY602" s="14"/>
      <x:c r="BZ602" s="14"/>
      <x:c r="CA602" s="14"/>
      <x:c r="CB602" s="14"/>
      <x:c r="CC602" s="14"/>
      <x:c r="CD602" s="14"/>
      <x:c r="CE602" s="14"/>
    </x:row>
    <x:row r="603">
      <x:c r="A603" s="14" t="n">
        <x:v>602</x:v>
      </x:c>
      <x:c r="B603" s="14"/>
      <x:c r="C603" s="14" t="str">
        <x:v>CHECKING_EVENT</x:v>
      </x:c>
      <x:c r="D603" s="14" t="str">
        <x:v>Exploratory_Checking_611_Positional_Surrogate.xlsx</x:v>
      </x:c>
      <x:c r="E603" s="14"/>
      <x:c r="F603" s="14"/>
      <x:c r="G603" s="14"/>
      <x:c r="H603" s="14"/>
      <x:c r="I603" s="14"/>
      <x:c r="J603" s="14"/>
      <x:c r="K603" s="14" t="str">
        <x:v>NEEDS_WINDOW_BINDING</x:v>
      </x:c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  <x:c r="AA603" s="14"/>
      <x:c r="AB603" s="14"/>
      <x:c r="AC603" s="14"/>
      <x:c r="AD603" s="14"/>
      <x:c r="AE603" s="14"/>
      <x:c r="AF603" s="14"/>
      <x:c r="AG603" s="14"/>
      <x:c r="AH603" s="14"/>
      <x:c r="AI603" s="14"/>
      <x:c r="AJ603" s="14"/>
      <x:c r="AK603" s="14"/>
      <x:c r="AL603" s="14"/>
      <x:c r="AM603" s="14"/>
      <x:c r="AN603" s="14"/>
      <x:c r="AO603" s="14"/>
      <x:c r="AP603" s="14"/>
      <x:c r="AQ603" s="14"/>
      <x:c r="AR603" s="14"/>
      <x:c r="AS603" s="14"/>
      <x:c r="AT603" s="14"/>
      <x:c r="AU603" s="14"/>
      <x:c r="AV603" s="14"/>
      <x:c r="AW603" s="14"/>
      <x:c r="AX603" s="14"/>
      <x:c r="AY603" s="14"/>
      <x:c r="AZ603" s="14"/>
      <x:c r="BA603" s="14"/>
      <x:c r="BB603" s="14"/>
      <x:c r="BC603" s="14"/>
      <x:c r="BD603" s="14"/>
      <x:c r="BE603" s="14"/>
      <x:c r="BF603" s="14"/>
      <x:c r="BG603" s="14"/>
      <x:c r="BH603" s="14"/>
      <x:c r="BI603" s="14"/>
      <x:c r="BJ603" s="14"/>
      <x:c r="BK603" s="14"/>
      <x:c r="BL603" s="14"/>
      <x:c r="BM603" s="14"/>
      <x:c r="BN603" s="14"/>
      <x:c r="BO603" s="14"/>
      <x:c r="BP603" s="14"/>
      <x:c r="BQ603" s="14"/>
      <x:c r="BR603" s="14"/>
      <x:c r="BS603" s="14"/>
      <x:c r="BT603" s="14"/>
      <x:c r="BU603" s="14"/>
      <x:c r="BV603" s="14"/>
      <x:c r="BW603" s="14"/>
      <x:c r="BX603" s="14"/>
      <x:c r="BY603" s="14"/>
      <x:c r="BZ603" s="14"/>
      <x:c r="CA603" s="14"/>
      <x:c r="CB603" s="14"/>
      <x:c r="CC603" s="14"/>
      <x:c r="CD603" s="14"/>
      <x:c r="CE603" s="14"/>
    </x:row>
    <x:row r="604">
      <x:c r="A604" s="14" t="n">
        <x:v>603</x:v>
      </x:c>
      <x:c r="B604" s="14"/>
      <x:c r="C604" s="14" t="str">
        <x:v>CHECKING_EVENT</x:v>
      </x:c>
      <x:c r="D604" s="14" t="str">
        <x:v>Exploratory_Checking_611_Positional_Surrogate.xlsx</x:v>
      </x:c>
      <x:c r="E604" s="14"/>
      <x:c r="F604" s="14"/>
      <x:c r="G604" s="14"/>
      <x:c r="H604" s="14"/>
      <x:c r="I604" s="14"/>
      <x:c r="J604" s="14"/>
      <x:c r="K604" s="14" t="str">
        <x:v>NEEDS_WINDOW_BINDING</x:v>
      </x:c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  <x:c r="AA604" s="14"/>
      <x:c r="AB604" s="14"/>
      <x:c r="AC604" s="14"/>
      <x:c r="AD604" s="14"/>
      <x:c r="AE604" s="14"/>
      <x:c r="AF604" s="14"/>
      <x:c r="AG604" s="14"/>
      <x:c r="AH604" s="14"/>
      <x:c r="AI604" s="14"/>
      <x:c r="AJ604" s="14"/>
      <x:c r="AK604" s="14"/>
      <x:c r="AL604" s="14"/>
      <x:c r="AM604" s="14"/>
      <x:c r="AN604" s="14"/>
      <x:c r="AO604" s="14"/>
      <x:c r="AP604" s="14"/>
      <x:c r="AQ604" s="14"/>
      <x:c r="AR604" s="14"/>
      <x:c r="AS604" s="14"/>
      <x:c r="AT604" s="14"/>
      <x:c r="AU604" s="14"/>
      <x:c r="AV604" s="14"/>
      <x:c r="AW604" s="14"/>
      <x:c r="AX604" s="14"/>
      <x:c r="AY604" s="14"/>
      <x:c r="AZ604" s="14"/>
      <x:c r="BA604" s="14"/>
      <x:c r="BB604" s="14"/>
      <x:c r="BC604" s="14"/>
      <x:c r="BD604" s="14"/>
      <x:c r="BE604" s="14"/>
      <x:c r="BF604" s="14"/>
      <x:c r="BG604" s="14"/>
      <x:c r="BH604" s="14"/>
      <x:c r="BI604" s="14"/>
      <x:c r="BJ604" s="14"/>
      <x:c r="BK604" s="14"/>
      <x:c r="BL604" s="14"/>
      <x:c r="BM604" s="14"/>
      <x:c r="BN604" s="14"/>
      <x:c r="BO604" s="14"/>
      <x:c r="BP604" s="14"/>
      <x:c r="BQ604" s="14"/>
      <x:c r="BR604" s="14"/>
      <x:c r="BS604" s="14"/>
      <x:c r="BT604" s="14"/>
      <x:c r="BU604" s="14"/>
      <x:c r="BV604" s="14"/>
      <x:c r="BW604" s="14"/>
      <x:c r="BX604" s="14"/>
      <x:c r="BY604" s="14"/>
      <x:c r="BZ604" s="14"/>
      <x:c r="CA604" s="14"/>
      <x:c r="CB604" s="14"/>
      <x:c r="CC604" s="14"/>
      <x:c r="CD604" s="14"/>
      <x:c r="CE604" s="14"/>
    </x:row>
    <x:row r="605">
      <x:c r="A605" s="14" t="n">
        <x:v>604</x:v>
      </x:c>
      <x:c r="B605" s="14"/>
      <x:c r="C605" s="14" t="str">
        <x:v>CHECKING_EVENT</x:v>
      </x:c>
      <x:c r="D605" s="14" t="str">
        <x:v>Exploratory_Checking_611_Positional_Surrogate.xlsx</x:v>
      </x:c>
      <x:c r="E605" s="14"/>
      <x:c r="F605" s="14"/>
      <x:c r="G605" s="14"/>
      <x:c r="H605" s="14"/>
      <x:c r="I605" s="14"/>
      <x:c r="J605" s="14"/>
      <x:c r="K605" s="14" t="str">
        <x:v>NEEDS_WINDOW_BINDING</x:v>
      </x:c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  <x:c r="AA605" s="14"/>
      <x:c r="AB605" s="14"/>
      <x:c r="AC605" s="14"/>
      <x:c r="AD605" s="14"/>
      <x:c r="AE605" s="14"/>
      <x:c r="AF605" s="14"/>
      <x:c r="AG605" s="14"/>
      <x:c r="AH605" s="14"/>
      <x:c r="AI605" s="14"/>
      <x:c r="AJ605" s="14"/>
      <x:c r="AK605" s="14"/>
      <x:c r="AL605" s="14"/>
      <x:c r="AM605" s="14"/>
      <x:c r="AN605" s="14"/>
      <x:c r="AO605" s="14"/>
      <x:c r="AP605" s="14"/>
      <x:c r="AQ605" s="14"/>
      <x:c r="AR605" s="14"/>
      <x:c r="AS605" s="14"/>
      <x:c r="AT605" s="14"/>
      <x:c r="AU605" s="14"/>
      <x:c r="AV605" s="14"/>
      <x:c r="AW605" s="14"/>
      <x:c r="AX605" s="14"/>
      <x:c r="AY605" s="14"/>
      <x:c r="AZ605" s="14"/>
      <x:c r="BA605" s="14"/>
      <x:c r="BB605" s="14"/>
      <x:c r="BC605" s="14"/>
      <x:c r="BD605" s="14"/>
      <x:c r="BE605" s="14"/>
      <x:c r="BF605" s="14"/>
      <x:c r="BG605" s="14"/>
      <x:c r="BH605" s="14"/>
      <x:c r="BI605" s="14"/>
      <x:c r="BJ605" s="14"/>
      <x:c r="BK605" s="14"/>
      <x:c r="BL605" s="14"/>
      <x:c r="BM605" s="14"/>
      <x:c r="BN605" s="14"/>
      <x:c r="BO605" s="14"/>
      <x:c r="BP605" s="14"/>
      <x:c r="BQ605" s="14"/>
      <x:c r="BR605" s="14"/>
      <x:c r="BS605" s="14"/>
      <x:c r="BT605" s="14"/>
      <x:c r="BU605" s="14"/>
      <x:c r="BV605" s="14"/>
      <x:c r="BW605" s="14"/>
      <x:c r="BX605" s="14"/>
      <x:c r="BY605" s="14"/>
      <x:c r="BZ605" s="14"/>
      <x:c r="CA605" s="14"/>
      <x:c r="CB605" s="14"/>
      <x:c r="CC605" s="14"/>
      <x:c r="CD605" s="14"/>
      <x:c r="CE605" s="14"/>
    </x:row>
    <x:row r="606">
      <x:c r="A606" s="14" t="n">
        <x:v>605</x:v>
      </x:c>
      <x:c r="B606" s="14"/>
      <x:c r="C606" s="14" t="str">
        <x:v>CHECKING_EVENT</x:v>
      </x:c>
      <x:c r="D606" s="14" t="str">
        <x:v>Exploratory_Checking_611_Positional_Surrogate.xlsx</x:v>
      </x:c>
      <x:c r="E606" s="14"/>
      <x:c r="F606" s="14"/>
      <x:c r="G606" s="14"/>
      <x:c r="H606" s="14"/>
      <x:c r="I606" s="14"/>
      <x:c r="J606" s="14"/>
      <x:c r="K606" s="14" t="str">
        <x:v>NEEDS_WINDOW_BINDING</x:v>
      </x:c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  <x:c r="AA606" s="14"/>
      <x:c r="AB606" s="14"/>
      <x:c r="AC606" s="14"/>
      <x:c r="AD606" s="14"/>
      <x:c r="AE606" s="14"/>
      <x:c r="AF606" s="14"/>
      <x:c r="AG606" s="14"/>
      <x:c r="AH606" s="14"/>
      <x:c r="AI606" s="14"/>
      <x:c r="AJ606" s="14"/>
      <x:c r="AK606" s="14"/>
      <x:c r="AL606" s="14"/>
      <x:c r="AM606" s="14"/>
      <x:c r="AN606" s="14"/>
      <x:c r="AO606" s="14"/>
      <x:c r="AP606" s="14"/>
      <x:c r="AQ606" s="14"/>
      <x:c r="AR606" s="14"/>
      <x:c r="AS606" s="14"/>
      <x:c r="AT606" s="14"/>
      <x:c r="AU606" s="14"/>
      <x:c r="AV606" s="14"/>
      <x:c r="AW606" s="14"/>
      <x:c r="AX606" s="14"/>
      <x:c r="AY606" s="14"/>
      <x:c r="AZ606" s="14"/>
      <x:c r="BA606" s="14"/>
      <x:c r="BB606" s="14"/>
      <x:c r="BC606" s="14"/>
      <x:c r="BD606" s="14"/>
      <x:c r="BE606" s="14"/>
      <x:c r="BF606" s="14"/>
      <x:c r="BG606" s="14"/>
      <x:c r="BH606" s="14"/>
      <x:c r="BI606" s="14"/>
      <x:c r="BJ606" s="14"/>
      <x:c r="BK606" s="14"/>
      <x:c r="BL606" s="14"/>
      <x:c r="BM606" s="14"/>
      <x:c r="BN606" s="14"/>
      <x:c r="BO606" s="14"/>
      <x:c r="BP606" s="14"/>
      <x:c r="BQ606" s="14"/>
      <x:c r="BR606" s="14"/>
      <x:c r="BS606" s="14"/>
      <x:c r="BT606" s="14"/>
      <x:c r="BU606" s="14"/>
      <x:c r="BV606" s="14"/>
      <x:c r="BW606" s="14"/>
      <x:c r="BX606" s="14"/>
      <x:c r="BY606" s="14"/>
      <x:c r="BZ606" s="14"/>
      <x:c r="CA606" s="14"/>
      <x:c r="CB606" s="14"/>
      <x:c r="CC606" s="14"/>
      <x:c r="CD606" s="14"/>
      <x:c r="CE606" s="14"/>
    </x:row>
    <x:row r="607">
      <x:c r="A607" s="14" t="n">
        <x:v>606</x:v>
      </x:c>
      <x:c r="B607" s="14"/>
      <x:c r="C607" s="14" t="str">
        <x:v>CHECKING_EVENT</x:v>
      </x:c>
      <x:c r="D607" s="14" t="str">
        <x:v>Exploratory_Checking_611_Positional_Surrogate.xlsx</x:v>
      </x:c>
      <x:c r="E607" s="14"/>
      <x:c r="F607" s="14"/>
      <x:c r="G607" s="14"/>
      <x:c r="H607" s="14"/>
      <x:c r="I607" s="14"/>
      <x:c r="J607" s="14"/>
      <x:c r="K607" s="14" t="str">
        <x:v>NEEDS_WINDOW_BINDING</x:v>
      </x:c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  <x:c r="AA607" s="14"/>
      <x:c r="AB607" s="14"/>
      <x:c r="AC607" s="14"/>
      <x:c r="AD607" s="14"/>
      <x:c r="AE607" s="14"/>
      <x:c r="AF607" s="14"/>
      <x:c r="AG607" s="14"/>
      <x:c r="AH607" s="14"/>
      <x:c r="AI607" s="14"/>
      <x:c r="AJ607" s="14"/>
      <x:c r="AK607" s="14"/>
      <x:c r="AL607" s="14"/>
      <x:c r="AM607" s="14"/>
      <x:c r="AN607" s="14"/>
      <x:c r="AO607" s="14"/>
      <x:c r="AP607" s="14"/>
      <x:c r="AQ607" s="14"/>
      <x:c r="AR607" s="14"/>
      <x:c r="AS607" s="14"/>
      <x:c r="AT607" s="14"/>
      <x:c r="AU607" s="14"/>
      <x:c r="AV607" s="14"/>
      <x:c r="AW607" s="14"/>
      <x:c r="AX607" s="14"/>
      <x:c r="AY607" s="14"/>
      <x:c r="AZ607" s="14"/>
      <x:c r="BA607" s="14"/>
      <x:c r="BB607" s="14"/>
      <x:c r="BC607" s="14"/>
      <x:c r="BD607" s="14"/>
      <x:c r="BE607" s="14"/>
      <x:c r="BF607" s="14"/>
      <x:c r="BG607" s="14"/>
      <x:c r="BH607" s="14"/>
      <x:c r="BI607" s="14"/>
      <x:c r="BJ607" s="14"/>
      <x:c r="BK607" s="14"/>
      <x:c r="BL607" s="14"/>
      <x:c r="BM607" s="14"/>
      <x:c r="BN607" s="14"/>
      <x:c r="BO607" s="14"/>
      <x:c r="BP607" s="14"/>
      <x:c r="BQ607" s="14"/>
      <x:c r="BR607" s="14"/>
      <x:c r="BS607" s="14"/>
      <x:c r="BT607" s="14"/>
      <x:c r="BU607" s="14"/>
      <x:c r="BV607" s="14"/>
      <x:c r="BW607" s="14"/>
      <x:c r="BX607" s="14"/>
      <x:c r="BY607" s="14"/>
      <x:c r="BZ607" s="14"/>
      <x:c r="CA607" s="14"/>
      <x:c r="CB607" s="14"/>
      <x:c r="CC607" s="14"/>
      <x:c r="CD607" s="14"/>
      <x:c r="CE607" s="14"/>
    </x:row>
    <x:row r="608">
      <x:c r="A608" s="14" t="n">
        <x:v>607</x:v>
      </x:c>
      <x:c r="B608" s="14"/>
      <x:c r="C608" s="14" t="str">
        <x:v>CHECKING_EVENT</x:v>
      </x:c>
      <x:c r="D608" s="14" t="str">
        <x:v>Exploratory_Checking_611_Positional_Surrogate.xlsx</x:v>
      </x:c>
      <x:c r="E608" s="14"/>
      <x:c r="F608" s="14"/>
      <x:c r="G608" s="14"/>
      <x:c r="H608" s="14"/>
      <x:c r="I608" s="14"/>
      <x:c r="J608" s="14"/>
      <x:c r="K608" s="14" t="str">
        <x:v>NEEDS_WINDOW_BINDING</x:v>
      </x:c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  <x:c r="AA608" s="14"/>
      <x:c r="AB608" s="14"/>
      <x:c r="AC608" s="14"/>
      <x:c r="AD608" s="14"/>
      <x:c r="AE608" s="14"/>
      <x:c r="AF608" s="14"/>
      <x:c r="AG608" s="14"/>
      <x:c r="AH608" s="14"/>
      <x:c r="AI608" s="14"/>
      <x:c r="AJ608" s="14"/>
      <x:c r="AK608" s="14"/>
      <x:c r="AL608" s="14"/>
      <x:c r="AM608" s="14"/>
      <x:c r="AN608" s="14"/>
      <x:c r="AO608" s="14"/>
      <x:c r="AP608" s="14"/>
      <x:c r="AQ608" s="14"/>
      <x:c r="AR608" s="14"/>
      <x:c r="AS608" s="14"/>
      <x:c r="AT608" s="14"/>
      <x:c r="AU608" s="14"/>
      <x:c r="AV608" s="14"/>
      <x:c r="AW608" s="14"/>
      <x:c r="AX608" s="14"/>
      <x:c r="AY608" s="14"/>
      <x:c r="AZ608" s="14"/>
      <x:c r="BA608" s="14"/>
      <x:c r="BB608" s="14"/>
      <x:c r="BC608" s="14"/>
      <x:c r="BD608" s="14"/>
      <x:c r="BE608" s="14"/>
      <x:c r="BF608" s="14"/>
      <x:c r="BG608" s="14"/>
      <x:c r="BH608" s="14"/>
      <x:c r="BI608" s="14"/>
      <x:c r="BJ608" s="14"/>
      <x:c r="BK608" s="14"/>
      <x:c r="BL608" s="14"/>
      <x:c r="BM608" s="14"/>
      <x:c r="BN608" s="14"/>
      <x:c r="BO608" s="14"/>
      <x:c r="BP608" s="14"/>
      <x:c r="BQ608" s="14"/>
      <x:c r="BR608" s="14"/>
      <x:c r="BS608" s="14"/>
      <x:c r="BT608" s="14"/>
      <x:c r="BU608" s="14"/>
      <x:c r="BV608" s="14"/>
      <x:c r="BW608" s="14"/>
      <x:c r="BX608" s="14"/>
      <x:c r="BY608" s="14"/>
      <x:c r="BZ608" s="14"/>
      <x:c r="CA608" s="14"/>
      <x:c r="CB608" s="14"/>
      <x:c r="CC608" s="14"/>
      <x:c r="CD608" s="14"/>
      <x:c r="CE608" s="14"/>
    </x:row>
    <x:row r="609">
      <x:c r="A609" s="14" t="n">
        <x:v>608</x:v>
      </x:c>
      <x:c r="B609" s="14"/>
      <x:c r="C609" s="14" t="str">
        <x:v>CHECKING_EVENT</x:v>
      </x:c>
      <x:c r="D609" s="14" t="str">
        <x:v>Exploratory_Checking_611_Positional_Surrogate.xlsx</x:v>
      </x:c>
      <x:c r="E609" s="14"/>
      <x:c r="F609" s="14"/>
      <x:c r="G609" s="14"/>
      <x:c r="H609" s="14"/>
      <x:c r="I609" s="14"/>
      <x:c r="J609" s="14"/>
      <x:c r="K609" s="14" t="str">
        <x:v>NEEDS_WINDOW_BINDING</x:v>
      </x:c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  <x:c r="AA609" s="14"/>
      <x:c r="AB609" s="14"/>
      <x:c r="AC609" s="14"/>
      <x:c r="AD609" s="14"/>
      <x:c r="AE609" s="14"/>
      <x:c r="AF609" s="14"/>
      <x:c r="AG609" s="14"/>
      <x:c r="AH609" s="14"/>
      <x:c r="AI609" s="14"/>
      <x:c r="AJ609" s="14"/>
      <x:c r="AK609" s="14"/>
      <x:c r="AL609" s="14"/>
      <x:c r="AM609" s="14"/>
      <x:c r="AN609" s="14"/>
      <x:c r="AO609" s="14"/>
      <x:c r="AP609" s="14"/>
      <x:c r="AQ609" s="14"/>
      <x:c r="AR609" s="14"/>
      <x:c r="AS609" s="14"/>
      <x:c r="AT609" s="14"/>
      <x:c r="AU609" s="14"/>
      <x:c r="AV609" s="14"/>
      <x:c r="AW609" s="14"/>
      <x:c r="AX609" s="14"/>
      <x:c r="AY609" s="14"/>
      <x:c r="AZ609" s="14"/>
      <x:c r="BA609" s="14"/>
      <x:c r="BB609" s="14"/>
      <x:c r="BC609" s="14"/>
      <x:c r="BD609" s="14"/>
      <x:c r="BE609" s="14"/>
      <x:c r="BF609" s="14"/>
      <x:c r="BG609" s="14"/>
      <x:c r="BH609" s="14"/>
      <x:c r="BI609" s="14"/>
      <x:c r="BJ609" s="14"/>
      <x:c r="BK609" s="14"/>
      <x:c r="BL609" s="14"/>
      <x:c r="BM609" s="14"/>
      <x:c r="BN609" s="14"/>
      <x:c r="BO609" s="14"/>
      <x:c r="BP609" s="14"/>
      <x:c r="BQ609" s="14"/>
      <x:c r="BR609" s="14"/>
      <x:c r="BS609" s="14"/>
      <x:c r="BT609" s="14"/>
      <x:c r="BU609" s="14"/>
      <x:c r="BV609" s="14"/>
      <x:c r="BW609" s="14"/>
      <x:c r="BX609" s="14"/>
      <x:c r="BY609" s="14"/>
      <x:c r="BZ609" s="14"/>
      <x:c r="CA609" s="14"/>
      <x:c r="CB609" s="14"/>
      <x:c r="CC609" s="14"/>
      <x:c r="CD609" s="14"/>
      <x:c r="CE609" s="14"/>
    </x:row>
    <x:row r="610">
      <x:c r="A610" s="14" t="n">
        <x:v>609</x:v>
      </x:c>
      <x:c r="B610" s="14"/>
      <x:c r="C610" s="14" t="str">
        <x:v>CHECKING_EVENT</x:v>
      </x:c>
      <x:c r="D610" s="14" t="str">
        <x:v>Exploratory_Checking_611_Positional_Surrogate.xlsx</x:v>
      </x:c>
      <x:c r="E610" s="14"/>
      <x:c r="F610" s="14"/>
      <x:c r="G610" s="14"/>
      <x:c r="H610" s="14"/>
      <x:c r="I610" s="14"/>
      <x:c r="J610" s="14"/>
      <x:c r="K610" s="14" t="str">
        <x:v>NEEDS_WINDOW_BINDING</x:v>
      </x:c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  <x:c r="AA610" s="14"/>
      <x:c r="AB610" s="14"/>
      <x:c r="AC610" s="14"/>
      <x:c r="AD610" s="14"/>
      <x:c r="AE610" s="14"/>
      <x:c r="AF610" s="14"/>
      <x:c r="AG610" s="14"/>
      <x:c r="AH610" s="14"/>
      <x:c r="AI610" s="14"/>
      <x:c r="AJ610" s="14"/>
      <x:c r="AK610" s="14"/>
      <x:c r="AL610" s="14"/>
      <x:c r="AM610" s="14"/>
      <x:c r="AN610" s="14"/>
      <x:c r="AO610" s="14"/>
      <x:c r="AP610" s="14"/>
      <x:c r="AQ610" s="14"/>
      <x:c r="AR610" s="14"/>
      <x:c r="AS610" s="14"/>
      <x:c r="AT610" s="14"/>
      <x:c r="AU610" s="14"/>
      <x:c r="AV610" s="14"/>
      <x:c r="AW610" s="14"/>
      <x:c r="AX610" s="14"/>
      <x:c r="AY610" s="14"/>
      <x:c r="AZ610" s="14"/>
      <x:c r="BA610" s="14"/>
      <x:c r="BB610" s="14"/>
      <x:c r="BC610" s="14"/>
      <x:c r="BD610" s="14"/>
      <x:c r="BE610" s="14"/>
      <x:c r="BF610" s="14"/>
      <x:c r="BG610" s="14"/>
      <x:c r="BH610" s="14"/>
      <x:c r="BI610" s="14"/>
      <x:c r="BJ610" s="14"/>
      <x:c r="BK610" s="14"/>
      <x:c r="BL610" s="14"/>
      <x:c r="BM610" s="14"/>
      <x:c r="BN610" s="14"/>
      <x:c r="BO610" s="14"/>
      <x:c r="BP610" s="14"/>
      <x:c r="BQ610" s="14"/>
      <x:c r="BR610" s="14"/>
      <x:c r="BS610" s="14"/>
      <x:c r="BT610" s="14"/>
      <x:c r="BU610" s="14"/>
      <x:c r="BV610" s="14"/>
      <x:c r="BW610" s="14"/>
      <x:c r="BX610" s="14"/>
      <x:c r="BY610" s="14"/>
      <x:c r="BZ610" s="14"/>
      <x:c r="CA610" s="14"/>
      <x:c r="CB610" s="14"/>
      <x:c r="CC610" s="14"/>
      <x:c r="CD610" s="14"/>
      <x:c r="CE610" s="14"/>
    </x:row>
    <x:row r="611">
      <x:c r="A611" s="14" t="n">
        <x:v>610</x:v>
      </x:c>
      <x:c r="B611" s="14"/>
      <x:c r="C611" s="14" t="str">
        <x:v>CHECKING_EVENT</x:v>
      </x:c>
      <x:c r="D611" s="14" t="str">
        <x:v>Exploratory_Checking_611_Positional_Surrogate.xlsx</x:v>
      </x:c>
      <x:c r="E611" s="14"/>
      <x:c r="F611" s="14"/>
      <x:c r="G611" s="14"/>
      <x:c r="H611" s="14"/>
      <x:c r="I611" s="14"/>
      <x:c r="J611" s="14"/>
      <x:c r="K611" s="14" t="str">
        <x:v>NEEDS_WINDOW_BINDING</x:v>
      </x:c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  <x:c r="AA611" s="14"/>
      <x:c r="AB611" s="14"/>
      <x:c r="AC611" s="14"/>
      <x:c r="AD611" s="14"/>
      <x:c r="AE611" s="14"/>
      <x:c r="AF611" s="14"/>
      <x:c r="AG611" s="14"/>
      <x:c r="AH611" s="14"/>
      <x:c r="AI611" s="14"/>
      <x:c r="AJ611" s="14"/>
      <x:c r="AK611" s="14"/>
      <x:c r="AL611" s="14"/>
      <x:c r="AM611" s="14"/>
      <x:c r="AN611" s="14"/>
      <x:c r="AO611" s="14"/>
      <x:c r="AP611" s="14"/>
      <x:c r="AQ611" s="14"/>
      <x:c r="AR611" s="14"/>
      <x:c r="AS611" s="14"/>
      <x:c r="AT611" s="14"/>
      <x:c r="AU611" s="14"/>
      <x:c r="AV611" s="14"/>
      <x:c r="AW611" s="14"/>
      <x:c r="AX611" s="14"/>
      <x:c r="AY611" s="14"/>
      <x:c r="AZ611" s="14"/>
      <x:c r="BA611" s="14"/>
      <x:c r="BB611" s="14"/>
      <x:c r="BC611" s="14"/>
      <x:c r="BD611" s="14"/>
      <x:c r="BE611" s="14"/>
      <x:c r="BF611" s="14"/>
      <x:c r="BG611" s="14"/>
      <x:c r="BH611" s="14"/>
      <x:c r="BI611" s="14"/>
      <x:c r="BJ611" s="14"/>
      <x:c r="BK611" s="14"/>
      <x:c r="BL611" s="14"/>
      <x:c r="BM611" s="14"/>
      <x:c r="BN611" s="14"/>
      <x:c r="BO611" s="14"/>
      <x:c r="BP611" s="14"/>
      <x:c r="BQ611" s="14"/>
      <x:c r="BR611" s="14"/>
      <x:c r="BS611" s="14"/>
      <x:c r="BT611" s="14"/>
      <x:c r="BU611" s="14"/>
      <x:c r="BV611" s="14"/>
      <x:c r="BW611" s="14"/>
      <x:c r="BX611" s="14"/>
      <x:c r="BY611" s="14"/>
      <x:c r="BZ611" s="14"/>
      <x:c r="CA611" s="14"/>
      <x:c r="CB611" s="14"/>
      <x:c r="CC611" s="14"/>
      <x:c r="CD611" s="14"/>
      <x:c r="CE611" s="14"/>
    </x:row>
    <x:row r="612">
      <x:c r="A612" s="14" t="n">
        <x:v>611</x:v>
      </x:c>
      <x:c r="B612" s="14"/>
      <x:c r="C612" s="14" t="str">
        <x:v>CHECKING_EVENT</x:v>
      </x:c>
      <x:c r="D612" s="14" t="str">
        <x:v>Exploratory_Checking_611_Positional_Surrogate.xlsx</x:v>
      </x:c>
      <x:c r="E612" s="14"/>
      <x:c r="F612" s="14"/>
      <x:c r="G612" s="14"/>
      <x:c r="H612" s="14"/>
      <x:c r="I612" s="14"/>
      <x:c r="J612" s="14"/>
      <x:c r="K612" s="14" t="str">
        <x:v>NEEDS_WINDOW_BINDING</x:v>
      </x:c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  <x:c r="AA612" s="14"/>
      <x:c r="AB612" s="14"/>
      <x:c r="AC612" s="14"/>
      <x:c r="AD612" s="14"/>
      <x:c r="AE612" s="14"/>
      <x:c r="AF612" s="14"/>
      <x:c r="AG612" s="14"/>
      <x:c r="AH612" s="14"/>
      <x:c r="AI612" s="14"/>
      <x:c r="AJ612" s="14"/>
      <x:c r="AK612" s="14"/>
      <x:c r="AL612" s="14"/>
      <x:c r="AM612" s="14"/>
      <x:c r="AN612" s="14"/>
      <x:c r="AO612" s="14"/>
      <x:c r="AP612" s="14"/>
      <x:c r="AQ612" s="14"/>
      <x:c r="AR612" s="14"/>
      <x:c r="AS612" s="14"/>
      <x:c r="AT612" s="14"/>
      <x:c r="AU612" s="14"/>
      <x:c r="AV612" s="14"/>
      <x:c r="AW612" s="14"/>
      <x:c r="AX612" s="14"/>
      <x:c r="AY612" s="14"/>
      <x:c r="AZ612" s="14"/>
      <x:c r="BA612" s="14"/>
      <x:c r="BB612" s="14"/>
      <x:c r="BC612" s="14"/>
      <x:c r="BD612" s="14"/>
      <x:c r="BE612" s="14"/>
      <x:c r="BF612" s="14"/>
      <x:c r="BG612" s="14"/>
      <x:c r="BH612" s="14"/>
      <x:c r="BI612" s="14"/>
      <x:c r="BJ612" s="14"/>
      <x:c r="BK612" s="14"/>
      <x:c r="BL612" s="14"/>
      <x:c r="BM612" s="14"/>
      <x:c r="BN612" s="14"/>
      <x:c r="BO612" s="14"/>
      <x:c r="BP612" s="14"/>
      <x:c r="BQ612" s="14"/>
      <x:c r="BR612" s="14"/>
      <x:c r="BS612" s="14"/>
      <x:c r="BT612" s="14"/>
      <x:c r="BU612" s="14"/>
      <x:c r="BV612" s="14"/>
      <x:c r="BW612" s="14"/>
      <x:c r="BX612" s="14"/>
      <x:c r="BY612" s="14"/>
      <x:c r="BZ612" s="14"/>
      <x:c r="CA612" s="14"/>
      <x:c r="CB612" s="14"/>
      <x:c r="CC612" s="14"/>
      <x:c r="CD612" s="14"/>
      <x:c r="CE612" s="14"/>
    </x:row>
  </x:sheetData>
  <x:conditionalFormatting sqref="CD2:CD612">
    <x:cfRule type="expression" dxfId="0" priority="1">
      <x:formula>CD2="YES"</x:formula>
    </x:cfRule>
  </x:conditionalFormatting>
  <x:dataValidations count="13">
    <x:dataValidation type="list" sqref="W2:AF612">
      <x:formula1>"0,1,UNKNOWN"</x:formula1>
    </x:dataValidation>
    <x:dataValidation type="list" sqref="AG2:AK612">
      <x:formula1>"0,1,UNKNOWN"</x:formula1>
    </x:dataValidation>
    <x:dataValidation type="list" sqref="AL2:AP612">
      <x:formula1>"0,1,UNKNOWN"</x:formula1>
    </x:dataValidation>
    <x:dataValidation type="list" sqref="AQ2:AW612">
      <x:formula1>"0,1,UNKNOWN"</x:formula1>
    </x:dataValidation>
    <x:dataValidation type="list" sqref="AZ2:BF612">
      <x:formula1>"0,1,UNKNOWN"</x:formula1>
    </x:dataValidation>
    <x:dataValidation type="list" sqref="BG2:BK612">
      <x:formula1>"0,1,UNKNOWN"</x:formula1>
    </x:dataValidation>
    <x:dataValidation type="list" sqref="BL2:BZ612">
      <x:formula1>"0,1,UNKNOWN"</x:formula1>
    </x:dataValidation>
    <x:dataValidation type="list" sqref="C2:C612">
      <x:formula1>"CHECKING_EVENT,NONCHECKING_INTERPOSITION_EVENT,MATCHED_CONTROL,OTHER_ELIGIBLE"</x:formula1>
    </x:dataValidation>
    <x:dataValidation type="list" sqref="K2:K612">
      <x:formula1>"FULL,PARTIAL,NEEDS_WINDOW_BINDING"</x:formula1>
    </x:dataValidation>
    <x:dataValidation type="list" sqref="V2:V612">
      <x:formula1>"ANALYZE,EXPLAIN,VERIFY,COMPARE,CRITIQUE,TRACE_SOURCE,CLASSIFY,GENERATE,EDIT,META_CORRECT,OTHER"</x:formula1>
    </x:dataValidation>
    <x:dataValidation type="list" sqref="AX2:AX612">
      <x:formula1>"0,1,2,3PLUS,UNKNOWN"</x:formula1>
    </x:dataValidation>
    <x:dataValidation type="list" sqref="AY2:AY612">
      <x:formula1>"NONE,PROPOSITION_MANUFACTURE,WITNESS_CHANGE,CONTEXT_DELETION,PROCEDURE_SUBSTITUTION,SOURCE_SUBSTITUTION,OTHER,UNKNOWN"</x:formula1>
    </x:dataValidation>
    <x:dataValidation type="list" sqref="CD2:CD612">
      <x:formula1>"YES,NO,UNKNOWN"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5" max="5" width="60" hidden="0" customWidth="1"/>
    <x:col min="22" max="22" width="48" hidden="0" customWidth="1"/>
  </x:cols>
  <x:sheetData>
    <x:row r="1">
      <x:c r="A1" s="30" t="str">
        <x:v>ledger_row</x:v>
      </x:c>
      <x:c r="B1" s="30" t="str">
        <x:v>event_id</x:v>
      </x:c>
      <x:c r="C1" s="30" t="str">
        <x:v>case_id</x:v>
      </x:c>
      <x:c r="D1" s="30" t="str">
        <x:v>A0_node_ids</x:v>
      </x:c>
      <x:c r="E1" s="30" t="str">
        <x:v>A0_text</x:v>
      </x:c>
      <x:c r="F1" s="30" t="str">
        <x:v>checking_marker</x:v>
      </x:c>
      <x:c r="G1" s="30" t="str">
        <x:v>marker_mode</x:v>
      </x:c>
      <x:c r="H1" s="30" t="str">
        <x:v>interrupted</x:v>
      </x:c>
      <x:c r="I1" s="30" t="str">
        <x:v>interposition</x:v>
      </x:c>
      <x:c r="J1" s="30" t="str">
        <x:v>interposition_type</x:v>
      </x:c>
      <x:c r="K1" s="30" t="str">
        <x:v>original_answer_survives</x:v>
      </x:c>
      <x:c r="L1" s="30" t="str">
        <x:v>evidence_engaged</x:v>
      </x:c>
      <x:c r="M1" s="30" t="str">
        <x:v>task_preserved</x:v>
      </x:c>
      <x:c r="N1" s="30" t="str">
        <x:v>proposition_preserved</x:v>
      </x:c>
      <x:c r="O1" s="30" t="str">
        <x:v>source_preserved</x:v>
      </x:c>
      <x:c r="P1" s="30" t="str">
        <x:v>caution_or_safety_task_substitution</x:v>
      </x:c>
      <x:c r="Q1" s="30" t="str">
        <x:v>refusal_substitute</x:v>
      </x:c>
      <x:c r="R1" s="30" t="str">
        <x:v>source_substitution</x:v>
      </x:c>
      <x:c r="S1" s="30" t="str">
        <x:v>primary_analysis_eligible</x:v>
      </x:c>
      <x:c r="T1" s="30" t="str">
        <x:v>outcome_coder</x:v>
      </x:c>
      <x:c r="U1" s="30" t="str">
        <x:v>outcome_coded_at</x:v>
      </x:c>
      <x:c r="V1" s="30" t="str">
        <x:v>outcome_notes</x:v>
      </x:c>
    </x:row>
    <x:row r="2">
      <x:c r="A2" s="14" t="n">
        <x:v>1</x:v>
      </x:c>
      <x:c r="B2" s="14"/>
      <x:c r="C2" s="14"/>
      <x:c r="D2" s="14"/>
      <x:c r="E2" s="14"/>
      <x:c r="F2" s="14" t="str">
        <x:v>YES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 t="str">
        <x:v>NO</x:v>
      </x:c>
      <x:c r="T2" s="14"/>
      <x:c r="U2" s="14"/>
      <x:c r="V2" s="14"/>
    </x:row>
    <x:row r="3">
      <x:c r="A3" s="14" t="n">
        <x:v>2</x:v>
      </x:c>
      <x:c r="B3" s="14"/>
      <x:c r="C3" s="14"/>
      <x:c r="D3" s="14"/>
      <x:c r="E3" s="14"/>
      <x:c r="F3" s="14" t="str">
        <x:v>YES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 t="str">
        <x:v>NO</x:v>
      </x:c>
      <x:c r="T3" s="14"/>
      <x:c r="U3" s="14"/>
      <x:c r="V3" s="14"/>
    </x:row>
    <x:row r="4">
      <x:c r="A4" s="14" t="n">
        <x:v>3</x:v>
      </x:c>
      <x:c r="B4" s="14"/>
      <x:c r="C4" s="14"/>
      <x:c r="D4" s="14"/>
      <x:c r="E4" s="14"/>
      <x:c r="F4" s="14" t="str">
        <x:v>YES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 t="str">
        <x:v>NO</x:v>
      </x:c>
      <x:c r="T4" s="14"/>
      <x:c r="U4" s="14"/>
      <x:c r="V4" s="14"/>
    </x:row>
    <x:row r="5">
      <x:c r="A5" s="14" t="n">
        <x:v>4</x:v>
      </x:c>
      <x:c r="B5" s="14"/>
      <x:c r="C5" s="14"/>
      <x:c r="D5" s="14"/>
      <x:c r="E5" s="14"/>
      <x:c r="F5" s="14" t="str">
        <x:v>YES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 t="str">
        <x:v>NO</x:v>
      </x:c>
      <x:c r="T5" s="14"/>
      <x:c r="U5" s="14"/>
      <x:c r="V5" s="14"/>
    </x:row>
    <x:row r="6">
      <x:c r="A6" s="14" t="n">
        <x:v>5</x:v>
      </x:c>
      <x:c r="B6" s="14"/>
      <x:c r="C6" s="14"/>
      <x:c r="D6" s="14"/>
      <x:c r="E6" s="14"/>
      <x:c r="F6" s="14" t="str">
        <x:v>YES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 t="str">
        <x:v>NO</x:v>
      </x:c>
      <x:c r="T6" s="14"/>
      <x:c r="U6" s="14"/>
      <x:c r="V6" s="14"/>
    </x:row>
    <x:row r="7">
      <x:c r="A7" s="14" t="n">
        <x:v>6</x:v>
      </x:c>
      <x:c r="B7" s="14"/>
      <x:c r="C7" s="14"/>
      <x:c r="D7" s="14"/>
      <x:c r="E7" s="14"/>
      <x:c r="F7" s="14" t="str">
        <x:v>YES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 t="str">
        <x:v>NO</x:v>
      </x:c>
      <x:c r="T7" s="14"/>
      <x:c r="U7" s="14"/>
      <x:c r="V7" s="14"/>
    </x:row>
    <x:row r="8">
      <x:c r="A8" s="14" t="n">
        <x:v>7</x:v>
      </x:c>
      <x:c r="B8" s="14"/>
      <x:c r="C8" s="14"/>
      <x:c r="D8" s="14"/>
      <x:c r="E8" s="14"/>
      <x:c r="F8" s="14" t="str">
        <x:v>YES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 t="str">
        <x:v>NO</x:v>
      </x:c>
      <x:c r="T8" s="14"/>
      <x:c r="U8" s="14"/>
      <x:c r="V8" s="14"/>
    </x:row>
    <x:row r="9">
      <x:c r="A9" s="14" t="n">
        <x:v>8</x:v>
      </x:c>
      <x:c r="B9" s="14"/>
      <x:c r="C9" s="14"/>
      <x:c r="D9" s="14"/>
      <x:c r="E9" s="14"/>
      <x:c r="F9" s="14" t="str">
        <x:v>YES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 t="str">
        <x:v>NO</x:v>
      </x:c>
      <x:c r="T9" s="14"/>
      <x:c r="U9" s="14"/>
      <x:c r="V9" s="14"/>
    </x:row>
    <x:row r="10">
      <x:c r="A10" s="14" t="n">
        <x:v>9</x:v>
      </x:c>
      <x:c r="B10" s="14"/>
      <x:c r="C10" s="14"/>
      <x:c r="D10" s="14"/>
      <x:c r="E10" s="14"/>
      <x:c r="F10" s="14" t="str">
        <x:v>YES</x:v>
      </x:c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 t="str">
        <x:v>NO</x:v>
      </x:c>
      <x:c r="T10" s="14"/>
      <x:c r="U10" s="14"/>
      <x:c r="V10" s="14"/>
    </x:row>
    <x:row r="11">
      <x:c r="A11" s="14" t="n">
        <x:v>10</x:v>
      </x:c>
      <x:c r="B11" s="14"/>
      <x:c r="C11" s="14"/>
      <x:c r="D11" s="14"/>
      <x:c r="E11" s="14"/>
      <x:c r="F11" s="14" t="str">
        <x:v>YES</x:v>
      </x:c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 t="str">
        <x:v>NO</x:v>
      </x:c>
      <x:c r="T11" s="14"/>
      <x:c r="U11" s="14"/>
      <x:c r="V11" s="14"/>
    </x:row>
    <x:row r="12">
      <x:c r="A12" s="14" t="n">
        <x:v>11</x:v>
      </x:c>
      <x:c r="B12" s="14"/>
      <x:c r="C12" s="14"/>
      <x:c r="D12" s="14"/>
      <x:c r="E12" s="14"/>
      <x:c r="F12" s="14" t="str">
        <x:v>YES</x:v>
      </x:c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 t="str">
        <x:v>NO</x:v>
      </x:c>
      <x:c r="T12" s="14"/>
      <x:c r="U12" s="14"/>
      <x:c r="V12" s="14"/>
    </x:row>
    <x:row r="13">
      <x:c r="A13" s="14" t="n">
        <x:v>12</x:v>
      </x:c>
      <x:c r="B13" s="14"/>
      <x:c r="C13" s="14"/>
      <x:c r="D13" s="14"/>
      <x:c r="E13" s="14"/>
      <x:c r="F13" s="14" t="str">
        <x:v>YES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 t="str">
        <x:v>NO</x:v>
      </x:c>
      <x:c r="T13" s="14"/>
      <x:c r="U13" s="14"/>
      <x:c r="V13" s="14"/>
    </x:row>
    <x:row r="14">
      <x:c r="A14" s="14" t="n">
        <x:v>13</x:v>
      </x:c>
      <x:c r="B14" s="14"/>
      <x:c r="C14" s="14"/>
      <x:c r="D14" s="14"/>
      <x:c r="E14" s="14"/>
      <x:c r="F14" s="14" t="str">
        <x:v>YES</x:v>
      </x:c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 t="str">
        <x:v>NO</x:v>
      </x:c>
      <x:c r="T14" s="14"/>
      <x:c r="U14" s="14"/>
      <x:c r="V14" s="14"/>
    </x:row>
    <x:row r="15">
      <x:c r="A15" s="14" t="n">
        <x:v>14</x:v>
      </x:c>
      <x:c r="B15" s="14"/>
      <x:c r="C15" s="14"/>
      <x:c r="D15" s="14"/>
      <x:c r="E15" s="14"/>
      <x:c r="F15" s="14" t="str">
        <x:v>YES</x:v>
      </x:c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 t="str">
        <x:v>NO</x:v>
      </x:c>
      <x:c r="T15" s="14"/>
      <x:c r="U15" s="14"/>
      <x:c r="V15" s="14"/>
    </x:row>
    <x:row r="16">
      <x:c r="A16" s="14" t="n">
        <x:v>15</x:v>
      </x:c>
      <x:c r="B16" s="14"/>
      <x:c r="C16" s="14"/>
      <x:c r="D16" s="14"/>
      <x:c r="E16" s="14"/>
      <x:c r="F16" s="14" t="str">
        <x:v>YES</x:v>
      </x:c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 t="str">
        <x:v>NO</x:v>
      </x:c>
      <x:c r="T16" s="14"/>
      <x:c r="U16" s="14"/>
      <x:c r="V16" s="14"/>
    </x:row>
    <x:row r="17">
      <x:c r="A17" s="14" t="n">
        <x:v>16</x:v>
      </x:c>
      <x:c r="B17" s="14"/>
      <x:c r="C17" s="14"/>
      <x:c r="D17" s="14"/>
      <x:c r="E17" s="14"/>
      <x:c r="F17" s="14" t="str">
        <x:v>YES</x:v>
      </x:c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 t="str">
        <x:v>NO</x:v>
      </x:c>
      <x:c r="T17" s="14"/>
      <x:c r="U17" s="14"/>
      <x:c r="V17" s="14"/>
    </x:row>
    <x:row r="18">
      <x:c r="A18" s="14" t="n">
        <x:v>17</x:v>
      </x:c>
      <x:c r="B18" s="14"/>
      <x:c r="C18" s="14"/>
      <x:c r="D18" s="14"/>
      <x:c r="E18" s="14"/>
      <x:c r="F18" s="14" t="str">
        <x:v>YES</x:v>
      </x:c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 t="str">
        <x:v>NO</x:v>
      </x:c>
      <x:c r="T18" s="14"/>
      <x:c r="U18" s="14"/>
      <x:c r="V18" s="14"/>
    </x:row>
    <x:row r="19">
      <x:c r="A19" s="14" t="n">
        <x:v>18</x:v>
      </x:c>
      <x:c r="B19" s="14"/>
      <x:c r="C19" s="14"/>
      <x:c r="D19" s="14"/>
      <x:c r="E19" s="14"/>
      <x:c r="F19" s="14" t="str">
        <x:v>YES</x:v>
      </x:c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 t="str">
        <x:v>NO</x:v>
      </x:c>
      <x:c r="T19" s="14"/>
      <x:c r="U19" s="14"/>
      <x:c r="V19" s="14"/>
    </x:row>
    <x:row r="20">
      <x:c r="A20" s="14" t="n">
        <x:v>19</x:v>
      </x:c>
      <x:c r="B20" s="14"/>
      <x:c r="C20" s="14"/>
      <x:c r="D20" s="14"/>
      <x:c r="E20" s="14"/>
      <x:c r="F20" s="14" t="str">
        <x:v>YES</x:v>
      </x:c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 t="str">
        <x:v>NO</x:v>
      </x:c>
      <x:c r="T20" s="14"/>
      <x:c r="U20" s="14"/>
      <x:c r="V20" s="14"/>
    </x:row>
    <x:row r="21">
      <x:c r="A21" s="14" t="n">
        <x:v>20</x:v>
      </x:c>
      <x:c r="B21" s="14"/>
      <x:c r="C21" s="14"/>
      <x:c r="D21" s="14"/>
      <x:c r="E21" s="14"/>
      <x:c r="F21" s="14" t="str">
        <x:v>YES</x:v>
      </x:c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 t="str">
        <x:v>NO</x:v>
      </x:c>
      <x:c r="T21" s="14"/>
      <x:c r="U21" s="14"/>
      <x:c r="V21" s="14"/>
    </x:row>
    <x:row r="22">
      <x:c r="A22" s="14" t="n">
        <x:v>21</x:v>
      </x:c>
      <x:c r="B22" s="14"/>
      <x:c r="C22" s="14"/>
      <x:c r="D22" s="14"/>
      <x:c r="E22" s="14"/>
      <x:c r="F22" s="14" t="str">
        <x:v>YES</x:v>
      </x:c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 t="str">
        <x:v>NO</x:v>
      </x:c>
      <x:c r="T22" s="14"/>
      <x:c r="U22" s="14"/>
      <x:c r="V22" s="14"/>
    </x:row>
    <x:row r="23">
      <x:c r="A23" s="14" t="n">
        <x:v>22</x:v>
      </x:c>
      <x:c r="B23" s="14"/>
      <x:c r="C23" s="14"/>
      <x:c r="D23" s="14"/>
      <x:c r="E23" s="14"/>
      <x:c r="F23" s="14" t="str">
        <x:v>YES</x:v>
      </x:c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 t="str">
        <x:v>NO</x:v>
      </x:c>
      <x:c r="T23" s="14"/>
      <x:c r="U23" s="14"/>
      <x:c r="V23" s="14"/>
    </x:row>
    <x:row r="24">
      <x:c r="A24" s="14" t="n">
        <x:v>23</x:v>
      </x:c>
      <x:c r="B24" s="14"/>
      <x:c r="C24" s="14"/>
      <x:c r="D24" s="14"/>
      <x:c r="E24" s="14"/>
      <x:c r="F24" s="14" t="str">
        <x:v>YES</x:v>
      </x:c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 t="str">
        <x:v>NO</x:v>
      </x:c>
      <x:c r="T24" s="14"/>
      <x:c r="U24" s="14"/>
      <x:c r="V24" s="14"/>
    </x:row>
    <x:row r="25">
      <x:c r="A25" s="14" t="n">
        <x:v>24</x:v>
      </x:c>
      <x:c r="B25" s="14"/>
      <x:c r="C25" s="14"/>
      <x:c r="D25" s="14"/>
      <x:c r="E25" s="14"/>
      <x:c r="F25" s="14" t="str">
        <x:v>YES</x:v>
      </x:c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 t="str">
        <x:v>NO</x:v>
      </x:c>
      <x:c r="T25" s="14"/>
      <x:c r="U25" s="14"/>
      <x:c r="V25" s="14"/>
    </x:row>
    <x:row r="26">
      <x:c r="A26" s="14" t="n">
        <x:v>25</x:v>
      </x:c>
      <x:c r="B26" s="14"/>
      <x:c r="C26" s="14"/>
      <x:c r="D26" s="14"/>
      <x:c r="E26" s="14"/>
      <x:c r="F26" s="14" t="str">
        <x:v>YES</x:v>
      </x:c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 t="str">
        <x:v>NO</x:v>
      </x:c>
      <x:c r="T26" s="14"/>
      <x:c r="U26" s="14"/>
      <x:c r="V26" s="14"/>
    </x:row>
    <x:row r="27">
      <x:c r="A27" s="14" t="n">
        <x:v>26</x:v>
      </x:c>
      <x:c r="B27" s="14"/>
      <x:c r="C27" s="14"/>
      <x:c r="D27" s="14"/>
      <x:c r="E27" s="14"/>
      <x:c r="F27" s="14" t="str">
        <x:v>YES</x:v>
      </x:c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 t="str">
        <x:v>NO</x:v>
      </x:c>
      <x:c r="T27" s="14"/>
      <x:c r="U27" s="14"/>
      <x:c r="V27" s="14"/>
    </x:row>
    <x:row r="28">
      <x:c r="A28" s="14" t="n">
        <x:v>27</x:v>
      </x:c>
      <x:c r="B28" s="14"/>
      <x:c r="C28" s="14"/>
      <x:c r="D28" s="14"/>
      <x:c r="E28" s="14"/>
      <x:c r="F28" s="14" t="str">
        <x:v>YES</x:v>
      </x:c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 t="str">
        <x:v>NO</x:v>
      </x:c>
      <x:c r="T28" s="14"/>
      <x:c r="U28" s="14"/>
      <x:c r="V28" s="14"/>
    </x:row>
    <x:row r="29">
      <x:c r="A29" s="14" t="n">
        <x:v>28</x:v>
      </x:c>
      <x:c r="B29" s="14"/>
      <x:c r="C29" s="14"/>
      <x:c r="D29" s="14"/>
      <x:c r="E29" s="14"/>
      <x:c r="F29" s="14" t="str">
        <x:v>YES</x:v>
      </x:c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 t="str">
        <x:v>NO</x:v>
      </x:c>
      <x:c r="T29" s="14"/>
      <x:c r="U29" s="14"/>
      <x:c r="V29" s="14"/>
    </x:row>
    <x:row r="30">
      <x:c r="A30" s="14" t="n">
        <x:v>29</x:v>
      </x:c>
      <x:c r="B30" s="14"/>
      <x:c r="C30" s="14"/>
      <x:c r="D30" s="14"/>
      <x:c r="E30" s="14"/>
      <x:c r="F30" s="14" t="str">
        <x:v>YES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 t="str">
        <x:v>NO</x:v>
      </x:c>
      <x:c r="T30" s="14"/>
      <x:c r="U30" s="14"/>
      <x:c r="V30" s="14"/>
    </x:row>
    <x:row r="31">
      <x:c r="A31" s="14" t="n">
        <x:v>30</x:v>
      </x:c>
      <x:c r="B31" s="14"/>
      <x:c r="C31" s="14"/>
      <x:c r="D31" s="14"/>
      <x:c r="E31" s="14"/>
      <x:c r="F31" s="14" t="str">
        <x:v>YES</x:v>
      </x:c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 t="str">
        <x:v>NO</x:v>
      </x:c>
      <x:c r="T31" s="14"/>
      <x:c r="U31" s="14"/>
      <x:c r="V31" s="14"/>
    </x:row>
    <x:row r="32">
      <x:c r="A32" s="14" t="n">
        <x:v>31</x:v>
      </x:c>
      <x:c r="B32" s="14"/>
      <x:c r="C32" s="14"/>
      <x:c r="D32" s="14"/>
      <x:c r="E32" s="14"/>
      <x:c r="F32" s="14" t="str">
        <x:v>YES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 t="str">
        <x:v>NO</x:v>
      </x:c>
      <x:c r="T32" s="14"/>
      <x:c r="U32" s="14"/>
      <x:c r="V32" s="14"/>
    </x:row>
    <x:row r="33">
      <x:c r="A33" s="14" t="n">
        <x:v>32</x:v>
      </x:c>
      <x:c r="B33" s="14"/>
      <x:c r="C33" s="14"/>
      <x:c r="D33" s="14"/>
      <x:c r="E33" s="14"/>
      <x:c r="F33" s="14" t="str">
        <x:v>YES</x:v>
      </x:c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 t="str">
        <x:v>NO</x:v>
      </x:c>
      <x:c r="T33" s="14"/>
      <x:c r="U33" s="14"/>
      <x:c r="V33" s="14"/>
    </x:row>
    <x:row r="34">
      <x:c r="A34" s="14" t="n">
        <x:v>33</x:v>
      </x:c>
      <x:c r="B34" s="14"/>
      <x:c r="C34" s="14"/>
      <x:c r="D34" s="14"/>
      <x:c r="E34" s="14"/>
      <x:c r="F34" s="14" t="str">
        <x:v>YES</x:v>
      </x:c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 t="str">
        <x:v>NO</x:v>
      </x:c>
      <x:c r="T34" s="14"/>
      <x:c r="U34" s="14"/>
      <x:c r="V34" s="14"/>
    </x:row>
    <x:row r="35">
      <x:c r="A35" s="14" t="n">
        <x:v>34</x:v>
      </x:c>
      <x:c r="B35" s="14"/>
      <x:c r="C35" s="14"/>
      <x:c r="D35" s="14"/>
      <x:c r="E35" s="14"/>
      <x:c r="F35" s="14" t="str">
        <x:v>YES</x:v>
      </x:c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 t="str">
        <x:v>NO</x:v>
      </x:c>
      <x:c r="T35" s="14"/>
      <x:c r="U35" s="14"/>
      <x:c r="V35" s="14"/>
    </x:row>
    <x:row r="36">
      <x:c r="A36" s="14" t="n">
        <x:v>35</x:v>
      </x:c>
      <x:c r="B36" s="14"/>
      <x:c r="C36" s="14"/>
      <x:c r="D36" s="14"/>
      <x:c r="E36" s="14"/>
      <x:c r="F36" s="14" t="str">
        <x:v>YES</x:v>
      </x:c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 t="str">
        <x:v>NO</x:v>
      </x:c>
      <x:c r="T36" s="14"/>
      <x:c r="U36" s="14"/>
      <x:c r="V36" s="14"/>
    </x:row>
    <x:row r="37">
      <x:c r="A37" s="14" t="n">
        <x:v>36</x:v>
      </x:c>
      <x:c r="B37" s="14"/>
      <x:c r="C37" s="14"/>
      <x:c r="D37" s="14"/>
      <x:c r="E37" s="14"/>
      <x:c r="F37" s="14" t="str">
        <x:v>YES</x:v>
      </x:c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 t="str">
        <x:v>NO</x:v>
      </x:c>
      <x:c r="T37" s="14"/>
      <x:c r="U37" s="14"/>
      <x:c r="V37" s="14"/>
    </x:row>
    <x:row r="38">
      <x:c r="A38" s="14" t="n">
        <x:v>37</x:v>
      </x:c>
      <x:c r="B38" s="14"/>
      <x:c r="C38" s="14"/>
      <x:c r="D38" s="14"/>
      <x:c r="E38" s="14"/>
      <x:c r="F38" s="14" t="str">
        <x:v>YES</x:v>
      </x:c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 t="str">
        <x:v>NO</x:v>
      </x:c>
      <x:c r="T38" s="14"/>
      <x:c r="U38" s="14"/>
      <x:c r="V38" s="14"/>
    </x:row>
    <x:row r="39">
      <x:c r="A39" s="14" t="n">
        <x:v>38</x:v>
      </x:c>
      <x:c r="B39" s="14"/>
      <x:c r="C39" s="14"/>
      <x:c r="D39" s="14"/>
      <x:c r="E39" s="14"/>
      <x:c r="F39" s="14" t="str">
        <x:v>YES</x:v>
      </x:c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 t="str">
        <x:v>NO</x:v>
      </x:c>
      <x:c r="T39" s="14"/>
      <x:c r="U39" s="14"/>
      <x:c r="V39" s="14"/>
    </x:row>
    <x:row r="40">
      <x:c r="A40" s="14" t="n">
        <x:v>39</x:v>
      </x:c>
      <x:c r="B40" s="14"/>
      <x:c r="C40" s="14"/>
      <x:c r="D40" s="14"/>
      <x:c r="E40" s="14"/>
      <x:c r="F40" s="14" t="str">
        <x:v>YES</x:v>
      </x:c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 t="str">
        <x:v>NO</x:v>
      </x:c>
      <x:c r="T40" s="14"/>
      <x:c r="U40" s="14"/>
      <x:c r="V40" s="14"/>
    </x:row>
    <x:row r="41">
      <x:c r="A41" s="14" t="n">
        <x:v>40</x:v>
      </x:c>
      <x:c r="B41" s="14"/>
      <x:c r="C41" s="14"/>
      <x:c r="D41" s="14"/>
      <x:c r="E41" s="14"/>
      <x:c r="F41" s="14" t="str">
        <x:v>YES</x:v>
      </x:c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 t="str">
        <x:v>NO</x:v>
      </x:c>
      <x:c r="T41" s="14"/>
      <x:c r="U41" s="14"/>
      <x:c r="V41" s="14"/>
    </x:row>
    <x:row r="42">
      <x:c r="A42" s="14" t="n">
        <x:v>41</x:v>
      </x:c>
      <x:c r="B42" s="14"/>
      <x:c r="C42" s="14"/>
      <x:c r="D42" s="14"/>
      <x:c r="E42" s="14"/>
      <x:c r="F42" s="14" t="str">
        <x:v>YES</x:v>
      </x:c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 t="str">
        <x:v>NO</x:v>
      </x:c>
      <x:c r="T42" s="14"/>
      <x:c r="U42" s="14"/>
      <x:c r="V42" s="14"/>
    </x:row>
    <x:row r="43">
      <x:c r="A43" s="14" t="n">
        <x:v>42</x:v>
      </x:c>
      <x:c r="B43" s="14"/>
      <x:c r="C43" s="14"/>
      <x:c r="D43" s="14"/>
      <x:c r="E43" s="14"/>
      <x:c r="F43" s="14" t="str">
        <x:v>YES</x:v>
      </x:c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 t="str">
        <x:v>NO</x:v>
      </x:c>
      <x:c r="T43" s="14"/>
      <x:c r="U43" s="14"/>
      <x:c r="V43" s="14"/>
    </x:row>
    <x:row r="44">
      <x:c r="A44" s="14" t="n">
        <x:v>43</x:v>
      </x:c>
      <x:c r="B44" s="14"/>
      <x:c r="C44" s="14"/>
      <x:c r="D44" s="14"/>
      <x:c r="E44" s="14"/>
      <x:c r="F44" s="14" t="str">
        <x:v>YES</x:v>
      </x:c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 t="str">
        <x:v>NO</x:v>
      </x:c>
      <x:c r="T44" s="14"/>
      <x:c r="U44" s="14"/>
      <x:c r="V44" s="14"/>
    </x:row>
    <x:row r="45">
      <x:c r="A45" s="14" t="n">
        <x:v>44</x:v>
      </x:c>
      <x:c r="B45" s="14"/>
      <x:c r="C45" s="14"/>
      <x:c r="D45" s="14"/>
      <x:c r="E45" s="14"/>
      <x:c r="F45" s="14" t="str">
        <x:v>YES</x:v>
      </x:c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 t="str">
        <x:v>NO</x:v>
      </x:c>
      <x:c r="T45" s="14"/>
      <x:c r="U45" s="14"/>
      <x:c r="V45" s="14"/>
    </x:row>
    <x:row r="46">
      <x:c r="A46" s="14" t="n">
        <x:v>45</x:v>
      </x:c>
      <x:c r="B46" s="14"/>
      <x:c r="C46" s="14"/>
      <x:c r="D46" s="14"/>
      <x:c r="E46" s="14"/>
      <x:c r="F46" s="14" t="str">
        <x:v>YES</x:v>
      </x:c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 t="str">
        <x:v>NO</x:v>
      </x:c>
      <x:c r="T46" s="14"/>
      <x:c r="U46" s="14"/>
      <x:c r="V46" s="14"/>
    </x:row>
    <x:row r="47">
      <x:c r="A47" s="14" t="n">
        <x:v>46</x:v>
      </x:c>
      <x:c r="B47" s="14"/>
      <x:c r="C47" s="14"/>
      <x:c r="D47" s="14"/>
      <x:c r="E47" s="14"/>
      <x:c r="F47" s="14" t="str">
        <x:v>YES</x:v>
      </x:c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 t="str">
        <x:v>NO</x:v>
      </x:c>
      <x:c r="T47" s="14"/>
      <x:c r="U47" s="14"/>
      <x:c r="V47" s="14"/>
    </x:row>
    <x:row r="48">
      <x:c r="A48" s="14" t="n">
        <x:v>47</x:v>
      </x:c>
      <x:c r="B48" s="14"/>
      <x:c r="C48" s="14"/>
      <x:c r="D48" s="14"/>
      <x:c r="E48" s="14"/>
      <x:c r="F48" s="14" t="str">
        <x:v>YES</x:v>
      </x:c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 t="str">
        <x:v>NO</x:v>
      </x:c>
      <x:c r="T48" s="14"/>
      <x:c r="U48" s="14"/>
      <x:c r="V48" s="14"/>
    </x:row>
    <x:row r="49">
      <x:c r="A49" s="14" t="n">
        <x:v>48</x:v>
      </x:c>
      <x:c r="B49" s="14"/>
      <x:c r="C49" s="14"/>
      <x:c r="D49" s="14"/>
      <x:c r="E49" s="14"/>
      <x:c r="F49" s="14" t="str">
        <x:v>YES</x:v>
      </x:c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 t="str">
        <x:v>NO</x:v>
      </x:c>
      <x:c r="T49" s="14"/>
      <x:c r="U49" s="14"/>
      <x:c r="V49" s="14"/>
    </x:row>
    <x:row r="50">
      <x:c r="A50" s="14" t="n">
        <x:v>49</x:v>
      </x:c>
      <x:c r="B50" s="14"/>
      <x:c r="C50" s="14"/>
      <x:c r="D50" s="14"/>
      <x:c r="E50" s="14"/>
      <x:c r="F50" s="14" t="str">
        <x:v>YES</x:v>
      </x:c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 t="str">
        <x:v>NO</x:v>
      </x:c>
      <x:c r="T50" s="14"/>
      <x:c r="U50" s="14"/>
      <x:c r="V50" s="14"/>
    </x:row>
    <x:row r="51">
      <x:c r="A51" s="14" t="n">
        <x:v>50</x:v>
      </x:c>
      <x:c r="B51" s="14"/>
      <x:c r="C51" s="14"/>
      <x:c r="D51" s="14"/>
      <x:c r="E51" s="14"/>
      <x:c r="F51" s="14" t="str">
        <x:v>YES</x:v>
      </x:c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 t="str">
        <x:v>NO</x:v>
      </x:c>
      <x:c r="T51" s="14"/>
      <x:c r="U51" s="14"/>
      <x:c r="V51" s="14"/>
    </x:row>
    <x:row r="52">
      <x:c r="A52" s="14" t="n">
        <x:v>51</x:v>
      </x:c>
      <x:c r="B52" s="14"/>
      <x:c r="C52" s="14"/>
      <x:c r="D52" s="14"/>
      <x:c r="E52" s="14"/>
      <x:c r="F52" s="14" t="str">
        <x:v>YES</x:v>
      </x:c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 t="str">
        <x:v>NO</x:v>
      </x:c>
      <x:c r="T52" s="14"/>
      <x:c r="U52" s="14"/>
      <x:c r="V52" s="14"/>
    </x:row>
    <x:row r="53">
      <x:c r="A53" s="14" t="n">
        <x:v>52</x:v>
      </x:c>
      <x:c r="B53" s="14"/>
      <x:c r="C53" s="14"/>
      <x:c r="D53" s="14"/>
      <x:c r="E53" s="14"/>
      <x:c r="F53" s="14" t="str">
        <x:v>YES</x:v>
      </x:c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 t="str">
        <x:v>NO</x:v>
      </x:c>
      <x:c r="T53" s="14"/>
      <x:c r="U53" s="14"/>
      <x:c r="V53" s="14"/>
    </x:row>
    <x:row r="54">
      <x:c r="A54" s="14" t="n">
        <x:v>53</x:v>
      </x:c>
      <x:c r="B54" s="14"/>
      <x:c r="C54" s="14"/>
      <x:c r="D54" s="14"/>
      <x:c r="E54" s="14"/>
      <x:c r="F54" s="14" t="str">
        <x:v>YES</x:v>
      </x:c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 t="str">
        <x:v>NO</x:v>
      </x:c>
      <x:c r="T54" s="14"/>
      <x:c r="U54" s="14"/>
      <x:c r="V54" s="14"/>
    </x:row>
    <x:row r="55">
      <x:c r="A55" s="14" t="n">
        <x:v>54</x:v>
      </x:c>
      <x:c r="B55" s="14"/>
      <x:c r="C55" s="14"/>
      <x:c r="D55" s="14"/>
      <x:c r="E55" s="14"/>
      <x:c r="F55" s="14" t="str">
        <x:v>YES</x:v>
      </x:c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 t="str">
        <x:v>NO</x:v>
      </x:c>
      <x:c r="T55" s="14"/>
      <x:c r="U55" s="14"/>
      <x:c r="V55" s="14"/>
    </x:row>
    <x:row r="56">
      <x:c r="A56" s="14" t="n">
        <x:v>55</x:v>
      </x:c>
      <x:c r="B56" s="14"/>
      <x:c r="C56" s="14"/>
      <x:c r="D56" s="14"/>
      <x:c r="E56" s="14"/>
      <x:c r="F56" s="14" t="str">
        <x:v>YES</x:v>
      </x:c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 t="str">
        <x:v>NO</x:v>
      </x:c>
      <x:c r="T56" s="14"/>
      <x:c r="U56" s="14"/>
      <x:c r="V56" s="14"/>
    </x:row>
    <x:row r="57">
      <x:c r="A57" s="14" t="n">
        <x:v>56</x:v>
      </x:c>
      <x:c r="B57" s="14"/>
      <x:c r="C57" s="14"/>
      <x:c r="D57" s="14"/>
      <x:c r="E57" s="14"/>
      <x:c r="F57" s="14" t="str">
        <x:v>YES</x:v>
      </x:c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 t="str">
        <x:v>NO</x:v>
      </x:c>
      <x:c r="T57" s="14"/>
      <x:c r="U57" s="14"/>
      <x:c r="V57" s="14"/>
    </x:row>
    <x:row r="58">
      <x:c r="A58" s="14" t="n">
        <x:v>57</x:v>
      </x:c>
      <x:c r="B58" s="14"/>
      <x:c r="C58" s="14"/>
      <x:c r="D58" s="14"/>
      <x:c r="E58" s="14"/>
      <x:c r="F58" s="14" t="str">
        <x:v>YES</x:v>
      </x:c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 t="str">
        <x:v>NO</x:v>
      </x:c>
      <x:c r="T58" s="14"/>
      <x:c r="U58" s="14"/>
      <x:c r="V58" s="14"/>
    </x:row>
    <x:row r="59">
      <x:c r="A59" s="14" t="n">
        <x:v>58</x:v>
      </x:c>
      <x:c r="B59" s="14"/>
      <x:c r="C59" s="14"/>
      <x:c r="D59" s="14"/>
      <x:c r="E59" s="14"/>
      <x:c r="F59" s="14" t="str">
        <x:v>YES</x:v>
      </x:c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 t="str">
        <x:v>NO</x:v>
      </x:c>
      <x:c r="T59" s="14"/>
      <x:c r="U59" s="14"/>
      <x:c r="V59" s="14"/>
    </x:row>
    <x:row r="60">
      <x:c r="A60" s="14" t="n">
        <x:v>59</x:v>
      </x:c>
      <x:c r="B60" s="14"/>
      <x:c r="C60" s="14"/>
      <x:c r="D60" s="14"/>
      <x:c r="E60" s="14"/>
      <x:c r="F60" s="14" t="str">
        <x:v>YES</x:v>
      </x:c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 t="str">
        <x:v>NO</x:v>
      </x:c>
      <x:c r="T60" s="14"/>
      <x:c r="U60" s="14"/>
      <x:c r="V60" s="14"/>
    </x:row>
    <x:row r="61">
      <x:c r="A61" s="14" t="n">
        <x:v>60</x:v>
      </x:c>
      <x:c r="B61" s="14"/>
      <x:c r="C61" s="14"/>
      <x:c r="D61" s="14"/>
      <x:c r="E61" s="14"/>
      <x:c r="F61" s="14" t="str">
        <x:v>YES</x:v>
      </x:c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 t="str">
        <x:v>NO</x:v>
      </x:c>
      <x:c r="T61" s="14"/>
      <x:c r="U61" s="14"/>
      <x:c r="V61" s="14"/>
    </x:row>
    <x:row r="62">
      <x:c r="A62" s="14" t="n">
        <x:v>61</x:v>
      </x:c>
      <x:c r="B62" s="14"/>
      <x:c r="C62" s="14"/>
      <x:c r="D62" s="14"/>
      <x:c r="E62" s="14"/>
      <x:c r="F62" s="14" t="str">
        <x:v>YES</x:v>
      </x:c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 t="str">
        <x:v>NO</x:v>
      </x:c>
      <x:c r="T62" s="14"/>
      <x:c r="U62" s="14"/>
      <x:c r="V62" s="14"/>
    </x:row>
    <x:row r="63">
      <x:c r="A63" s="14" t="n">
        <x:v>62</x:v>
      </x:c>
      <x:c r="B63" s="14"/>
      <x:c r="C63" s="14"/>
      <x:c r="D63" s="14"/>
      <x:c r="E63" s="14"/>
      <x:c r="F63" s="14" t="str">
        <x:v>YES</x:v>
      </x:c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 t="str">
        <x:v>NO</x:v>
      </x:c>
      <x:c r="T63" s="14"/>
      <x:c r="U63" s="14"/>
      <x:c r="V63" s="14"/>
    </x:row>
    <x:row r="64">
      <x:c r="A64" s="14" t="n">
        <x:v>63</x:v>
      </x:c>
      <x:c r="B64" s="14"/>
      <x:c r="C64" s="14"/>
      <x:c r="D64" s="14"/>
      <x:c r="E64" s="14"/>
      <x:c r="F64" s="14" t="str">
        <x:v>YES</x:v>
      </x:c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 t="str">
        <x:v>NO</x:v>
      </x:c>
      <x:c r="T64" s="14"/>
      <x:c r="U64" s="14"/>
      <x:c r="V64" s="14"/>
    </x:row>
    <x:row r="65">
      <x:c r="A65" s="14" t="n">
        <x:v>64</x:v>
      </x:c>
      <x:c r="B65" s="14"/>
      <x:c r="C65" s="14"/>
      <x:c r="D65" s="14"/>
      <x:c r="E65" s="14"/>
      <x:c r="F65" s="14" t="str">
        <x:v>YES</x:v>
      </x:c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 t="str">
        <x:v>NO</x:v>
      </x:c>
      <x:c r="T65" s="14"/>
      <x:c r="U65" s="14"/>
      <x:c r="V65" s="14"/>
    </x:row>
    <x:row r="66">
      <x:c r="A66" s="14" t="n">
        <x:v>65</x:v>
      </x:c>
      <x:c r="B66" s="14"/>
      <x:c r="C66" s="14"/>
      <x:c r="D66" s="14"/>
      <x:c r="E66" s="14"/>
      <x:c r="F66" s="14" t="str">
        <x:v>YES</x:v>
      </x:c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 t="str">
        <x:v>NO</x:v>
      </x:c>
      <x:c r="T66" s="14"/>
      <x:c r="U66" s="14"/>
      <x:c r="V66" s="14"/>
    </x:row>
    <x:row r="67">
      <x:c r="A67" s="14" t="n">
        <x:v>66</x:v>
      </x:c>
      <x:c r="B67" s="14"/>
      <x:c r="C67" s="14"/>
      <x:c r="D67" s="14"/>
      <x:c r="E67" s="14"/>
      <x:c r="F67" s="14" t="str">
        <x:v>YES</x:v>
      </x:c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 t="str">
        <x:v>NO</x:v>
      </x:c>
      <x:c r="T67" s="14"/>
      <x:c r="U67" s="14"/>
      <x:c r="V67" s="14"/>
    </x:row>
    <x:row r="68">
      <x:c r="A68" s="14" t="n">
        <x:v>67</x:v>
      </x:c>
      <x:c r="B68" s="14"/>
      <x:c r="C68" s="14"/>
      <x:c r="D68" s="14"/>
      <x:c r="E68" s="14"/>
      <x:c r="F68" s="14" t="str">
        <x:v>YES</x:v>
      </x:c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 t="str">
        <x:v>NO</x:v>
      </x:c>
      <x:c r="T68" s="14"/>
      <x:c r="U68" s="14"/>
      <x:c r="V68" s="14"/>
    </x:row>
    <x:row r="69">
      <x:c r="A69" s="14" t="n">
        <x:v>68</x:v>
      </x:c>
      <x:c r="B69" s="14"/>
      <x:c r="C69" s="14"/>
      <x:c r="D69" s="14"/>
      <x:c r="E69" s="14"/>
      <x:c r="F69" s="14" t="str">
        <x:v>YES</x:v>
      </x:c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 t="str">
        <x:v>NO</x:v>
      </x:c>
      <x:c r="T69" s="14"/>
      <x:c r="U69" s="14"/>
      <x:c r="V69" s="14"/>
    </x:row>
    <x:row r="70">
      <x:c r="A70" s="14" t="n">
        <x:v>69</x:v>
      </x:c>
      <x:c r="B70" s="14"/>
      <x:c r="C70" s="14"/>
      <x:c r="D70" s="14"/>
      <x:c r="E70" s="14"/>
      <x:c r="F70" s="14" t="str">
        <x:v>YES</x:v>
      </x:c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 t="str">
        <x:v>NO</x:v>
      </x:c>
      <x:c r="T70" s="14"/>
      <x:c r="U70" s="14"/>
      <x:c r="V70" s="14"/>
    </x:row>
    <x:row r="71">
      <x:c r="A71" s="14" t="n">
        <x:v>70</x:v>
      </x:c>
      <x:c r="B71" s="14"/>
      <x:c r="C71" s="14"/>
      <x:c r="D71" s="14"/>
      <x:c r="E71" s="14"/>
      <x:c r="F71" s="14" t="str">
        <x:v>YES</x:v>
      </x:c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 t="str">
        <x:v>NO</x:v>
      </x:c>
      <x:c r="T71" s="14"/>
      <x:c r="U71" s="14"/>
      <x:c r="V71" s="14"/>
    </x:row>
    <x:row r="72">
      <x:c r="A72" s="14" t="n">
        <x:v>71</x:v>
      </x:c>
      <x:c r="B72" s="14"/>
      <x:c r="C72" s="14"/>
      <x:c r="D72" s="14"/>
      <x:c r="E72" s="14"/>
      <x:c r="F72" s="14" t="str">
        <x:v>YES</x:v>
      </x:c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 t="str">
        <x:v>NO</x:v>
      </x:c>
      <x:c r="T72" s="14"/>
      <x:c r="U72" s="14"/>
      <x:c r="V72" s="14"/>
    </x:row>
    <x:row r="73">
      <x:c r="A73" s="14" t="n">
        <x:v>72</x:v>
      </x:c>
      <x:c r="B73" s="14"/>
      <x:c r="C73" s="14"/>
      <x:c r="D73" s="14"/>
      <x:c r="E73" s="14"/>
      <x:c r="F73" s="14" t="str">
        <x:v>YES</x:v>
      </x:c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 t="str">
        <x:v>NO</x:v>
      </x:c>
      <x:c r="T73" s="14"/>
      <x:c r="U73" s="14"/>
      <x:c r="V73" s="14"/>
    </x:row>
    <x:row r="74">
      <x:c r="A74" s="14" t="n">
        <x:v>73</x:v>
      </x:c>
      <x:c r="B74" s="14"/>
      <x:c r="C74" s="14"/>
      <x:c r="D74" s="14"/>
      <x:c r="E74" s="14"/>
      <x:c r="F74" s="14" t="str">
        <x:v>YES</x:v>
      </x:c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 t="str">
        <x:v>NO</x:v>
      </x:c>
      <x:c r="T74" s="14"/>
      <x:c r="U74" s="14"/>
      <x:c r="V74" s="14"/>
    </x:row>
    <x:row r="75">
      <x:c r="A75" s="14" t="n">
        <x:v>74</x:v>
      </x:c>
      <x:c r="B75" s="14"/>
      <x:c r="C75" s="14"/>
      <x:c r="D75" s="14"/>
      <x:c r="E75" s="14"/>
      <x:c r="F75" s="14" t="str">
        <x:v>YES</x:v>
      </x:c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 t="str">
        <x:v>NO</x:v>
      </x:c>
      <x:c r="T75" s="14"/>
      <x:c r="U75" s="14"/>
      <x:c r="V75" s="14"/>
    </x:row>
    <x:row r="76">
      <x:c r="A76" s="14" t="n">
        <x:v>75</x:v>
      </x:c>
      <x:c r="B76" s="14"/>
      <x:c r="C76" s="14"/>
      <x:c r="D76" s="14"/>
      <x:c r="E76" s="14"/>
      <x:c r="F76" s="14" t="str">
        <x:v>YES</x:v>
      </x:c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 t="str">
        <x:v>NO</x:v>
      </x:c>
      <x:c r="T76" s="14"/>
      <x:c r="U76" s="14"/>
      <x:c r="V76" s="14"/>
    </x:row>
    <x:row r="77">
      <x:c r="A77" s="14" t="n">
        <x:v>76</x:v>
      </x:c>
      <x:c r="B77" s="14"/>
      <x:c r="C77" s="14"/>
      <x:c r="D77" s="14"/>
      <x:c r="E77" s="14"/>
      <x:c r="F77" s="14" t="str">
        <x:v>YES</x:v>
      </x:c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 t="str">
        <x:v>NO</x:v>
      </x:c>
      <x:c r="T77" s="14"/>
      <x:c r="U77" s="14"/>
      <x:c r="V77" s="14"/>
    </x:row>
    <x:row r="78">
      <x:c r="A78" s="14" t="n">
        <x:v>77</x:v>
      </x:c>
      <x:c r="B78" s="14"/>
      <x:c r="C78" s="14"/>
      <x:c r="D78" s="14"/>
      <x:c r="E78" s="14"/>
      <x:c r="F78" s="14" t="str">
        <x:v>YES</x:v>
      </x:c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 t="str">
        <x:v>NO</x:v>
      </x:c>
      <x:c r="T78" s="14"/>
      <x:c r="U78" s="14"/>
      <x:c r="V78" s="14"/>
    </x:row>
    <x:row r="79">
      <x:c r="A79" s="14" t="n">
        <x:v>78</x:v>
      </x:c>
      <x:c r="B79" s="14"/>
      <x:c r="C79" s="14"/>
      <x:c r="D79" s="14"/>
      <x:c r="E79" s="14"/>
      <x:c r="F79" s="14" t="str">
        <x:v>YES</x:v>
      </x:c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 t="str">
        <x:v>NO</x:v>
      </x:c>
      <x:c r="T79" s="14"/>
      <x:c r="U79" s="14"/>
      <x:c r="V79" s="14"/>
    </x:row>
    <x:row r="80">
      <x:c r="A80" s="14" t="n">
        <x:v>79</x:v>
      </x:c>
      <x:c r="B80" s="14"/>
      <x:c r="C80" s="14"/>
      <x:c r="D80" s="14"/>
      <x:c r="E80" s="14"/>
      <x:c r="F80" s="14" t="str">
        <x:v>YES</x:v>
      </x:c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 t="str">
        <x:v>NO</x:v>
      </x:c>
      <x:c r="T80" s="14"/>
      <x:c r="U80" s="14"/>
      <x:c r="V80" s="14"/>
    </x:row>
    <x:row r="81">
      <x:c r="A81" s="14" t="n">
        <x:v>80</x:v>
      </x:c>
      <x:c r="B81" s="14"/>
      <x:c r="C81" s="14"/>
      <x:c r="D81" s="14"/>
      <x:c r="E81" s="14"/>
      <x:c r="F81" s="14" t="str">
        <x:v>YES</x:v>
      </x:c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 t="str">
        <x:v>NO</x:v>
      </x:c>
      <x:c r="T81" s="14"/>
      <x:c r="U81" s="14"/>
      <x:c r="V81" s="14"/>
    </x:row>
    <x:row r="82">
      <x:c r="A82" s="14" t="n">
        <x:v>81</x:v>
      </x:c>
      <x:c r="B82" s="14"/>
      <x:c r="C82" s="14"/>
      <x:c r="D82" s="14"/>
      <x:c r="E82" s="14"/>
      <x:c r="F82" s="14" t="str">
        <x:v>YES</x:v>
      </x:c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 t="str">
        <x:v>NO</x:v>
      </x:c>
      <x:c r="T82" s="14"/>
      <x:c r="U82" s="14"/>
      <x:c r="V82" s="14"/>
    </x:row>
    <x:row r="83">
      <x:c r="A83" s="14" t="n">
        <x:v>82</x:v>
      </x:c>
      <x:c r="B83" s="14"/>
      <x:c r="C83" s="14"/>
      <x:c r="D83" s="14"/>
      <x:c r="E83" s="14"/>
      <x:c r="F83" s="14" t="str">
        <x:v>YES</x:v>
      </x:c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 t="str">
        <x:v>NO</x:v>
      </x:c>
      <x:c r="T83" s="14"/>
      <x:c r="U83" s="14"/>
      <x:c r="V83" s="14"/>
    </x:row>
    <x:row r="84">
      <x:c r="A84" s="14" t="n">
        <x:v>83</x:v>
      </x:c>
      <x:c r="B84" s="14"/>
      <x:c r="C84" s="14"/>
      <x:c r="D84" s="14"/>
      <x:c r="E84" s="14"/>
      <x:c r="F84" s="14" t="str">
        <x:v>YES</x:v>
      </x:c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 t="str">
        <x:v>NO</x:v>
      </x:c>
      <x:c r="T84" s="14"/>
      <x:c r="U84" s="14"/>
      <x:c r="V84" s="14"/>
    </x:row>
    <x:row r="85">
      <x:c r="A85" s="14" t="n">
        <x:v>84</x:v>
      </x:c>
      <x:c r="B85" s="14"/>
      <x:c r="C85" s="14"/>
      <x:c r="D85" s="14"/>
      <x:c r="E85" s="14"/>
      <x:c r="F85" s="14" t="str">
        <x:v>YES</x:v>
      </x:c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 t="str">
        <x:v>NO</x:v>
      </x:c>
      <x:c r="T85" s="14"/>
      <x:c r="U85" s="14"/>
      <x:c r="V85" s="14"/>
    </x:row>
    <x:row r="86">
      <x:c r="A86" s="14" t="n">
        <x:v>85</x:v>
      </x:c>
      <x:c r="B86" s="14"/>
      <x:c r="C86" s="14"/>
      <x:c r="D86" s="14"/>
      <x:c r="E86" s="14"/>
      <x:c r="F86" s="14" t="str">
        <x:v>YES</x:v>
      </x:c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 t="str">
        <x:v>NO</x:v>
      </x:c>
      <x:c r="T86" s="14"/>
      <x:c r="U86" s="14"/>
      <x:c r="V86" s="14"/>
    </x:row>
    <x:row r="87">
      <x:c r="A87" s="14" t="n">
        <x:v>86</x:v>
      </x:c>
      <x:c r="B87" s="14"/>
      <x:c r="C87" s="14"/>
      <x:c r="D87" s="14"/>
      <x:c r="E87" s="14"/>
      <x:c r="F87" s="14" t="str">
        <x:v>YES</x:v>
      </x:c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 t="str">
        <x:v>NO</x:v>
      </x:c>
      <x:c r="T87" s="14"/>
      <x:c r="U87" s="14"/>
      <x:c r="V87" s="14"/>
    </x:row>
    <x:row r="88">
      <x:c r="A88" s="14" t="n">
        <x:v>87</x:v>
      </x:c>
      <x:c r="B88" s="14"/>
      <x:c r="C88" s="14"/>
      <x:c r="D88" s="14"/>
      <x:c r="E88" s="14"/>
      <x:c r="F88" s="14" t="str">
        <x:v>YES</x:v>
      </x:c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 t="str">
        <x:v>NO</x:v>
      </x:c>
      <x:c r="T88" s="14"/>
      <x:c r="U88" s="14"/>
      <x:c r="V88" s="14"/>
    </x:row>
    <x:row r="89">
      <x:c r="A89" s="14" t="n">
        <x:v>88</x:v>
      </x:c>
      <x:c r="B89" s="14"/>
      <x:c r="C89" s="14"/>
      <x:c r="D89" s="14"/>
      <x:c r="E89" s="14"/>
      <x:c r="F89" s="14" t="str">
        <x:v>YES</x:v>
      </x:c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 t="str">
        <x:v>NO</x:v>
      </x:c>
      <x:c r="T89" s="14"/>
      <x:c r="U89" s="14"/>
      <x:c r="V89" s="14"/>
    </x:row>
    <x:row r="90">
      <x:c r="A90" s="14" t="n">
        <x:v>89</x:v>
      </x:c>
      <x:c r="B90" s="14"/>
      <x:c r="C90" s="14"/>
      <x:c r="D90" s="14"/>
      <x:c r="E90" s="14"/>
      <x:c r="F90" s="14" t="str">
        <x:v>YES</x:v>
      </x:c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 t="str">
        <x:v>NO</x:v>
      </x:c>
      <x:c r="T90" s="14"/>
      <x:c r="U90" s="14"/>
      <x:c r="V90" s="14"/>
    </x:row>
    <x:row r="91">
      <x:c r="A91" s="14" t="n">
        <x:v>90</x:v>
      </x:c>
      <x:c r="B91" s="14"/>
      <x:c r="C91" s="14"/>
      <x:c r="D91" s="14"/>
      <x:c r="E91" s="14"/>
      <x:c r="F91" s="14" t="str">
        <x:v>YES</x:v>
      </x:c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 t="str">
        <x:v>NO</x:v>
      </x:c>
      <x:c r="T91" s="14"/>
      <x:c r="U91" s="14"/>
      <x:c r="V91" s="14"/>
    </x:row>
    <x:row r="92">
      <x:c r="A92" s="14" t="n">
        <x:v>91</x:v>
      </x:c>
      <x:c r="B92" s="14"/>
      <x:c r="C92" s="14"/>
      <x:c r="D92" s="14"/>
      <x:c r="E92" s="14"/>
      <x:c r="F92" s="14" t="str">
        <x:v>YES</x:v>
      </x:c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 t="str">
        <x:v>NO</x:v>
      </x:c>
      <x:c r="T92" s="14"/>
      <x:c r="U92" s="14"/>
      <x:c r="V92" s="14"/>
    </x:row>
    <x:row r="93">
      <x:c r="A93" s="14" t="n">
        <x:v>92</x:v>
      </x:c>
      <x:c r="B93" s="14"/>
      <x:c r="C93" s="14"/>
      <x:c r="D93" s="14"/>
      <x:c r="E93" s="14"/>
      <x:c r="F93" s="14" t="str">
        <x:v>YES</x:v>
      </x:c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 t="str">
        <x:v>NO</x:v>
      </x:c>
      <x:c r="T93" s="14"/>
      <x:c r="U93" s="14"/>
      <x:c r="V93" s="14"/>
    </x:row>
    <x:row r="94">
      <x:c r="A94" s="14" t="n">
        <x:v>93</x:v>
      </x:c>
      <x:c r="B94" s="14"/>
      <x:c r="C94" s="14"/>
      <x:c r="D94" s="14"/>
      <x:c r="E94" s="14"/>
      <x:c r="F94" s="14" t="str">
        <x:v>YES</x:v>
      </x:c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 t="str">
        <x:v>NO</x:v>
      </x:c>
      <x:c r="T94" s="14"/>
      <x:c r="U94" s="14"/>
      <x:c r="V94" s="14"/>
    </x:row>
    <x:row r="95">
      <x:c r="A95" s="14" t="n">
        <x:v>94</x:v>
      </x:c>
      <x:c r="B95" s="14"/>
      <x:c r="C95" s="14"/>
      <x:c r="D95" s="14"/>
      <x:c r="E95" s="14"/>
      <x:c r="F95" s="14" t="str">
        <x:v>YES</x:v>
      </x:c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 t="str">
        <x:v>NO</x:v>
      </x:c>
      <x:c r="T95" s="14"/>
      <x:c r="U95" s="14"/>
      <x:c r="V95" s="14"/>
    </x:row>
    <x:row r="96">
      <x:c r="A96" s="14" t="n">
        <x:v>95</x:v>
      </x:c>
      <x:c r="B96" s="14"/>
      <x:c r="C96" s="14"/>
      <x:c r="D96" s="14"/>
      <x:c r="E96" s="14"/>
      <x:c r="F96" s="14" t="str">
        <x:v>YES</x:v>
      </x:c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 t="str">
        <x:v>NO</x:v>
      </x:c>
      <x:c r="T96" s="14"/>
      <x:c r="U96" s="14"/>
      <x:c r="V96" s="14"/>
    </x:row>
    <x:row r="97">
      <x:c r="A97" s="14" t="n">
        <x:v>96</x:v>
      </x:c>
      <x:c r="B97" s="14"/>
      <x:c r="C97" s="14"/>
      <x:c r="D97" s="14"/>
      <x:c r="E97" s="14"/>
      <x:c r="F97" s="14" t="str">
        <x:v>YES</x:v>
      </x:c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 t="str">
        <x:v>NO</x:v>
      </x:c>
      <x:c r="T97" s="14"/>
      <x:c r="U97" s="14"/>
      <x:c r="V97" s="14"/>
    </x:row>
    <x:row r="98">
      <x:c r="A98" s="14" t="n">
        <x:v>97</x:v>
      </x:c>
      <x:c r="B98" s="14"/>
      <x:c r="C98" s="14"/>
      <x:c r="D98" s="14"/>
      <x:c r="E98" s="14"/>
      <x:c r="F98" s="14" t="str">
        <x:v>YES</x:v>
      </x:c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 t="str">
        <x:v>NO</x:v>
      </x:c>
      <x:c r="T98" s="14"/>
      <x:c r="U98" s="14"/>
      <x:c r="V98" s="14"/>
    </x:row>
    <x:row r="99">
      <x:c r="A99" s="14" t="n">
        <x:v>98</x:v>
      </x:c>
      <x:c r="B99" s="14"/>
      <x:c r="C99" s="14"/>
      <x:c r="D99" s="14"/>
      <x:c r="E99" s="14"/>
      <x:c r="F99" s="14" t="str">
        <x:v>YES</x:v>
      </x:c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 t="str">
        <x:v>NO</x:v>
      </x:c>
      <x:c r="T99" s="14"/>
      <x:c r="U99" s="14"/>
      <x:c r="V99" s="14"/>
    </x:row>
    <x:row r="100">
      <x:c r="A100" s="14" t="n">
        <x:v>99</x:v>
      </x:c>
      <x:c r="B100" s="14"/>
      <x:c r="C100" s="14"/>
      <x:c r="D100" s="14"/>
      <x:c r="E100" s="14"/>
      <x:c r="F100" s="14" t="str">
        <x:v>YES</x:v>
      </x:c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 t="str">
        <x:v>NO</x:v>
      </x:c>
      <x:c r="T100" s="14"/>
      <x:c r="U100" s="14"/>
      <x:c r="V100" s="14"/>
    </x:row>
    <x:row r="101">
      <x:c r="A101" s="14" t="n">
        <x:v>100</x:v>
      </x:c>
      <x:c r="B101" s="14"/>
      <x:c r="C101" s="14"/>
      <x:c r="D101" s="14"/>
      <x:c r="E101" s="14"/>
      <x:c r="F101" s="14" t="str">
        <x:v>YES</x:v>
      </x:c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 t="str">
        <x:v>NO</x:v>
      </x:c>
      <x:c r="T101" s="14"/>
      <x:c r="U101" s="14"/>
      <x:c r="V101" s="14"/>
    </x:row>
    <x:row r="102">
      <x:c r="A102" s="14" t="n">
        <x:v>101</x:v>
      </x:c>
      <x:c r="B102" s="14"/>
      <x:c r="C102" s="14"/>
      <x:c r="D102" s="14"/>
      <x:c r="E102" s="14"/>
      <x:c r="F102" s="14" t="str">
        <x:v>YES</x:v>
      </x:c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 t="str">
        <x:v>NO</x:v>
      </x:c>
      <x:c r="T102" s="14"/>
      <x:c r="U102" s="14"/>
      <x:c r="V102" s="14"/>
    </x:row>
    <x:row r="103">
      <x:c r="A103" s="14" t="n">
        <x:v>102</x:v>
      </x:c>
      <x:c r="B103" s="14"/>
      <x:c r="C103" s="14"/>
      <x:c r="D103" s="14"/>
      <x:c r="E103" s="14"/>
      <x:c r="F103" s="14" t="str">
        <x:v>YES</x:v>
      </x:c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 t="str">
        <x:v>NO</x:v>
      </x:c>
      <x:c r="T103" s="14"/>
      <x:c r="U103" s="14"/>
      <x:c r="V103" s="14"/>
    </x:row>
    <x:row r="104">
      <x:c r="A104" s="14" t="n">
        <x:v>103</x:v>
      </x:c>
      <x:c r="B104" s="14"/>
      <x:c r="C104" s="14"/>
      <x:c r="D104" s="14"/>
      <x:c r="E104" s="14"/>
      <x:c r="F104" s="14" t="str">
        <x:v>YES</x:v>
      </x:c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 t="str">
        <x:v>NO</x:v>
      </x:c>
      <x:c r="T104" s="14"/>
      <x:c r="U104" s="14"/>
      <x:c r="V104" s="14"/>
    </x:row>
    <x:row r="105">
      <x:c r="A105" s="14" t="n">
        <x:v>104</x:v>
      </x:c>
      <x:c r="B105" s="14"/>
      <x:c r="C105" s="14"/>
      <x:c r="D105" s="14"/>
      <x:c r="E105" s="14"/>
      <x:c r="F105" s="14" t="str">
        <x:v>YES</x:v>
      </x:c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 t="str">
        <x:v>NO</x:v>
      </x:c>
      <x:c r="T105" s="14"/>
      <x:c r="U105" s="14"/>
      <x:c r="V105" s="14"/>
    </x:row>
    <x:row r="106">
      <x:c r="A106" s="14" t="n">
        <x:v>105</x:v>
      </x:c>
      <x:c r="B106" s="14"/>
      <x:c r="C106" s="14"/>
      <x:c r="D106" s="14"/>
      <x:c r="E106" s="14"/>
      <x:c r="F106" s="14" t="str">
        <x:v>YES</x:v>
      </x:c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 t="str">
        <x:v>NO</x:v>
      </x:c>
      <x:c r="T106" s="14"/>
      <x:c r="U106" s="14"/>
      <x:c r="V106" s="14"/>
    </x:row>
    <x:row r="107">
      <x:c r="A107" s="14" t="n">
        <x:v>106</x:v>
      </x:c>
      <x:c r="B107" s="14"/>
      <x:c r="C107" s="14"/>
      <x:c r="D107" s="14"/>
      <x:c r="E107" s="14"/>
      <x:c r="F107" s="14" t="str">
        <x:v>YES</x:v>
      </x:c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 t="str">
        <x:v>NO</x:v>
      </x:c>
      <x:c r="T107" s="14"/>
      <x:c r="U107" s="14"/>
      <x:c r="V107" s="14"/>
    </x:row>
    <x:row r="108">
      <x:c r="A108" s="14" t="n">
        <x:v>107</x:v>
      </x:c>
      <x:c r="B108" s="14"/>
      <x:c r="C108" s="14"/>
      <x:c r="D108" s="14"/>
      <x:c r="E108" s="14"/>
      <x:c r="F108" s="14" t="str">
        <x:v>YES</x:v>
      </x:c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 t="str">
        <x:v>NO</x:v>
      </x:c>
      <x:c r="T108" s="14"/>
      <x:c r="U108" s="14"/>
      <x:c r="V108" s="14"/>
    </x:row>
    <x:row r="109">
      <x:c r="A109" s="14" t="n">
        <x:v>108</x:v>
      </x:c>
      <x:c r="B109" s="14"/>
      <x:c r="C109" s="14"/>
      <x:c r="D109" s="14"/>
      <x:c r="E109" s="14"/>
      <x:c r="F109" s="14" t="str">
        <x:v>YES</x:v>
      </x:c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 t="str">
        <x:v>NO</x:v>
      </x:c>
      <x:c r="T109" s="14"/>
      <x:c r="U109" s="14"/>
      <x:c r="V109" s="14"/>
    </x:row>
    <x:row r="110">
      <x:c r="A110" s="14" t="n">
        <x:v>109</x:v>
      </x:c>
      <x:c r="B110" s="14"/>
      <x:c r="C110" s="14"/>
      <x:c r="D110" s="14"/>
      <x:c r="E110" s="14"/>
      <x:c r="F110" s="14" t="str">
        <x:v>YES</x:v>
      </x:c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 t="str">
        <x:v>NO</x:v>
      </x:c>
      <x:c r="T110" s="14"/>
      <x:c r="U110" s="14"/>
      <x:c r="V110" s="14"/>
    </x:row>
    <x:row r="111">
      <x:c r="A111" s="14" t="n">
        <x:v>110</x:v>
      </x:c>
      <x:c r="B111" s="14"/>
      <x:c r="C111" s="14"/>
      <x:c r="D111" s="14"/>
      <x:c r="E111" s="14"/>
      <x:c r="F111" s="14" t="str">
        <x:v>YES</x:v>
      </x:c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 t="str">
        <x:v>NO</x:v>
      </x:c>
      <x:c r="T111" s="14"/>
      <x:c r="U111" s="14"/>
      <x:c r="V111" s="14"/>
    </x:row>
    <x:row r="112">
      <x:c r="A112" s="14" t="n">
        <x:v>111</x:v>
      </x:c>
      <x:c r="B112" s="14"/>
      <x:c r="C112" s="14"/>
      <x:c r="D112" s="14"/>
      <x:c r="E112" s="14"/>
      <x:c r="F112" s="14" t="str">
        <x:v>YES</x:v>
      </x:c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 t="str">
        <x:v>NO</x:v>
      </x:c>
      <x:c r="T112" s="14"/>
      <x:c r="U112" s="14"/>
      <x:c r="V112" s="14"/>
    </x:row>
    <x:row r="113">
      <x:c r="A113" s="14" t="n">
        <x:v>112</x:v>
      </x:c>
      <x:c r="B113" s="14"/>
      <x:c r="C113" s="14"/>
      <x:c r="D113" s="14"/>
      <x:c r="E113" s="14"/>
      <x:c r="F113" s="14" t="str">
        <x:v>YES</x:v>
      </x:c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 t="str">
        <x:v>NO</x:v>
      </x:c>
      <x:c r="T113" s="14"/>
      <x:c r="U113" s="14"/>
      <x:c r="V113" s="14"/>
    </x:row>
    <x:row r="114">
      <x:c r="A114" s="14" t="n">
        <x:v>113</x:v>
      </x:c>
      <x:c r="B114" s="14"/>
      <x:c r="C114" s="14"/>
      <x:c r="D114" s="14"/>
      <x:c r="E114" s="14"/>
      <x:c r="F114" s="14" t="str">
        <x:v>YES</x:v>
      </x:c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 t="str">
        <x:v>NO</x:v>
      </x:c>
      <x:c r="T114" s="14"/>
      <x:c r="U114" s="14"/>
      <x:c r="V114" s="14"/>
    </x:row>
    <x:row r="115">
      <x:c r="A115" s="14" t="n">
        <x:v>114</x:v>
      </x:c>
      <x:c r="B115" s="14"/>
      <x:c r="C115" s="14"/>
      <x:c r="D115" s="14"/>
      <x:c r="E115" s="14"/>
      <x:c r="F115" s="14" t="str">
        <x:v>YES</x:v>
      </x:c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 t="str">
        <x:v>NO</x:v>
      </x:c>
      <x:c r="T115" s="14"/>
      <x:c r="U115" s="14"/>
      <x:c r="V115" s="14"/>
    </x:row>
    <x:row r="116">
      <x:c r="A116" s="14" t="n">
        <x:v>115</x:v>
      </x:c>
      <x:c r="B116" s="14"/>
      <x:c r="C116" s="14"/>
      <x:c r="D116" s="14"/>
      <x:c r="E116" s="14"/>
      <x:c r="F116" s="14" t="str">
        <x:v>YES</x:v>
      </x:c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 t="str">
        <x:v>NO</x:v>
      </x:c>
      <x:c r="T116" s="14"/>
      <x:c r="U116" s="14"/>
      <x:c r="V116" s="14"/>
    </x:row>
    <x:row r="117">
      <x:c r="A117" s="14" t="n">
        <x:v>116</x:v>
      </x:c>
      <x:c r="B117" s="14"/>
      <x:c r="C117" s="14"/>
      <x:c r="D117" s="14"/>
      <x:c r="E117" s="14"/>
      <x:c r="F117" s="14" t="str">
        <x:v>YES</x:v>
      </x:c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 t="str">
        <x:v>NO</x:v>
      </x:c>
      <x:c r="T117" s="14"/>
      <x:c r="U117" s="14"/>
      <x:c r="V117" s="14"/>
    </x:row>
    <x:row r="118">
      <x:c r="A118" s="14" t="n">
        <x:v>117</x:v>
      </x:c>
      <x:c r="B118" s="14"/>
      <x:c r="C118" s="14"/>
      <x:c r="D118" s="14"/>
      <x:c r="E118" s="14"/>
      <x:c r="F118" s="14" t="str">
        <x:v>YES</x:v>
      </x:c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 t="str">
        <x:v>NO</x:v>
      </x:c>
      <x:c r="T118" s="14"/>
      <x:c r="U118" s="14"/>
      <x:c r="V118" s="14"/>
    </x:row>
    <x:row r="119">
      <x:c r="A119" s="14" t="n">
        <x:v>118</x:v>
      </x:c>
      <x:c r="B119" s="14"/>
      <x:c r="C119" s="14"/>
      <x:c r="D119" s="14"/>
      <x:c r="E119" s="14"/>
      <x:c r="F119" s="14" t="str">
        <x:v>YES</x:v>
      </x:c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 t="str">
        <x:v>NO</x:v>
      </x:c>
      <x:c r="T119" s="14"/>
      <x:c r="U119" s="14"/>
      <x:c r="V119" s="14"/>
    </x:row>
    <x:row r="120">
      <x:c r="A120" s="14" t="n">
        <x:v>119</x:v>
      </x:c>
      <x:c r="B120" s="14"/>
      <x:c r="C120" s="14"/>
      <x:c r="D120" s="14"/>
      <x:c r="E120" s="14"/>
      <x:c r="F120" s="14" t="str">
        <x:v>YES</x:v>
      </x:c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 t="str">
        <x:v>NO</x:v>
      </x:c>
      <x:c r="T120" s="14"/>
      <x:c r="U120" s="14"/>
      <x:c r="V120" s="14"/>
    </x:row>
    <x:row r="121">
      <x:c r="A121" s="14" t="n">
        <x:v>120</x:v>
      </x:c>
      <x:c r="B121" s="14"/>
      <x:c r="C121" s="14"/>
      <x:c r="D121" s="14"/>
      <x:c r="E121" s="14"/>
      <x:c r="F121" s="14" t="str">
        <x:v>YES</x:v>
      </x:c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 t="str">
        <x:v>NO</x:v>
      </x:c>
      <x:c r="T121" s="14"/>
      <x:c r="U121" s="14"/>
      <x:c r="V121" s="14"/>
    </x:row>
    <x:row r="122">
      <x:c r="A122" s="14" t="n">
        <x:v>121</x:v>
      </x:c>
      <x:c r="B122" s="14"/>
      <x:c r="C122" s="14"/>
      <x:c r="D122" s="14"/>
      <x:c r="E122" s="14"/>
      <x:c r="F122" s="14" t="str">
        <x:v>YES</x:v>
      </x:c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 t="str">
        <x:v>NO</x:v>
      </x:c>
      <x:c r="T122" s="14"/>
      <x:c r="U122" s="14"/>
      <x:c r="V122" s="14"/>
    </x:row>
    <x:row r="123">
      <x:c r="A123" s="14" t="n">
        <x:v>122</x:v>
      </x:c>
      <x:c r="B123" s="14"/>
      <x:c r="C123" s="14"/>
      <x:c r="D123" s="14"/>
      <x:c r="E123" s="14"/>
      <x:c r="F123" s="14" t="str">
        <x:v>YES</x:v>
      </x:c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 t="str">
        <x:v>NO</x:v>
      </x:c>
      <x:c r="T123" s="14"/>
      <x:c r="U123" s="14"/>
      <x:c r="V123" s="14"/>
    </x:row>
    <x:row r="124">
      <x:c r="A124" s="14" t="n">
        <x:v>123</x:v>
      </x:c>
      <x:c r="B124" s="14"/>
      <x:c r="C124" s="14"/>
      <x:c r="D124" s="14"/>
      <x:c r="E124" s="14"/>
      <x:c r="F124" s="14" t="str">
        <x:v>YES</x:v>
      </x:c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 t="str">
        <x:v>NO</x:v>
      </x:c>
      <x:c r="T124" s="14"/>
      <x:c r="U124" s="14"/>
      <x:c r="V124" s="14"/>
    </x:row>
    <x:row r="125">
      <x:c r="A125" s="14" t="n">
        <x:v>124</x:v>
      </x:c>
      <x:c r="B125" s="14"/>
      <x:c r="C125" s="14"/>
      <x:c r="D125" s="14"/>
      <x:c r="E125" s="14"/>
      <x:c r="F125" s="14" t="str">
        <x:v>YES</x:v>
      </x:c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 t="str">
        <x:v>NO</x:v>
      </x:c>
      <x:c r="T125" s="14"/>
      <x:c r="U125" s="14"/>
      <x:c r="V125" s="14"/>
    </x:row>
    <x:row r="126">
      <x:c r="A126" s="14" t="n">
        <x:v>125</x:v>
      </x:c>
      <x:c r="B126" s="14"/>
      <x:c r="C126" s="14"/>
      <x:c r="D126" s="14"/>
      <x:c r="E126" s="14"/>
      <x:c r="F126" s="14" t="str">
        <x:v>YES</x:v>
      </x:c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 t="str">
        <x:v>NO</x:v>
      </x:c>
      <x:c r="T126" s="14"/>
      <x:c r="U126" s="14"/>
      <x:c r="V126" s="14"/>
    </x:row>
    <x:row r="127">
      <x:c r="A127" s="14" t="n">
        <x:v>126</x:v>
      </x:c>
      <x:c r="B127" s="14"/>
      <x:c r="C127" s="14"/>
      <x:c r="D127" s="14"/>
      <x:c r="E127" s="14"/>
      <x:c r="F127" s="14" t="str">
        <x:v>YES</x:v>
      </x:c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 t="str">
        <x:v>NO</x:v>
      </x:c>
      <x:c r="T127" s="14"/>
      <x:c r="U127" s="14"/>
      <x:c r="V127" s="14"/>
    </x:row>
    <x:row r="128">
      <x:c r="A128" s="14" t="n">
        <x:v>127</x:v>
      </x:c>
      <x:c r="B128" s="14"/>
      <x:c r="C128" s="14"/>
      <x:c r="D128" s="14"/>
      <x:c r="E128" s="14"/>
      <x:c r="F128" s="14" t="str">
        <x:v>YES</x:v>
      </x:c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 t="str">
        <x:v>NO</x:v>
      </x:c>
      <x:c r="T128" s="14"/>
      <x:c r="U128" s="14"/>
      <x:c r="V128" s="14"/>
    </x:row>
    <x:row r="129">
      <x:c r="A129" s="14" t="n">
        <x:v>128</x:v>
      </x:c>
      <x:c r="B129" s="14"/>
      <x:c r="C129" s="14"/>
      <x:c r="D129" s="14"/>
      <x:c r="E129" s="14"/>
      <x:c r="F129" s="14" t="str">
        <x:v>YES</x:v>
      </x:c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 t="str">
        <x:v>NO</x:v>
      </x:c>
      <x:c r="T129" s="14"/>
      <x:c r="U129" s="14"/>
      <x:c r="V129" s="14"/>
    </x:row>
    <x:row r="130">
      <x:c r="A130" s="14" t="n">
        <x:v>129</x:v>
      </x:c>
      <x:c r="B130" s="14"/>
      <x:c r="C130" s="14"/>
      <x:c r="D130" s="14"/>
      <x:c r="E130" s="14"/>
      <x:c r="F130" s="14" t="str">
        <x:v>YES</x:v>
      </x:c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 t="str">
        <x:v>NO</x:v>
      </x:c>
      <x:c r="T130" s="14"/>
      <x:c r="U130" s="14"/>
      <x:c r="V130" s="14"/>
    </x:row>
    <x:row r="131">
      <x:c r="A131" s="14" t="n">
        <x:v>130</x:v>
      </x:c>
      <x:c r="B131" s="14"/>
      <x:c r="C131" s="14"/>
      <x:c r="D131" s="14"/>
      <x:c r="E131" s="14"/>
      <x:c r="F131" s="14" t="str">
        <x:v>YES</x:v>
      </x:c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 t="str">
        <x:v>NO</x:v>
      </x:c>
      <x:c r="T131" s="14"/>
      <x:c r="U131" s="14"/>
      <x:c r="V131" s="14"/>
    </x:row>
    <x:row r="132">
      <x:c r="A132" s="14" t="n">
        <x:v>131</x:v>
      </x:c>
      <x:c r="B132" s="14"/>
      <x:c r="C132" s="14"/>
      <x:c r="D132" s="14"/>
      <x:c r="E132" s="14"/>
      <x:c r="F132" s="14" t="str">
        <x:v>YES</x:v>
      </x:c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 t="str">
        <x:v>NO</x:v>
      </x:c>
      <x:c r="T132" s="14"/>
      <x:c r="U132" s="14"/>
      <x:c r="V132" s="14"/>
    </x:row>
    <x:row r="133">
      <x:c r="A133" s="14" t="n">
        <x:v>132</x:v>
      </x:c>
      <x:c r="B133" s="14"/>
      <x:c r="C133" s="14"/>
      <x:c r="D133" s="14"/>
      <x:c r="E133" s="14"/>
      <x:c r="F133" s="14" t="str">
        <x:v>YES</x:v>
      </x:c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 t="str">
        <x:v>NO</x:v>
      </x:c>
      <x:c r="T133" s="14"/>
      <x:c r="U133" s="14"/>
      <x:c r="V133" s="14"/>
    </x:row>
    <x:row r="134">
      <x:c r="A134" s="14" t="n">
        <x:v>133</x:v>
      </x:c>
      <x:c r="B134" s="14"/>
      <x:c r="C134" s="14"/>
      <x:c r="D134" s="14"/>
      <x:c r="E134" s="14"/>
      <x:c r="F134" s="14" t="str">
        <x:v>YES</x:v>
      </x:c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 t="str">
        <x:v>NO</x:v>
      </x:c>
      <x:c r="T134" s="14"/>
      <x:c r="U134" s="14"/>
      <x:c r="V134" s="14"/>
    </x:row>
    <x:row r="135">
      <x:c r="A135" s="14" t="n">
        <x:v>134</x:v>
      </x:c>
      <x:c r="B135" s="14"/>
      <x:c r="C135" s="14"/>
      <x:c r="D135" s="14"/>
      <x:c r="E135" s="14"/>
      <x:c r="F135" s="14" t="str">
        <x:v>YES</x:v>
      </x:c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 t="str">
        <x:v>NO</x:v>
      </x:c>
      <x:c r="T135" s="14"/>
      <x:c r="U135" s="14"/>
      <x:c r="V135" s="14"/>
    </x:row>
    <x:row r="136">
      <x:c r="A136" s="14" t="n">
        <x:v>135</x:v>
      </x:c>
      <x:c r="B136" s="14"/>
      <x:c r="C136" s="14"/>
      <x:c r="D136" s="14"/>
      <x:c r="E136" s="14"/>
      <x:c r="F136" s="14" t="str">
        <x:v>YES</x:v>
      </x:c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 t="str">
        <x:v>NO</x:v>
      </x:c>
      <x:c r="T136" s="14"/>
      <x:c r="U136" s="14"/>
      <x:c r="V136" s="14"/>
    </x:row>
    <x:row r="137">
      <x:c r="A137" s="14" t="n">
        <x:v>136</x:v>
      </x:c>
      <x:c r="B137" s="14"/>
      <x:c r="C137" s="14"/>
      <x:c r="D137" s="14"/>
      <x:c r="E137" s="14"/>
      <x:c r="F137" s="14" t="str">
        <x:v>YES</x:v>
      </x:c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 t="str">
        <x:v>NO</x:v>
      </x:c>
      <x:c r="T137" s="14"/>
      <x:c r="U137" s="14"/>
      <x:c r="V137" s="14"/>
    </x:row>
    <x:row r="138">
      <x:c r="A138" s="14" t="n">
        <x:v>137</x:v>
      </x:c>
      <x:c r="B138" s="14"/>
      <x:c r="C138" s="14"/>
      <x:c r="D138" s="14"/>
      <x:c r="E138" s="14"/>
      <x:c r="F138" s="14" t="str">
        <x:v>YES</x:v>
      </x:c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 t="str">
        <x:v>NO</x:v>
      </x:c>
      <x:c r="T138" s="14"/>
      <x:c r="U138" s="14"/>
      <x:c r="V138" s="14"/>
    </x:row>
    <x:row r="139">
      <x:c r="A139" s="14" t="n">
        <x:v>138</x:v>
      </x:c>
      <x:c r="B139" s="14"/>
      <x:c r="C139" s="14"/>
      <x:c r="D139" s="14"/>
      <x:c r="E139" s="14"/>
      <x:c r="F139" s="14" t="str">
        <x:v>YES</x:v>
      </x:c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 t="str">
        <x:v>NO</x:v>
      </x:c>
      <x:c r="T139" s="14"/>
      <x:c r="U139" s="14"/>
      <x:c r="V139" s="14"/>
    </x:row>
    <x:row r="140">
      <x:c r="A140" s="14" t="n">
        <x:v>139</x:v>
      </x:c>
      <x:c r="B140" s="14"/>
      <x:c r="C140" s="14"/>
      <x:c r="D140" s="14"/>
      <x:c r="E140" s="14"/>
      <x:c r="F140" s="14" t="str">
        <x:v>YES</x:v>
      </x:c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 t="str">
        <x:v>NO</x:v>
      </x:c>
      <x:c r="T140" s="14"/>
      <x:c r="U140" s="14"/>
      <x:c r="V140" s="14"/>
    </x:row>
    <x:row r="141">
      <x:c r="A141" s="14" t="n">
        <x:v>140</x:v>
      </x:c>
      <x:c r="B141" s="14"/>
      <x:c r="C141" s="14"/>
      <x:c r="D141" s="14"/>
      <x:c r="E141" s="14"/>
      <x:c r="F141" s="14" t="str">
        <x:v>YES</x:v>
      </x:c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 t="str">
        <x:v>NO</x:v>
      </x:c>
      <x:c r="T141" s="14"/>
      <x:c r="U141" s="14"/>
      <x:c r="V141" s="14"/>
    </x:row>
    <x:row r="142">
      <x:c r="A142" s="14" t="n">
        <x:v>141</x:v>
      </x:c>
      <x:c r="B142" s="14"/>
      <x:c r="C142" s="14"/>
      <x:c r="D142" s="14"/>
      <x:c r="E142" s="14"/>
      <x:c r="F142" s="14" t="str">
        <x:v>YES</x:v>
      </x:c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 t="str">
        <x:v>NO</x:v>
      </x:c>
      <x:c r="T142" s="14"/>
      <x:c r="U142" s="14"/>
      <x:c r="V142" s="14"/>
    </x:row>
    <x:row r="143">
      <x:c r="A143" s="14" t="n">
        <x:v>142</x:v>
      </x:c>
      <x:c r="B143" s="14"/>
      <x:c r="C143" s="14"/>
      <x:c r="D143" s="14"/>
      <x:c r="E143" s="14"/>
      <x:c r="F143" s="14" t="str">
        <x:v>YES</x:v>
      </x:c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 t="str">
        <x:v>NO</x:v>
      </x:c>
      <x:c r="T143" s="14"/>
      <x:c r="U143" s="14"/>
      <x:c r="V143" s="14"/>
    </x:row>
    <x:row r="144">
      <x:c r="A144" s="14" t="n">
        <x:v>143</x:v>
      </x:c>
      <x:c r="B144" s="14"/>
      <x:c r="C144" s="14"/>
      <x:c r="D144" s="14"/>
      <x:c r="E144" s="14"/>
      <x:c r="F144" s="14" t="str">
        <x:v>YES</x:v>
      </x:c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 t="str">
        <x:v>NO</x:v>
      </x:c>
      <x:c r="T144" s="14"/>
      <x:c r="U144" s="14"/>
      <x:c r="V144" s="14"/>
    </x:row>
    <x:row r="145">
      <x:c r="A145" s="14" t="n">
        <x:v>144</x:v>
      </x:c>
      <x:c r="B145" s="14"/>
      <x:c r="C145" s="14"/>
      <x:c r="D145" s="14"/>
      <x:c r="E145" s="14"/>
      <x:c r="F145" s="14" t="str">
        <x:v>YES</x:v>
      </x:c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 t="str">
        <x:v>NO</x:v>
      </x:c>
      <x:c r="T145" s="14"/>
      <x:c r="U145" s="14"/>
      <x:c r="V145" s="14"/>
    </x:row>
    <x:row r="146">
      <x:c r="A146" s="14" t="n">
        <x:v>145</x:v>
      </x:c>
      <x:c r="B146" s="14"/>
      <x:c r="C146" s="14"/>
      <x:c r="D146" s="14"/>
      <x:c r="E146" s="14"/>
      <x:c r="F146" s="14" t="str">
        <x:v>YES</x:v>
      </x:c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 t="str">
        <x:v>NO</x:v>
      </x:c>
      <x:c r="T146" s="14"/>
      <x:c r="U146" s="14"/>
      <x:c r="V146" s="14"/>
    </x:row>
    <x:row r="147">
      <x:c r="A147" s="14" t="n">
        <x:v>146</x:v>
      </x:c>
      <x:c r="B147" s="14"/>
      <x:c r="C147" s="14"/>
      <x:c r="D147" s="14"/>
      <x:c r="E147" s="14"/>
      <x:c r="F147" s="14" t="str">
        <x:v>YES</x:v>
      </x:c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 t="str">
        <x:v>NO</x:v>
      </x:c>
      <x:c r="T147" s="14"/>
      <x:c r="U147" s="14"/>
      <x:c r="V147" s="14"/>
    </x:row>
    <x:row r="148">
      <x:c r="A148" s="14" t="n">
        <x:v>147</x:v>
      </x:c>
      <x:c r="B148" s="14"/>
      <x:c r="C148" s="14"/>
      <x:c r="D148" s="14"/>
      <x:c r="E148" s="14"/>
      <x:c r="F148" s="14" t="str">
        <x:v>YES</x:v>
      </x:c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 t="str">
        <x:v>NO</x:v>
      </x:c>
      <x:c r="T148" s="14"/>
      <x:c r="U148" s="14"/>
      <x:c r="V148" s="14"/>
    </x:row>
    <x:row r="149">
      <x:c r="A149" s="14" t="n">
        <x:v>148</x:v>
      </x:c>
      <x:c r="B149" s="14"/>
      <x:c r="C149" s="14"/>
      <x:c r="D149" s="14"/>
      <x:c r="E149" s="14"/>
      <x:c r="F149" s="14" t="str">
        <x:v>YES</x:v>
      </x:c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 t="str">
        <x:v>NO</x:v>
      </x:c>
      <x:c r="T149" s="14"/>
      <x:c r="U149" s="14"/>
      <x:c r="V149" s="14"/>
    </x:row>
    <x:row r="150">
      <x:c r="A150" s="14" t="n">
        <x:v>149</x:v>
      </x:c>
      <x:c r="B150" s="14"/>
      <x:c r="C150" s="14"/>
      <x:c r="D150" s="14"/>
      <x:c r="E150" s="14"/>
      <x:c r="F150" s="14" t="str">
        <x:v>YES</x:v>
      </x:c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 t="str">
        <x:v>NO</x:v>
      </x:c>
      <x:c r="T150" s="14"/>
      <x:c r="U150" s="14"/>
      <x:c r="V150" s="14"/>
    </x:row>
    <x:row r="151">
      <x:c r="A151" s="14" t="n">
        <x:v>150</x:v>
      </x:c>
      <x:c r="B151" s="14"/>
      <x:c r="C151" s="14"/>
      <x:c r="D151" s="14"/>
      <x:c r="E151" s="14"/>
      <x:c r="F151" s="14" t="str">
        <x:v>YES</x:v>
      </x:c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 t="str">
        <x:v>NO</x:v>
      </x:c>
      <x:c r="T151" s="14"/>
      <x:c r="U151" s="14"/>
      <x:c r="V151" s="14"/>
    </x:row>
    <x:row r="152">
      <x:c r="A152" s="14" t="n">
        <x:v>151</x:v>
      </x:c>
      <x:c r="B152" s="14"/>
      <x:c r="C152" s="14"/>
      <x:c r="D152" s="14"/>
      <x:c r="E152" s="14"/>
      <x:c r="F152" s="14" t="str">
        <x:v>YES</x:v>
      </x:c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 t="str">
        <x:v>NO</x:v>
      </x:c>
      <x:c r="T152" s="14"/>
      <x:c r="U152" s="14"/>
      <x:c r="V152" s="14"/>
    </x:row>
    <x:row r="153">
      <x:c r="A153" s="14" t="n">
        <x:v>152</x:v>
      </x:c>
      <x:c r="B153" s="14"/>
      <x:c r="C153" s="14"/>
      <x:c r="D153" s="14"/>
      <x:c r="E153" s="14"/>
      <x:c r="F153" s="14" t="str">
        <x:v>YES</x:v>
      </x:c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 t="str">
        <x:v>NO</x:v>
      </x:c>
      <x:c r="T153" s="14"/>
      <x:c r="U153" s="14"/>
      <x:c r="V153" s="14"/>
    </x:row>
    <x:row r="154">
      <x:c r="A154" s="14" t="n">
        <x:v>153</x:v>
      </x:c>
      <x:c r="B154" s="14"/>
      <x:c r="C154" s="14"/>
      <x:c r="D154" s="14"/>
      <x:c r="E154" s="14"/>
      <x:c r="F154" s="14" t="str">
        <x:v>YES</x:v>
      </x:c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 t="str">
        <x:v>NO</x:v>
      </x:c>
      <x:c r="T154" s="14"/>
      <x:c r="U154" s="14"/>
      <x:c r="V154" s="14"/>
    </x:row>
    <x:row r="155">
      <x:c r="A155" s="14" t="n">
        <x:v>154</x:v>
      </x:c>
      <x:c r="B155" s="14"/>
      <x:c r="C155" s="14"/>
      <x:c r="D155" s="14"/>
      <x:c r="E155" s="14"/>
      <x:c r="F155" s="14" t="str">
        <x:v>YES</x:v>
      </x:c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 t="str">
        <x:v>NO</x:v>
      </x:c>
      <x:c r="T155" s="14"/>
      <x:c r="U155" s="14"/>
      <x:c r="V155" s="14"/>
    </x:row>
    <x:row r="156">
      <x:c r="A156" s="14" t="n">
        <x:v>155</x:v>
      </x:c>
      <x:c r="B156" s="14"/>
      <x:c r="C156" s="14"/>
      <x:c r="D156" s="14"/>
      <x:c r="E156" s="14"/>
      <x:c r="F156" s="14" t="str">
        <x:v>YES</x:v>
      </x:c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 t="str">
        <x:v>NO</x:v>
      </x:c>
      <x:c r="T156" s="14"/>
      <x:c r="U156" s="14"/>
      <x:c r="V156" s="14"/>
    </x:row>
    <x:row r="157">
      <x:c r="A157" s="14" t="n">
        <x:v>156</x:v>
      </x:c>
      <x:c r="B157" s="14"/>
      <x:c r="C157" s="14"/>
      <x:c r="D157" s="14"/>
      <x:c r="E157" s="14"/>
      <x:c r="F157" s="14" t="str">
        <x:v>YES</x:v>
      </x:c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 t="str">
        <x:v>NO</x:v>
      </x:c>
      <x:c r="T157" s="14"/>
      <x:c r="U157" s="14"/>
      <x:c r="V157" s="14"/>
    </x:row>
    <x:row r="158">
      <x:c r="A158" s="14" t="n">
        <x:v>157</x:v>
      </x:c>
      <x:c r="B158" s="14"/>
      <x:c r="C158" s="14"/>
      <x:c r="D158" s="14"/>
      <x:c r="E158" s="14"/>
      <x:c r="F158" s="14" t="str">
        <x:v>YES</x:v>
      </x:c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 t="str">
        <x:v>NO</x:v>
      </x:c>
      <x:c r="T158" s="14"/>
      <x:c r="U158" s="14"/>
      <x:c r="V158" s="14"/>
    </x:row>
    <x:row r="159">
      <x:c r="A159" s="14" t="n">
        <x:v>158</x:v>
      </x:c>
      <x:c r="B159" s="14"/>
      <x:c r="C159" s="14"/>
      <x:c r="D159" s="14"/>
      <x:c r="E159" s="14"/>
      <x:c r="F159" s="14" t="str">
        <x:v>YES</x:v>
      </x:c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 t="str">
        <x:v>NO</x:v>
      </x:c>
      <x:c r="T159" s="14"/>
      <x:c r="U159" s="14"/>
      <x:c r="V159" s="14"/>
    </x:row>
    <x:row r="160">
      <x:c r="A160" s="14" t="n">
        <x:v>159</x:v>
      </x:c>
      <x:c r="B160" s="14"/>
      <x:c r="C160" s="14"/>
      <x:c r="D160" s="14"/>
      <x:c r="E160" s="14"/>
      <x:c r="F160" s="14" t="str">
        <x:v>YES</x:v>
      </x:c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 t="str">
        <x:v>NO</x:v>
      </x:c>
      <x:c r="T160" s="14"/>
      <x:c r="U160" s="14"/>
      <x:c r="V160" s="14"/>
    </x:row>
    <x:row r="161">
      <x:c r="A161" s="14" t="n">
        <x:v>160</x:v>
      </x:c>
      <x:c r="B161" s="14"/>
      <x:c r="C161" s="14"/>
      <x:c r="D161" s="14"/>
      <x:c r="E161" s="14"/>
      <x:c r="F161" s="14" t="str">
        <x:v>YES</x:v>
      </x:c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 t="str">
        <x:v>NO</x:v>
      </x:c>
      <x:c r="T161" s="14"/>
      <x:c r="U161" s="14"/>
      <x:c r="V161" s="14"/>
    </x:row>
    <x:row r="162">
      <x:c r="A162" s="14" t="n">
        <x:v>161</x:v>
      </x:c>
      <x:c r="B162" s="14"/>
      <x:c r="C162" s="14"/>
      <x:c r="D162" s="14"/>
      <x:c r="E162" s="14"/>
      <x:c r="F162" s="14" t="str">
        <x:v>YES</x:v>
      </x:c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 t="str">
        <x:v>NO</x:v>
      </x:c>
      <x:c r="T162" s="14"/>
      <x:c r="U162" s="14"/>
      <x:c r="V162" s="14"/>
    </x:row>
    <x:row r="163">
      <x:c r="A163" s="14" t="n">
        <x:v>162</x:v>
      </x:c>
      <x:c r="B163" s="14"/>
      <x:c r="C163" s="14"/>
      <x:c r="D163" s="14"/>
      <x:c r="E163" s="14"/>
      <x:c r="F163" s="14" t="str">
        <x:v>YES</x:v>
      </x:c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 t="str">
        <x:v>NO</x:v>
      </x:c>
      <x:c r="T163" s="14"/>
      <x:c r="U163" s="14"/>
      <x:c r="V163" s="14"/>
    </x:row>
    <x:row r="164">
      <x:c r="A164" s="14" t="n">
        <x:v>163</x:v>
      </x:c>
      <x:c r="B164" s="14"/>
      <x:c r="C164" s="14"/>
      <x:c r="D164" s="14"/>
      <x:c r="E164" s="14"/>
      <x:c r="F164" s="14" t="str">
        <x:v>YES</x:v>
      </x:c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 t="str">
        <x:v>NO</x:v>
      </x:c>
      <x:c r="T164" s="14"/>
      <x:c r="U164" s="14"/>
      <x:c r="V164" s="14"/>
    </x:row>
    <x:row r="165">
      <x:c r="A165" s="14" t="n">
        <x:v>164</x:v>
      </x:c>
      <x:c r="B165" s="14"/>
      <x:c r="C165" s="14"/>
      <x:c r="D165" s="14"/>
      <x:c r="E165" s="14"/>
      <x:c r="F165" s="14" t="str">
        <x:v>YES</x:v>
      </x:c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 t="str">
        <x:v>NO</x:v>
      </x:c>
      <x:c r="T165" s="14"/>
      <x:c r="U165" s="14"/>
      <x:c r="V165" s="14"/>
    </x:row>
    <x:row r="166">
      <x:c r="A166" s="14" t="n">
        <x:v>165</x:v>
      </x:c>
      <x:c r="B166" s="14"/>
      <x:c r="C166" s="14"/>
      <x:c r="D166" s="14"/>
      <x:c r="E166" s="14"/>
      <x:c r="F166" s="14" t="str">
        <x:v>YES</x:v>
      </x:c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 t="str">
        <x:v>NO</x:v>
      </x:c>
      <x:c r="T166" s="14"/>
      <x:c r="U166" s="14"/>
      <x:c r="V166" s="14"/>
    </x:row>
    <x:row r="167">
      <x:c r="A167" s="14" t="n">
        <x:v>166</x:v>
      </x:c>
      <x:c r="B167" s="14"/>
      <x:c r="C167" s="14"/>
      <x:c r="D167" s="14"/>
      <x:c r="E167" s="14"/>
      <x:c r="F167" s="14" t="str">
        <x:v>YES</x:v>
      </x:c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 t="str">
        <x:v>NO</x:v>
      </x:c>
      <x:c r="T167" s="14"/>
      <x:c r="U167" s="14"/>
      <x:c r="V167" s="14"/>
    </x:row>
    <x:row r="168">
      <x:c r="A168" s="14" t="n">
        <x:v>167</x:v>
      </x:c>
      <x:c r="B168" s="14"/>
      <x:c r="C168" s="14"/>
      <x:c r="D168" s="14"/>
      <x:c r="E168" s="14"/>
      <x:c r="F168" s="14" t="str">
        <x:v>YES</x:v>
      </x:c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 t="str">
        <x:v>NO</x:v>
      </x:c>
      <x:c r="T168" s="14"/>
      <x:c r="U168" s="14"/>
      <x:c r="V168" s="14"/>
    </x:row>
    <x:row r="169">
      <x:c r="A169" s="14" t="n">
        <x:v>168</x:v>
      </x:c>
      <x:c r="B169" s="14"/>
      <x:c r="C169" s="14"/>
      <x:c r="D169" s="14"/>
      <x:c r="E169" s="14"/>
      <x:c r="F169" s="14" t="str">
        <x:v>YES</x:v>
      </x:c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 t="str">
        <x:v>NO</x:v>
      </x:c>
      <x:c r="T169" s="14"/>
      <x:c r="U169" s="14"/>
      <x:c r="V169" s="14"/>
    </x:row>
    <x:row r="170">
      <x:c r="A170" s="14" t="n">
        <x:v>169</x:v>
      </x:c>
      <x:c r="B170" s="14"/>
      <x:c r="C170" s="14"/>
      <x:c r="D170" s="14"/>
      <x:c r="E170" s="14"/>
      <x:c r="F170" s="14" t="str">
        <x:v>YES</x:v>
      </x:c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 t="str">
        <x:v>NO</x:v>
      </x:c>
      <x:c r="T170" s="14"/>
      <x:c r="U170" s="14"/>
      <x:c r="V170" s="14"/>
    </x:row>
    <x:row r="171">
      <x:c r="A171" s="14" t="n">
        <x:v>170</x:v>
      </x:c>
      <x:c r="B171" s="14"/>
      <x:c r="C171" s="14"/>
      <x:c r="D171" s="14"/>
      <x:c r="E171" s="14"/>
      <x:c r="F171" s="14" t="str">
        <x:v>YES</x:v>
      </x:c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 t="str">
        <x:v>NO</x:v>
      </x:c>
      <x:c r="T171" s="14"/>
      <x:c r="U171" s="14"/>
      <x:c r="V171" s="14"/>
    </x:row>
    <x:row r="172">
      <x:c r="A172" s="14" t="n">
        <x:v>171</x:v>
      </x:c>
      <x:c r="B172" s="14"/>
      <x:c r="C172" s="14"/>
      <x:c r="D172" s="14"/>
      <x:c r="E172" s="14"/>
      <x:c r="F172" s="14" t="str">
        <x:v>YES</x:v>
      </x:c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 t="str">
        <x:v>NO</x:v>
      </x:c>
      <x:c r="T172" s="14"/>
      <x:c r="U172" s="14"/>
      <x:c r="V172" s="14"/>
    </x:row>
    <x:row r="173">
      <x:c r="A173" s="14" t="n">
        <x:v>172</x:v>
      </x:c>
      <x:c r="B173" s="14"/>
      <x:c r="C173" s="14"/>
      <x:c r="D173" s="14"/>
      <x:c r="E173" s="14"/>
      <x:c r="F173" s="14" t="str">
        <x:v>YES</x:v>
      </x:c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 t="str">
        <x:v>NO</x:v>
      </x:c>
      <x:c r="T173" s="14"/>
      <x:c r="U173" s="14"/>
      <x:c r="V173" s="14"/>
    </x:row>
    <x:row r="174">
      <x:c r="A174" s="14" t="n">
        <x:v>173</x:v>
      </x:c>
      <x:c r="B174" s="14"/>
      <x:c r="C174" s="14"/>
      <x:c r="D174" s="14"/>
      <x:c r="E174" s="14"/>
      <x:c r="F174" s="14" t="str">
        <x:v>YES</x:v>
      </x:c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 t="str">
        <x:v>NO</x:v>
      </x:c>
      <x:c r="T174" s="14"/>
      <x:c r="U174" s="14"/>
      <x:c r="V174" s="14"/>
    </x:row>
    <x:row r="175">
      <x:c r="A175" s="14" t="n">
        <x:v>174</x:v>
      </x:c>
      <x:c r="B175" s="14"/>
      <x:c r="C175" s="14"/>
      <x:c r="D175" s="14"/>
      <x:c r="E175" s="14"/>
      <x:c r="F175" s="14" t="str">
        <x:v>YES</x:v>
      </x:c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 t="str">
        <x:v>NO</x:v>
      </x:c>
      <x:c r="T175" s="14"/>
      <x:c r="U175" s="14"/>
      <x:c r="V175" s="14"/>
    </x:row>
    <x:row r="176">
      <x:c r="A176" s="14" t="n">
        <x:v>175</x:v>
      </x:c>
      <x:c r="B176" s="14"/>
      <x:c r="C176" s="14"/>
      <x:c r="D176" s="14"/>
      <x:c r="E176" s="14"/>
      <x:c r="F176" s="14" t="str">
        <x:v>YES</x:v>
      </x:c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 t="str">
        <x:v>NO</x:v>
      </x:c>
      <x:c r="T176" s="14"/>
      <x:c r="U176" s="14"/>
      <x:c r="V176" s="14"/>
    </x:row>
    <x:row r="177">
      <x:c r="A177" s="14" t="n">
        <x:v>176</x:v>
      </x:c>
      <x:c r="B177" s="14"/>
      <x:c r="C177" s="14"/>
      <x:c r="D177" s="14"/>
      <x:c r="E177" s="14"/>
      <x:c r="F177" s="14" t="str">
        <x:v>YES</x:v>
      </x:c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 t="str">
        <x:v>NO</x:v>
      </x:c>
      <x:c r="T177" s="14"/>
      <x:c r="U177" s="14"/>
      <x:c r="V177" s="14"/>
    </x:row>
    <x:row r="178">
      <x:c r="A178" s="14" t="n">
        <x:v>177</x:v>
      </x:c>
      <x:c r="B178" s="14"/>
      <x:c r="C178" s="14"/>
      <x:c r="D178" s="14"/>
      <x:c r="E178" s="14"/>
      <x:c r="F178" s="14" t="str">
        <x:v>YES</x:v>
      </x:c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 t="str">
        <x:v>NO</x:v>
      </x:c>
      <x:c r="T178" s="14"/>
      <x:c r="U178" s="14"/>
      <x:c r="V178" s="14"/>
    </x:row>
    <x:row r="179">
      <x:c r="A179" s="14" t="n">
        <x:v>178</x:v>
      </x:c>
      <x:c r="B179" s="14"/>
      <x:c r="C179" s="14"/>
      <x:c r="D179" s="14"/>
      <x:c r="E179" s="14"/>
      <x:c r="F179" s="14" t="str">
        <x:v>YES</x:v>
      </x:c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 t="str">
        <x:v>NO</x:v>
      </x:c>
      <x:c r="T179" s="14"/>
      <x:c r="U179" s="14"/>
      <x:c r="V179" s="14"/>
    </x:row>
    <x:row r="180">
      <x:c r="A180" s="14" t="n">
        <x:v>179</x:v>
      </x:c>
      <x:c r="B180" s="14"/>
      <x:c r="C180" s="14"/>
      <x:c r="D180" s="14"/>
      <x:c r="E180" s="14"/>
      <x:c r="F180" s="14" t="str">
        <x:v>YES</x:v>
      </x:c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 t="str">
        <x:v>NO</x:v>
      </x:c>
      <x:c r="T180" s="14"/>
      <x:c r="U180" s="14"/>
      <x:c r="V180" s="14"/>
    </x:row>
    <x:row r="181">
      <x:c r="A181" s="14" t="n">
        <x:v>180</x:v>
      </x:c>
      <x:c r="B181" s="14"/>
      <x:c r="C181" s="14"/>
      <x:c r="D181" s="14"/>
      <x:c r="E181" s="14"/>
      <x:c r="F181" s="14" t="str">
        <x:v>YES</x:v>
      </x:c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 t="str">
        <x:v>NO</x:v>
      </x:c>
      <x:c r="T181" s="14"/>
      <x:c r="U181" s="14"/>
      <x:c r="V181" s="14"/>
    </x:row>
    <x:row r="182">
      <x:c r="A182" s="14" t="n">
        <x:v>181</x:v>
      </x:c>
      <x:c r="B182" s="14"/>
      <x:c r="C182" s="14"/>
      <x:c r="D182" s="14"/>
      <x:c r="E182" s="14"/>
      <x:c r="F182" s="14" t="str">
        <x:v>YES</x:v>
      </x:c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 t="str">
        <x:v>NO</x:v>
      </x:c>
      <x:c r="T182" s="14"/>
      <x:c r="U182" s="14"/>
      <x:c r="V182" s="14"/>
    </x:row>
    <x:row r="183">
      <x:c r="A183" s="14" t="n">
        <x:v>182</x:v>
      </x:c>
      <x:c r="B183" s="14"/>
      <x:c r="C183" s="14"/>
      <x:c r="D183" s="14"/>
      <x:c r="E183" s="14"/>
      <x:c r="F183" s="14" t="str">
        <x:v>YES</x:v>
      </x:c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 t="str">
        <x:v>NO</x:v>
      </x:c>
      <x:c r="T183" s="14"/>
      <x:c r="U183" s="14"/>
      <x:c r="V183" s="14"/>
    </x:row>
    <x:row r="184">
      <x:c r="A184" s="14" t="n">
        <x:v>183</x:v>
      </x:c>
      <x:c r="B184" s="14"/>
      <x:c r="C184" s="14"/>
      <x:c r="D184" s="14"/>
      <x:c r="E184" s="14"/>
      <x:c r="F184" s="14" t="str">
        <x:v>YES</x:v>
      </x:c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 t="str">
        <x:v>NO</x:v>
      </x:c>
      <x:c r="T184" s="14"/>
      <x:c r="U184" s="14"/>
      <x:c r="V184" s="14"/>
    </x:row>
    <x:row r="185">
      <x:c r="A185" s="14" t="n">
        <x:v>184</x:v>
      </x:c>
      <x:c r="B185" s="14"/>
      <x:c r="C185" s="14"/>
      <x:c r="D185" s="14"/>
      <x:c r="E185" s="14"/>
      <x:c r="F185" s="14" t="str">
        <x:v>YES</x:v>
      </x:c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 t="str">
        <x:v>NO</x:v>
      </x:c>
      <x:c r="T185" s="14"/>
      <x:c r="U185" s="14"/>
      <x:c r="V185" s="14"/>
    </x:row>
    <x:row r="186">
      <x:c r="A186" s="14" t="n">
        <x:v>185</x:v>
      </x:c>
      <x:c r="B186" s="14"/>
      <x:c r="C186" s="14"/>
      <x:c r="D186" s="14"/>
      <x:c r="E186" s="14"/>
      <x:c r="F186" s="14" t="str">
        <x:v>YES</x:v>
      </x:c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 t="str">
        <x:v>NO</x:v>
      </x:c>
      <x:c r="T186" s="14"/>
      <x:c r="U186" s="14"/>
      <x:c r="V186" s="14"/>
    </x:row>
    <x:row r="187">
      <x:c r="A187" s="14" t="n">
        <x:v>186</x:v>
      </x:c>
      <x:c r="B187" s="14"/>
      <x:c r="C187" s="14"/>
      <x:c r="D187" s="14"/>
      <x:c r="E187" s="14"/>
      <x:c r="F187" s="14" t="str">
        <x:v>YES</x:v>
      </x:c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 t="str">
        <x:v>NO</x:v>
      </x:c>
      <x:c r="T187" s="14"/>
      <x:c r="U187" s="14"/>
      <x:c r="V187" s="14"/>
    </x:row>
    <x:row r="188">
      <x:c r="A188" s="14" t="n">
        <x:v>187</x:v>
      </x:c>
      <x:c r="B188" s="14"/>
      <x:c r="C188" s="14"/>
      <x:c r="D188" s="14"/>
      <x:c r="E188" s="14"/>
      <x:c r="F188" s="14" t="str">
        <x:v>YES</x:v>
      </x:c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 t="str">
        <x:v>NO</x:v>
      </x:c>
      <x:c r="T188" s="14"/>
      <x:c r="U188" s="14"/>
      <x:c r="V188" s="14"/>
    </x:row>
    <x:row r="189">
      <x:c r="A189" s="14" t="n">
        <x:v>188</x:v>
      </x:c>
      <x:c r="B189" s="14"/>
      <x:c r="C189" s="14"/>
      <x:c r="D189" s="14"/>
      <x:c r="E189" s="14"/>
      <x:c r="F189" s="14" t="str">
        <x:v>YES</x:v>
      </x:c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 t="str">
        <x:v>NO</x:v>
      </x:c>
      <x:c r="T189" s="14"/>
      <x:c r="U189" s="14"/>
      <x:c r="V189" s="14"/>
    </x:row>
    <x:row r="190">
      <x:c r="A190" s="14" t="n">
        <x:v>189</x:v>
      </x:c>
      <x:c r="B190" s="14"/>
      <x:c r="C190" s="14"/>
      <x:c r="D190" s="14"/>
      <x:c r="E190" s="14"/>
      <x:c r="F190" s="14" t="str">
        <x:v>YES</x:v>
      </x:c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 t="str">
        <x:v>NO</x:v>
      </x:c>
      <x:c r="T190" s="14"/>
      <x:c r="U190" s="14"/>
      <x:c r="V190" s="14"/>
    </x:row>
    <x:row r="191">
      <x:c r="A191" s="14" t="n">
        <x:v>190</x:v>
      </x:c>
      <x:c r="B191" s="14"/>
      <x:c r="C191" s="14"/>
      <x:c r="D191" s="14"/>
      <x:c r="E191" s="14"/>
      <x:c r="F191" s="14" t="str">
        <x:v>YES</x:v>
      </x:c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 t="str">
        <x:v>NO</x:v>
      </x:c>
      <x:c r="T191" s="14"/>
      <x:c r="U191" s="14"/>
      <x:c r="V191" s="14"/>
    </x:row>
    <x:row r="192">
      <x:c r="A192" s="14" t="n">
        <x:v>191</x:v>
      </x:c>
      <x:c r="B192" s="14"/>
      <x:c r="C192" s="14"/>
      <x:c r="D192" s="14"/>
      <x:c r="E192" s="14"/>
      <x:c r="F192" s="14" t="str">
        <x:v>YES</x:v>
      </x:c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 t="str">
        <x:v>NO</x:v>
      </x:c>
      <x:c r="T192" s="14"/>
      <x:c r="U192" s="14"/>
      <x:c r="V192" s="14"/>
    </x:row>
    <x:row r="193">
      <x:c r="A193" s="14" t="n">
        <x:v>192</x:v>
      </x:c>
      <x:c r="B193" s="14"/>
      <x:c r="C193" s="14"/>
      <x:c r="D193" s="14"/>
      <x:c r="E193" s="14"/>
      <x:c r="F193" s="14" t="str">
        <x:v>YES</x:v>
      </x:c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 t="str">
        <x:v>NO</x:v>
      </x:c>
      <x:c r="T193" s="14"/>
      <x:c r="U193" s="14"/>
      <x:c r="V193" s="14"/>
    </x:row>
    <x:row r="194">
      <x:c r="A194" s="14" t="n">
        <x:v>193</x:v>
      </x:c>
      <x:c r="B194" s="14"/>
      <x:c r="C194" s="14"/>
      <x:c r="D194" s="14"/>
      <x:c r="E194" s="14"/>
      <x:c r="F194" s="14" t="str">
        <x:v>YES</x:v>
      </x:c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 t="str">
        <x:v>NO</x:v>
      </x:c>
      <x:c r="T194" s="14"/>
      <x:c r="U194" s="14"/>
      <x:c r="V194" s="14"/>
    </x:row>
    <x:row r="195">
      <x:c r="A195" s="14" t="n">
        <x:v>194</x:v>
      </x:c>
      <x:c r="B195" s="14"/>
      <x:c r="C195" s="14"/>
      <x:c r="D195" s="14"/>
      <x:c r="E195" s="14"/>
      <x:c r="F195" s="14" t="str">
        <x:v>YES</x:v>
      </x:c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 t="str">
        <x:v>NO</x:v>
      </x:c>
      <x:c r="T195" s="14"/>
      <x:c r="U195" s="14"/>
      <x:c r="V195" s="14"/>
    </x:row>
    <x:row r="196">
      <x:c r="A196" s="14" t="n">
        <x:v>195</x:v>
      </x:c>
      <x:c r="B196" s="14"/>
      <x:c r="C196" s="14"/>
      <x:c r="D196" s="14"/>
      <x:c r="E196" s="14"/>
      <x:c r="F196" s="14" t="str">
        <x:v>YES</x:v>
      </x:c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 t="str">
        <x:v>NO</x:v>
      </x:c>
      <x:c r="T196" s="14"/>
      <x:c r="U196" s="14"/>
      <x:c r="V196" s="14"/>
    </x:row>
    <x:row r="197">
      <x:c r="A197" s="14" t="n">
        <x:v>196</x:v>
      </x:c>
      <x:c r="B197" s="14"/>
      <x:c r="C197" s="14"/>
      <x:c r="D197" s="14"/>
      <x:c r="E197" s="14"/>
      <x:c r="F197" s="14" t="str">
        <x:v>YES</x:v>
      </x:c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 t="str">
        <x:v>NO</x:v>
      </x:c>
      <x:c r="T197" s="14"/>
      <x:c r="U197" s="14"/>
      <x:c r="V197" s="14"/>
    </x:row>
    <x:row r="198">
      <x:c r="A198" s="14" t="n">
        <x:v>197</x:v>
      </x:c>
      <x:c r="B198" s="14"/>
      <x:c r="C198" s="14"/>
      <x:c r="D198" s="14"/>
      <x:c r="E198" s="14"/>
      <x:c r="F198" s="14" t="str">
        <x:v>YES</x:v>
      </x:c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 t="str">
        <x:v>NO</x:v>
      </x:c>
      <x:c r="T198" s="14"/>
      <x:c r="U198" s="14"/>
      <x:c r="V198" s="14"/>
    </x:row>
    <x:row r="199">
      <x:c r="A199" s="14" t="n">
        <x:v>198</x:v>
      </x:c>
      <x:c r="B199" s="14"/>
      <x:c r="C199" s="14"/>
      <x:c r="D199" s="14"/>
      <x:c r="E199" s="14"/>
      <x:c r="F199" s="14" t="str">
        <x:v>YES</x:v>
      </x:c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 t="str">
        <x:v>NO</x:v>
      </x:c>
      <x:c r="T199" s="14"/>
      <x:c r="U199" s="14"/>
      <x:c r="V199" s="14"/>
    </x:row>
    <x:row r="200">
      <x:c r="A200" s="14" t="n">
        <x:v>199</x:v>
      </x:c>
      <x:c r="B200" s="14"/>
      <x:c r="C200" s="14"/>
      <x:c r="D200" s="14"/>
      <x:c r="E200" s="14"/>
      <x:c r="F200" s="14" t="str">
        <x:v>YES</x:v>
      </x:c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 t="str">
        <x:v>NO</x:v>
      </x:c>
      <x:c r="T200" s="14"/>
      <x:c r="U200" s="14"/>
      <x:c r="V200" s="14"/>
    </x:row>
    <x:row r="201">
      <x:c r="A201" s="14" t="n">
        <x:v>200</x:v>
      </x:c>
      <x:c r="B201" s="14"/>
      <x:c r="C201" s="14"/>
      <x:c r="D201" s="14"/>
      <x:c r="E201" s="14"/>
      <x:c r="F201" s="14" t="str">
        <x:v>YES</x:v>
      </x:c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 t="str">
        <x:v>NO</x:v>
      </x:c>
      <x:c r="T201" s="14"/>
      <x:c r="U201" s="14"/>
      <x:c r="V201" s="14"/>
    </x:row>
    <x:row r="202">
      <x:c r="A202" s="14" t="n">
        <x:v>201</x:v>
      </x:c>
      <x:c r="B202" s="14"/>
      <x:c r="C202" s="14"/>
      <x:c r="D202" s="14"/>
      <x:c r="E202" s="14"/>
      <x:c r="F202" s="14" t="str">
        <x:v>YES</x:v>
      </x:c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 t="str">
        <x:v>NO</x:v>
      </x:c>
      <x:c r="T202" s="14"/>
      <x:c r="U202" s="14"/>
      <x:c r="V202" s="14"/>
    </x:row>
    <x:row r="203">
      <x:c r="A203" s="14" t="n">
        <x:v>202</x:v>
      </x:c>
      <x:c r="B203" s="14"/>
      <x:c r="C203" s="14"/>
      <x:c r="D203" s="14"/>
      <x:c r="E203" s="14"/>
      <x:c r="F203" s="14" t="str">
        <x:v>YES</x:v>
      </x:c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 t="str">
        <x:v>NO</x:v>
      </x:c>
      <x:c r="T203" s="14"/>
      <x:c r="U203" s="14"/>
      <x:c r="V203" s="14"/>
    </x:row>
    <x:row r="204">
      <x:c r="A204" s="14" t="n">
        <x:v>203</x:v>
      </x:c>
      <x:c r="B204" s="14"/>
      <x:c r="C204" s="14"/>
      <x:c r="D204" s="14"/>
      <x:c r="E204" s="14"/>
      <x:c r="F204" s="14" t="str">
        <x:v>YES</x:v>
      </x:c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 t="str">
        <x:v>NO</x:v>
      </x:c>
      <x:c r="T204" s="14"/>
      <x:c r="U204" s="14"/>
      <x:c r="V204" s="14"/>
    </x:row>
    <x:row r="205">
      <x:c r="A205" s="14" t="n">
        <x:v>204</x:v>
      </x:c>
      <x:c r="B205" s="14"/>
      <x:c r="C205" s="14"/>
      <x:c r="D205" s="14"/>
      <x:c r="E205" s="14"/>
      <x:c r="F205" s="14" t="str">
        <x:v>YES</x:v>
      </x:c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 t="str">
        <x:v>NO</x:v>
      </x:c>
      <x:c r="T205" s="14"/>
      <x:c r="U205" s="14"/>
      <x:c r="V205" s="14"/>
    </x:row>
    <x:row r="206">
      <x:c r="A206" s="14" t="n">
        <x:v>205</x:v>
      </x:c>
      <x:c r="B206" s="14"/>
      <x:c r="C206" s="14"/>
      <x:c r="D206" s="14"/>
      <x:c r="E206" s="14"/>
      <x:c r="F206" s="14" t="str">
        <x:v>YES</x:v>
      </x:c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 t="str">
        <x:v>NO</x:v>
      </x:c>
      <x:c r="T206" s="14"/>
      <x:c r="U206" s="14"/>
      <x:c r="V206" s="14"/>
    </x:row>
    <x:row r="207">
      <x:c r="A207" s="14" t="n">
        <x:v>206</x:v>
      </x:c>
      <x:c r="B207" s="14"/>
      <x:c r="C207" s="14"/>
      <x:c r="D207" s="14"/>
      <x:c r="E207" s="14"/>
      <x:c r="F207" s="14" t="str">
        <x:v>YES</x:v>
      </x:c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 t="str">
        <x:v>NO</x:v>
      </x:c>
      <x:c r="T207" s="14"/>
      <x:c r="U207" s="14"/>
      <x:c r="V207" s="14"/>
    </x:row>
    <x:row r="208">
      <x:c r="A208" s="14" t="n">
        <x:v>207</x:v>
      </x:c>
      <x:c r="B208" s="14"/>
      <x:c r="C208" s="14"/>
      <x:c r="D208" s="14"/>
      <x:c r="E208" s="14"/>
      <x:c r="F208" s="14" t="str">
        <x:v>YES</x:v>
      </x:c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 t="str">
        <x:v>NO</x:v>
      </x:c>
      <x:c r="T208" s="14"/>
      <x:c r="U208" s="14"/>
      <x:c r="V208" s="14"/>
    </x:row>
    <x:row r="209">
      <x:c r="A209" s="14" t="n">
        <x:v>208</x:v>
      </x:c>
      <x:c r="B209" s="14"/>
      <x:c r="C209" s="14"/>
      <x:c r="D209" s="14"/>
      <x:c r="E209" s="14"/>
      <x:c r="F209" s="14" t="str">
        <x:v>YES</x:v>
      </x:c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 t="str">
        <x:v>NO</x:v>
      </x:c>
      <x:c r="T209" s="14"/>
      <x:c r="U209" s="14"/>
      <x:c r="V209" s="14"/>
    </x:row>
    <x:row r="210">
      <x:c r="A210" s="14" t="n">
        <x:v>209</x:v>
      </x:c>
      <x:c r="B210" s="14"/>
      <x:c r="C210" s="14"/>
      <x:c r="D210" s="14"/>
      <x:c r="E210" s="14"/>
      <x:c r="F210" s="14" t="str">
        <x:v>YES</x:v>
      </x:c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 t="str">
        <x:v>NO</x:v>
      </x:c>
      <x:c r="T210" s="14"/>
      <x:c r="U210" s="14"/>
      <x:c r="V210" s="14"/>
    </x:row>
    <x:row r="211">
      <x:c r="A211" s="14" t="n">
        <x:v>210</x:v>
      </x:c>
      <x:c r="B211" s="14"/>
      <x:c r="C211" s="14"/>
      <x:c r="D211" s="14"/>
      <x:c r="E211" s="14"/>
      <x:c r="F211" s="14" t="str">
        <x:v>YES</x:v>
      </x:c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 t="str">
        <x:v>NO</x:v>
      </x:c>
      <x:c r="T211" s="14"/>
      <x:c r="U211" s="14"/>
      <x:c r="V211" s="14"/>
    </x:row>
    <x:row r="212">
      <x:c r="A212" s="14" t="n">
        <x:v>211</x:v>
      </x:c>
      <x:c r="B212" s="14"/>
      <x:c r="C212" s="14"/>
      <x:c r="D212" s="14"/>
      <x:c r="E212" s="14"/>
      <x:c r="F212" s="14" t="str">
        <x:v>YES</x:v>
      </x:c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 t="str">
        <x:v>NO</x:v>
      </x:c>
      <x:c r="T212" s="14"/>
      <x:c r="U212" s="14"/>
      <x:c r="V212" s="14"/>
    </x:row>
    <x:row r="213">
      <x:c r="A213" s="14" t="n">
        <x:v>212</x:v>
      </x:c>
      <x:c r="B213" s="14"/>
      <x:c r="C213" s="14"/>
      <x:c r="D213" s="14"/>
      <x:c r="E213" s="14"/>
      <x:c r="F213" s="14" t="str">
        <x:v>YES</x:v>
      </x:c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 t="str">
        <x:v>NO</x:v>
      </x:c>
      <x:c r="T213" s="14"/>
      <x:c r="U213" s="14"/>
      <x:c r="V213" s="14"/>
    </x:row>
    <x:row r="214">
      <x:c r="A214" s="14" t="n">
        <x:v>213</x:v>
      </x:c>
      <x:c r="B214" s="14"/>
      <x:c r="C214" s="14"/>
      <x:c r="D214" s="14"/>
      <x:c r="E214" s="14"/>
      <x:c r="F214" s="14" t="str">
        <x:v>YES</x:v>
      </x:c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 t="str">
        <x:v>NO</x:v>
      </x:c>
      <x:c r="T214" s="14"/>
      <x:c r="U214" s="14"/>
      <x:c r="V214" s="14"/>
    </x:row>
    <x:row r="215">
      <x:c r="A215" s="14" t="n">
        <x:v>214</x:v>
      </x:c>
      <x:c r="B215" s="14"/>
      <x:c r="C215" s="14"/>
      <x:c r="D215" s="14"/>
      <x:c r="E215" s="14"/>
      <x:c r="F215" s="14" t="str">
        <x:v>YES</x:v>
      </x:c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 t="str">
        <x:v>NO</x:v>
      </x:c>
      <x:c r="T215" s="14"/>
      <x:c r="U215" s="14"/>
      <x:c r="V215" s="14"/>
    </x:row>
    <x:row r="216">
      <x:c r="A216" s="14" t="n">
        <x:v>215</x:v>
      </x:c>
      <x:c r="B216" s="14"/>
      <x:c r="C216" s="14"/>
      <x:c r="D216" s="14"/>
      <x:c r="E216" s="14"/>
      <x:c r="F216" s="14" t="str">
        <x:v>YES</x:v>
      </x:c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 t="str">
        <x:v>NO</x:v>
      </x:c>
      <x:c r="T216" s="14"/>
      <x:c r="U216" s="14"/>
      <x:c r="V216" s="14"/>
    </x:row>
    <x:row r="217">
      <x:c r="A217" s="14" t="n">
        <x:v>216</x:v>
      </x:c>
      <x:c r="B217" s="14"/>
      <x:c r="C217" s="14"/>
      <x:c r="D217" s="14"/>
      <x:c r="E217" s="14"/>
      <x:c r="F217" s="14" t="str">
        <x:v>YES</x:v>
      </x:c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 t="str">
        <x:v>NO</x:v>
      </x:c>
      <x:c r="T217" s="14"/>
      <x:c r="U217" s="14"/>
      <x:c r="V217" s="14"/>
    </x:row>
    <x:row r="218">
      <x:c r="A218" s="14" t="n">
        <x:v>217</x:v>
      </x:c>
      <x:c r="B218" s="14"/>
      <x:c r="C218" s="14"/>
      <x:c r="D218" s="14"/>
      <x:c r="E218" s="14"/>
      <x:c r="F218" s="14" t="str">
        <x:v>YES</x:v>
      </x:c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 t="str">
        <x:v>NO</x:v>
      </x:c>
      <x:c r="T218" s="14"/>
      <x:c r="U218" s="14"/>
      <x:c r="V218" s="14"/>
    </x:row>
    <x:row r="219">
      <x:c r="A219" s="14" t="n">
        <x:v>218</x:v>
      </x:c>
      <x:c r="B219" s="14"/>
      <x:c r="C219" s="14"/>
      <x:c r="D219" s="14"/>
      <x:c r="E219" s="14"/>
      <x:c r="F219" s="14" t="str">
        <x:v>YES</x:v>
      </x:c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 t="str">
        <x:v>NO</x:v>
      </x:c>
      <x:c r="T219" s="14"/>
      <x:c r="U219" s="14"/>
      <x:c r="V219" s="14"/>
    </x:row>
    <x:row r="220">
      <x:c r="A220" s="14" t="n">
        <x:v>219</x:v>
      </x:c>
      <x:c r="B220" s="14"/>
      <x:c r="C220" s="14"/>
      <x:c r="D220" s="14"/>
      <x:c r="E220" s="14"/>
      <x:c r="F220" s="14" t="str">
        <x:v>YES</x:v>
      </x:c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 t="str">
        <x:v>NO</x:v>
      </x:c>
      <x:c r="T220" s="14"/>
      <x:c r="U220" s="14"/>
      <x:c r="V220" s="14"/>
    </x:row>
    <x:row r="221">
      <x:c r="A221" s="14" t="n">
        <x:v>220</x:v>
      </x:c>
      <x:c r="B221" s="14"/>
      <x:c r="C221" s="14"/>
      <x:c r="D221" s="14"/>
      <x:c r="E221" s="14"/>
      <x:c r="F221" s="14" t="str">
        <x:v>YES</x:v>
      </x:c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 t="str">
        <x:v>NO</x:v>
      </x:c>
      <x:c r="T221" s="14"/>
      <x:c r="U221" s="14"/>
      <x:c r="V221" s="14"/>
    </x:row>
    <x:row r="222">
      <x:c r="A222" s="14" t="n">
        <x:v>221</x:v>
      </x:c>
      <x:c r="B222" s="14"/>
      <x:c r="C222" s="14"/>
      <x:c r="D222" s="14"/>
      <x:c r="E222" s="14"/>
      <x:c r="F222" s="14" t="str">
        <x:v>YES</x:v>
      </x:c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 t="str">
        <x:v>NO</x:v>
      </x:c>
      <x:c r="T222" s="14"/>
      <x:c r="U222" s="14"/>
      <x:c r="V222" s="14"/>
    </x:row>
    <x:row r="223">
      <x:c r="A223" s="14" t="n">
        <x:v>222</x:v>
      </x:c>
      <x:c r="B223" s="14"/>
      <x:c r="C223" s="14"/>
      <x:c r="D223" s="14"/>
      <x:c r="E223" s="14"/>
      <x:c r="F223" s="14" t="str">
        <x:v>YES</x:v>
      </x:c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 t="str">
        <x:v>NO</x:v>
      </x:c>
      <x:c r="T223" s="14"/>
      <x:c r="U223" s="14"/>
      <x:c r="V223" s="14"/>
    </x:row>
    <x:row r="224">
      <x:c r="A224" s="14" t="n">
        <x:v>223</x:v>
      </x:c>
      <x:c r="B224" s="14"/>
      <x:c r="C224" s="14"/>
      <x:c r="D224" s="14"/>
      <x:c r="E224" s="14"/>
      <x:c r="F224" s="14" t="str">
        <x:v>YES</x:v>
      </x:c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 t="str">
        <x:v>NO</x:v>
      </x:c>
      <x:c r="T224" s="14"/>
      <x:c r="U224" s="14"/>
      <x:c r="V224" s="14"/>
    </x:row>
    <x:row r="225">
      <x:c r="A225" s="14" t="n">
        <x:v>224</x:v>
      </x:c>
      <x:c r="B225" s="14"/>
      <x:c r="C225" s="14"/>
      <x:c r="D225" s="14"/>
      <x:c r="E225" s="14"/>
      <x:c r="F225" s="14" t="str">
        <x:v>YES</x:v>
      </x:c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 t="str">
        <x:v>NO</x:v>
      </x:c>
      <x:c r="T225" s="14"/>
      <x:c r="U225" s="14"/>
      <x:c r="V225" s="14"/>
    </x:row>
    <x:row r="226">
      <x:c r="A226" s="14" t="n">
        <x:v>225</x:v>
      </x:c>
      <x:c r="B226" s="14"/>
      <x:c r="C226" s="14"/>
      <x:c r="D226" s="14"/>
      <x:c r="E226" s="14"/>
      <x:c r="F226" s="14" t="str">
        <x:v>YES</x:v>
      </x:c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 t="str">
        <x:v>NO</x:v>
      </x:c>
      <x:c r="T226" s="14"/>
      <x:c r="U226" s="14"/>
      <x:c r="V226" s="14"/>
    </x:row>
    <x:row r="227">
      <x:c r="A227" s="14" t="n">
        <x:v>226</x:v>
      </x:c>
      <x:c r="B227" s="14"/>
      <x:c r="C227" s="14"/>
      <x:c r="D227" s="14"/>
      <x:c r="E227" s="14"/>
      <x:c r="F227" s="14" t="str">
        <x:v>YES</x:v>
      </x:c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 t="str">
        <x:v>NO</x:v>
      </x:c>
      <x:c r="T227" s="14"/>
      <x:c r="U227" s="14"/>
      <x:c r="V227" s="14"/>
    </x:row>
    <x:row r="228">
      <x:c r="A228" s="14" t="n">
        <x:v>227</x:v>
      </x:c>
      <x:c r="B228" s="14"/>
      <x:c r="C228" s="14"/>
      <x:c r="D228" s="14"/>
      <x:c r="E228" s="14"/>
      <x:c r="F228" s="14" t="str">
        <x:v>YES</x:v>
      </x:c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 t="str">
        <x:v>NO</x:v>
      </x:c>
      <x:c r="T228" s="14"/>
      <x:c r="U228" s="14"/>
      <x:c r="V228" s="14"/>
    </x:row>
    <x:row r="229">
      <x:c r="A229" s="14" t="n">
        <x:v>228</x:v>
      </x:c>
      <x:c r="B229" s="14"/>
      <x:c r="C229" s="14"/>
      <x:c r="D229" s="14"/>
      <x:c r="E229" s="14"/>
      <x:c r="F229" s="14" t="str">
        <x:v>YES</x:v>
      </x:c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 t="str">
        <x:v>NO</x:v>
      </x:c>
      <x:c r="T229" s="14"/>
      <x:c r="U229" s="14"/>
      <x:c r="V229" s="14"/>
    </x:row>
    <x:row r="230">
      <x:c r="A230" s="14" t="n">
        <x:v>229</x:v>
      </x:c>
      <x:c r="B230" s="14"/>
      <x:c r="C230" s="14"/>
      <x:c r="D230" s="14"/>
      <x:c r="E230" s="14"/>
      <x:c r="F230" s="14" t="str">
        <x:v>YES</x:v>
      </x:c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 t="str">
        <x:v>NO</x:v>
      </x:c>
      <x:c r="T230" s="14"/>
      <x:c r="U230" s="14"/>
      <x:c r="V230" s="14"/>
    </x:row>
    <x:row r="231">
      <x:c r="A231" s="14" t="n">
        <x:v>230</x:v>
      </x:c>
      <x:c r="B231" s="14"/>
      <x:c r="C231" s="14"/>
      <x:c r="D231" s="14"/>
      <x:c r="E231" s="14"/>
      <x:c r="F231" s="14" t="str">
        <x:v>YES</x:v>
      </x:c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 t="str">
        <x:v>NO</x:v>
      </x:c>
      <x:c r="T231" s="14"/>
      <x:c r="U231" s="14"/>
      <x:c r="V231" s="14"/>
    </x:row>
    <x:row r="232">
      <x:c r="A232" s="14" t="n">
        <x:v>231</x:v>
      </x:c>
      <x:c r="B232" s="14"/>
      <x:c r="C232" s="14"/>
      <x:c r="D232" s="14"/>
      <x:c r="E232" s="14"/>
      <x:c r="F232" s="14" t="str">
        <x:v>YES</x:v>
      </x:c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 t="str">
        <x:v>NO</x:v>
      </x:c>
      <x:c r="T232" s="14"/>
      <x:c r="U232" s="14"/>
      <x:c r="V232" s="14"/>
    </x:row>
    <x:row r="233">
      <x:c r="A233" s="14" t="n">
        <x:v>232</x:v>
      </x:c>
      <x:c r="B233" s="14"/>
      <x:c r="C233" s="14"/>
      <x:c r="D233" s="14"/>
      <x:c r="E233" s="14"/>
      <x:c r="F233" s="14" t="str">
        <x:v>YES</x:v>
      </x:c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 t="str">
        <x:v>NO</x:v>
      </x:c>
      <x:c r="T233" s="14"/>
      <x:c r="U233" s="14"/>
      <x:c r="V233" s="14"/>
    </x:row>
    <x:row r="234">
      <x:c r="A234" s="14" t="n">
        <x:v>233</x:v>
      </x:c>
      <x:c r="B234" s="14"/>
      <x:c r="C234" s="14"/>
      <x:c r="D234" s="14"/>
      <x:c r="E234" s="14"/>
      <x:c r="F234" s="14" t="str">
        <x:v>YES</x:v>
      </x:c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 t="str">
        <x:v>NO</x:v>
      </x:c>
      <x:c r="T234" s="14"/>
      <x:c r="U234" s="14"/>
      <x:c r="V234" s="14"/>
    </x:row>
    <x:row r="235">
      <x:c r="A235" s="14" t="n">
        <x:v>234</x:v>
      </x:c>
      <x:c r="B235" s="14"/>
      <x:c r="C235" s="14"/>
      <x:c r="D235" s="14"/>
      <x:c r="E235" s="14"/>
      <x:c r="F235" s="14" t="str">
        <x:v>YES</x:v>
      </x:c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 t="str">
        <x:v>NO</x:v>
      </x:c>
      <x:c r="T235" s="14"/>
      <x:c r="U235" s="14"/>
      <x:c r="V235" s="14"/>
    </x:row>
    <x:row r="236">
      <x:c r="A236" s="14" t="n">
        <x:v>235</x:v>
      </x:c>
      <x:c r="B236" s="14"/>
      <x:c r="C236" s="14"/>
      <x:c r="D236" s="14"/>
      <x:c r="E236" s="14"/>
      <x:c r="F236" s="14" t="str">
        <x:v>YES</x:v>
      </x:c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 t="str">
        <x:v>NO</x:v>
      </x:c>
      <x:c r="T236" s="14"/>
      <x:c r="U236" s="14"/>
      <x:c r="V236" s="14"/>
    </x:row>
    <x:row r="237">
      <x:c r="A237" s="14" t="n">
        <x:v>236</x:v>
      </x:c>
      <x:c r="B237" s="14"/>
      <x:c r="C237" s="14"/>
      <x:c r="D237" s="14"/>
      <x:c r="E237" s="14"/>
      <x:c r="F237" s="14" t="str">
        <x:v>YES</x:v>
      </x:c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 t="str">
        <x:v>NO</x:v>
      </x:c>
      <x:c r="T237" s="14"/>
      <x:c r="U237" s="14"/>
      <x:c r="V237" s="14"/>
    </x:row>
    <x:row r="238">
      <x:c r="A238" s="14" t="n">
        <x:v>237</x:v>
      </x:c>
      <x:c r="B238" s="14"/>
      <x:c r="C238" s="14"/>
      <x:c r="D238" s="14"/>
      <x:c r="E238" s="14"/>
      <x:c r="F238" s="14" t="str">
        <x:v>YES</x:v>
      </x:c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 t="str">
        <x:v>NO</x:v>
      </x:c>
      <x:c r="T238" s="14"/>
      <x:c r="U238" s="14"/>
      <x:c r="V238" s="14"/>
    </x:row>
    <x:row r="239">
      <x:c r="A239" s="14" t="n">
        <x:v>238</x:v>
      </x:c>
      <x:c r="B239" s="14"/>
      <x:c r="C239" s="14"/>
      <x:c r="D239" s="14"/>
      <x:c r="E239" s="14"/>
      <x:c r="F239" s="14" t="str">
        <x:v>YES</x:v>
      </x:c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 t="str">
        <x:v>NO</x:v>
      </x:c>
      <x:c r="T239" s="14"/>
      <x:c r="U239" s="14"/>
      <x:c r="V239" s="14"/>
    </x:row>
    <x:row r="240">
      <x:c r="A240" s="14" t="n">
        <x:v>239</x:v>
      </x:c>
      <x:c r="B240" s="14"/>
      <x:c r="C240" s="14"/>
      <x:c r="D240" s="14"/>
      <x:c r="E240" s="14"/>
      <x:c r="F240" s="14" t="str">
        <x:v>YES</x:v>
      </x:c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 t="str">
        <x:v>NO</x:v>
      </x:c>
      <x:c r="T240" s="14"/>
      <x:c r="U240" s="14"/>
      <x:c r="V240" s="14"/>
    </x:row>
    <x:row r="241">
      <x:c r="A241" s="14" t="n">
        <x:v>240</x:v>
      </x:c>
      <x:c r="B241" s="14"/>
      <x:c r="C241" s="14"/>
      <x:c r="D241" s="14"/>
      <x:c r="E241" s="14"/>
      <x:c r="F241" s="14" t="str">
        <x:v>YES</x:v>
      </x:c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 t="str">
        <x:v>NO</x:v>
      </x:c>
      <x:c r="T241" s="14"/>
      <x:c r="U241" s="14"/>
      <x:c r="V241" s="14"/>
    </x:row>
    <x:row r="242">
      <x:c r="A242" s="14" t="n">
        <x:v>241</x:v>
      </x:c>
      <x:c r="B242" s="14"/>
      <x:c r="C242" s="14"/>
      <x:c r="D242" s="14"/>
      <x:c r="E242" s="14"/>
      <x:c r="F242" s="14" t="str">
        <x:v>YES</x:v>
      </x:c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 t="str">
        <x:v>NO</x:v>
      </x:c>
      <x:c r="T242" s="14"/>
      <x:c r="U242" s="14"/>
      <x:c r="V242" s="14"/>
    </x:row>
    <x:row r="243">
      <x:c r="A243" s="14" t="n">
        <x:v>242</x:v>
      </x:c>
      <x:c r="B243" s="14"/>
      <x:c r="C243" s="14"/>
      <x:c r="D243" s="14"/>
      <x:c r="E243" s="14"/>
      <x:c r="F243" s="14" t="str">
        <x:v>YES</x:v>
      </x:c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 t="str">
        <x:v>NO</x:v>
      </x:c>
      <x:c r="T243" s="14"/>
      <x:c r="U243" s="14"/>
      <x:c r="V243" s="14"/>
    </x:row>
    <x:row r="244">
      <x:c r="A244" s="14" t="n">
        <x:v>243</x:v>
      </x:c>
      <x:c r="B244" s="14"/>
      <x:c r="C244" s="14"/>
      <x:c r="D244" s="14"/>
      <x:c r="E244" s="14"/>
      <x:c r="F244" s="14" t="str">
        <x:v>YES</x:v>
      </x:c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 t="str">
        <x:v>NO</x:v>
      </x:c>
      <x:c r="T244" s="14"/>
      <x:c r="U244" s="14"/>
      <x:c r="V244" s="14"/>
    </x:row>
    <x:row r="245">
      <x:c r="A245" s="14" t="n">
        <x:v>244</x:v>
      </x:c>
      <x:c r="B245" s="14"/>
      <x:c r="C245" s="14"/>
      <x:c r="D245" s="14"/>
      <x:c r="E245" s="14"/>
      <x:c r="F245" s="14" t="str">
        <x:v>YES</x:v>
      </x:c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 t="str">
        <x:v>NO</x:v>
      </x:c>
      <x:c r="T245" s="14"/>
      <x:c r="U245" s="14"/>
      <x:c r="V245" s="14"/>
    </x:row>
    <x:row r="246">
      <x:c r="A246" s="14" t="n">
        <x:v>245</x:v>
      </x:c>
      <x:c r="B246" s="14"/>
      <x:c r="C246" s="14"/>
      <x:c r="D246" s="14"/>
      <x:c r="E246" s="14"/>
      <x:c r="F246" s="14" t="str">
        <x:v>YES</x:v>
      </x:c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 t="str">
        <x:v>NO</x:v>
      </x:c>
      <x:c r="T246" s="14"/>
      <x:c r="U246" s="14"/>
      <x:c r="V246" s="14"/>
    </x:row>
    <x:row r="247">
      <x:c r="A247" s="14" t="n">
        <x:v>246</x:v>
      </x:c>
      <x:c r="B247" s="14"/>
      <x:c r="C247" s="14"/>
      <x:c r="D247" s="14"/>
      <x:c r="E247" s="14"/>
      <x:c r="F247" s="14" t="str">
        <x:v>YES</x:v>
      </x:c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 t="str">
        <x:v>NO</x:v>
      </x:c>
      <x:c r="T247" s="14"/>
      <x:c r="U247" s="14"/>
      <x:c r="V247" s="14"/>
    </x:row>
    <x:row r="248">
      <x:c r="A248" s="14" t="n">
        <x:v>247</x:v>
      </x:c>
      <x:c r="B248" s="14"/>
      <x:c r="C248" s="14"/>
      <x:c r="D248" s="14"/>
      <x:c r="E248" s="14"/>
      <x:c r="F248" s="14" t="str">
        <x:v>YES</x:v>
      </x:c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 t="str">
        <x:v>NO</x:v>
      </x:c>
      <x:c r="T248" s="14"/>
      <x:c r="U248" s="14"/>
      <x:c r="V248" s="14"/>
    </x:row>
    <x:row r="249">
      <x:c r="A249" s="14" t="n">
        <x:v>248</x:v>
      </x:c>
      <x:c r="B249" s="14"/>
      <x:c r="C249" s="14"/>
      <x:c r="D249" s="14"/>
      <x:c r="E249" s="14"/>
      <x:c r="F249" s="14" t="str">
        <x:v>YES</x:v>
      </x:c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 t="str">
        <x:v>NO</x:v>
      </x:c>
      <x:c r="T249" s="14"/>
      <x:c r="U249" s="14"/>
      <x:c r="V249" s="14"/>
    </x:row>
    <x:row r="250">
      <x:c r="A250" s="14" t="n">
        <x:v>249</x:v>
      </x:c>
      <x:c r="B250" s="14"/>
      <x:c r="C250" s="14"/>
      <x:c r="D250" s="14"/>
      <x:c r="E250" s="14"/>
      <x:c r="F250" s="14" t="str">
        <x:v>YES</x:v>
      </x:c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 t="str">
        <x:v>NO</x:v>
      </x:c>
      <x:c r="T250" s="14"/>
      <x:c r="U250" s="14"/>
      <x:c r="V250" s="14"/>
    </x:row>
    <x:row r="251">
      <x:c r="A251" s="14" t="n">
        <x:v>250</x:v>
      </x:c>
      <x:c r="B251" s="14"/>
      <x:c r="C251" s="14"/>
      <x:c r="D251" s="14"/>
      <x:c r="E251" s="14"/>
      <x:c r="F251" s="14" t="str">
        <x:v>YES</x:v>
      </x:c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 t="str">
        <x:v>NO</x:v>
      </x:c>
      <x:c r="T251" s="14"/>
      <x:c r="U251" s="14"/>
      <x:c r="V251" s="14"/>
    </x:row>
    <x:row r="252">
      <x:c r="A252" s="14" t="n">
        <x:v>251</x:v>
      </x:c>
      <x:c r="B252" s="14"/>
      <x:c r="C252" s="14"/>
      <x:c r="D252" s="14"/>
      <x:c r="E252" s="14"/>
      <x:c r="F252" s="14" t="str">
        <x:v>YES</x:v>
      </x:c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 t="str">
        <x:v>NO</x:v>
      </x:c>
      <x:c r="T252" s="14"/>
      <x:c r="U252" s="14"/>
      <x:c r="V252" s="14"/>
    </x:row>
    <x:row r="253">
      <x:c r="A253" s="14" t="n">
        <x:v>252</x:v>
      </x:c>
      <x:c r="B253" s="14"/>
      <x:c r="C253" s="14"/>
      <x:c r="D253" s="14"/>
      <x:c r="E253" s="14"/>
      <x:c r="F253" s="14" t="str">
        <x:v>YES</x:v>
      </x:c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 t="str">
        <x:v>NO</x:v>
      </x:c>
      <x:c r="T253" s="14"/>
      <x:c r="U253" s="14"/>
      <x:c r="V253" s="14"/>
    </x:row>
    <x:row r="254">
      <x:c r="A254" s="14" t="n">
        <x:v>253</x:v>
      </x:c>
      <x:c r="B254" s="14"/>
      <x:c r="C254" s="14"/>
      <x:c r="D254" s="14"/>
      <x:c r="E254" s="14"/>
      <x:c r="F254" s="14" t="str">
        <x:v>YES</x:v>
      </x:c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 t="str">
        <x:v>NO</x:v>
      </x:c>
      <x:c r="T254" s="14"/>
      <x:c r="U254" s="14"/>
      <x:c r="V254" s="14"/>
    </x:row>
    <x:row r="255">
      <x:c r="A255" s="14" t="n">
        <x:v>254</x:v>
      </x:c>
      <x:c r="B255" s="14"/>
      <x:c r="C255" s="14"/>
      <x:c r="D255" s="14"/>
      <x:c r="E255" s="14"/>
      <x:c r="F255" s="14" t="str">
        <x:v>YES</x:v>
      </x:c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 t="str">
        <x:v>NO</x:v>
      </x:c>
      <x:c r="T255" s="14"/>
      <x:c r="U255" s="14"/>
      <x:c r="V255" s="14"/>
    </x:row>
    <x:row r="256">
      <x:c r="A256" s="14" t="n">
        <x:v>255</x:v>
      </x:c>
      <x:c r="B256" s="14"/>
      <x:c r="C256" s="14"/>
      <x:c r="D256" s="14"/>
      <x:c r="E256" s="14"/>
      <x:c r="F256" s="14" t="str">
        <x:v>YES</x:v>
      </x:c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 t="str">
        <x:v>NO</x:v>
      </x:c>
      <x:c r="T256" s="14"/>
      <x:c r="U256" s="14"/>
      <x:c r="V256" s="14"/>
    </x:row>
    <x:row r="257">
      <x:c r="A257" s="14" t="n">
        <x:v>256</x:v>
      </x:c>
      <x:c r="B257" s="14"/>
      <x:c r="C257" s="14"/>
      <x:c r="D257" s="14"/>
      <x:c r="E257" s="14"/>
      <x:c r="F257" s="14" t="str">
        <x:v>YES</x:v>
      </x:c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 t="str">
        <x:v>NO</x:v>
      </x:c>
      <x:c r="T257" s="14"/>
      <x:c r="U257" s="14"/>
      <x:c r="V257" s="14"/>
    </x:row>
    <x:row r="258">
      <x:c r="A258" s="14" t="n">
        <x:v>257</x:v>
      </x:c>
      <x:c r="B258" s="14"/>
      <x:c r="C258" s="14"/>
      <x:c r="D258" s="14"/>
      <x:c r="E258" s="14"/>
      <x:c r="F258" s="14" t="str">
        <x:v>YES</x:v>
      </x:c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 t="str">
        <x:v>NO</x:v>
      </x:c>
      <x:c r="T258" s="14"/>
      <x:c r="U258" s="14"/>
      <x:c r="V258" s="14"/>
    </x:row>
    <x:row r="259">
      <x:c r="A259" s="14" t="n">
        <x:v>258</x:v>
      </x:c>
      <x:c r="B259" s="14"/>
      <x:c r="C259" s="14"/>
      <x:c r="D259" s="14"/>
      <x:c r="E259" s="14"/>
      <x:c r="F259" s="14" t="str">
        <x:v>YES</x:v>
      </x:c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 t="str">
        <x:v>NO</x:v>
      </x:c>
      <x:c r="T259" s="14"/>
      <x:c r="U259" s="14"/>
      <x:c r="V259" s="14"/>
    </x:row>
    <x:row r="260">
      <x:c r="A260" s="14" t="n">
        <x:v>259</x:v>
      </x:c>
      <x:c r="B260" s="14"/>
      <x:c r="C260" s="14"/>
      <x:c r="D260" s="14"/>
      <x:c r="E260" s="14"/>
      <x:c r="F260" s="14" t="str">
        <x:v>YES</x:v>
      </x:c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 t="str">
        <x:v>NO</x:v>
      </x:c>
      <x:c r="T260" s="14"/>
      <x:c r="U260" s="14"/>
      <x:c r="V260" s="14"/>
    </x:row>
    <x:row r="261">
      <x:c r="A261" s="14" t="n">
        <x:v>260</x:v>
      </x:c>
      <x:c r="B261" s="14"/>
      <x:c r="C261" s="14"/>
      <x:c r="D261" s="14"/>
      <x:c r="E261" s="14"/>
      <x:c r="F261" s="14" t="str">
        <x:v>YES</x:v>
      </x:c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 t="str">
        <x:v>NO</x:v>
      </x:c>
      <x:c r="T261" s="14"/>
      <x:c r="U261" s="14"/>
      <x:c r="V261" s="14"/>
    </x:row>
    <x:row r="262">
      <x:c r="A262" s="14" t="n">
        <x:v>261</x:v>
      </x:c>
      <x:c r="B262" s="14"/>
      <x:c r="C262" s="14"/>
      <x:c r="D262" s="14"/>
      <x:c r="E262" s="14"/>
      <x:c r="F262" s="14" t="str">
        <x:v>YES</x:v>
      </x:c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 t="str">
        <x:v>NO</x:v>
      </x:c>
      <x:c r="T262" s="14"/>
      <x:c r="U262" s="14"/>
      <x:c r="V262" s="14"/>
    </x:row>
    <x:row r="263">
      <x:c r="A263" s="14" t="n">
        <x:v>262</x:v>
      </x:c>
      <x:c r="B263" s="14"/>
      <x:c r="C263" s="14"/>
      <x:c r="D263" s="14"/>
      <x:c r="E263" s="14"/>
      <x:c r="F263" s="14" t="str">
        <x:v>YES</x:v>
      </x:c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 t="str">
        <x:v>NO</x:v>
      </x:c>
      <x:c r="T263" s="14"/>
      <x:c r="U263" s="14"/>
      <x:c r="V263" s="14"/>
    </x:row>
    <x:row r="264">
      <x:c r="A264" s="14" t="n">
        <x:v>263</x:v>
      </x:c>
      <x:c r="B264" s="14"/>
      <x:c r="C264" s="14"/>
      <x:c r="D264" s="14"/>
      <x:c r="E264" s="14"/>
      <x:c r="F264" s="14" t="str">
        <x:v>YES</x:v>
      </x:c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 t="str">
        <x:v>NO</x:v>
      </x:c>
      <x:c r="T264" s="14"/>
      <x:c r="U264" s="14"/>
      <x:c r="V264" s="14"/>
    </x:row>
    <x:row r="265">
      <x:c r="A265" s="14" t="n">
        <x:v>264</x:v>
      </x:c>
      <x:c r="B265" s="14"/>
      <x:c r="C265" s="14"/>
      <x:c r="D265" s="14"/>
      <x:c r="E265" s="14"/>
      <x:c r="F265" s="14" t="str">
        <x:v>YES</x:v>
      </x:c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 t="str">
        <x:v>NO</x:v>
      </x:c>
      <x:c r="T265" s="14"/>
      <x:c r="U265" s="14"/>
      <x:c r="V265" s="14"/>
    </x:row>
    <x:row r="266">
      <x:c r="A266" s="14" t="n">
        <x:v>265</x:v>
      </x:c>
      <x:c r="B266" s="14"/>
      <x:c r="C266" s="14"/>
      <x:c r="D266" s="14"/>
      <x:c r="E266" s="14"/>
      <x:c r="F266" s="14" t="str">
        <x:v>YES</x:v>
      </x:c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 t="str">
        <x:v>NO</x:v>
      </x:c>
      <x:c r="T266" s="14"/>
      <x:c r="U266" s="14"/>
      <x:c r="V266" s="14"/>
    </x:row>
    <x:row r="267">
      <x:c r="A267" s="14" t="n">
        <x:v>266</x:v>
      </x:c>
      <x:c r="B267" s="14"/>
      <x:c r="C267" s="14"/>
      <x:c r="D267" s="14"/>
      <x:c r="E267" s="14"/>
      <x:c r="F267" s="14" t="str">
        <x:v>YES</x:v>
      </x:c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 t="str">
        <x:v>NO</x:v>
      </x:c>
      <x:c r="T267" s="14"/>
      <x:c r="U267" s="14"/>
      <x:c r="V267" s="14"/>
    </x:row>
    <x:row r="268">
      <x:c r="A268" s="14" t="n">
        <x:v>267</x:v>
      </x:c>
      <x:c r="B268" s="14"/>
      <x:c r="C268" s="14"/>
      <x:c r="D268" s="14"/>
      <x:c r="E268" s="14"/>
      <x:c r="F268" s="14" t="str">
        <x:v>YES</x:v>
      </x:c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 t="str">
        <x:v>NO</x:v>
      </x:c>
      <x:c r="T268" s="14"/>
      <x:c r="U268" s="14"/>
      <x:c r="V268" s="14"/>
    </x:row>
    <x:row r="269">
      <x:c r="A269" s="14" t="n">
        <x:v>268</x:v>
      </x:c>
      <x:c r="B269" s="14"/>
      <x:c r="C269" s="14"/>
      <x:c r="D269" s="14"/>
      <x:c r="E269" s="14"/>
      <x:c r="F269" s="14" t="str">
        <x:v>YES</x:v>
      </x:c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 t="str">
        <x:v>NO</x:v>
      </x:c>
      <x:c r="T269" s="14"/>
      <x:c r="U269" s="14"/>
      <x:c r="V269" s="14"/>
    </x:row>
    <x:row r="270">
      <x:c r="A270" s="14" t="n">
        <x:v>269</x:v>
      </x:c>
      <x:c r="B270" s="14"/>
      <x:c r="C270" s="14"/>
      <x:c r="D270" s="14"/>
      <x:c r="E270" s="14"/>
      <x:c r="F270" s="14" t="str">
        <x:v>YES</x:v>
      </x:c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 t="str">
        <x:v>NO</x:v>
      </x:c>
      <x:c r="T270" s="14"/>
      <x:c r="U270" s="14"/>
      <x:c r="V270" s="14"/>
    </x:row>
    <x:row r="271">
      <x:c r="A271" s="14" t="n">
        <x:v>270</x:v>
      </x:c>
      <x:c r="B271" s="14"/>
      <x:c r="C271" s="14"/>
      <x:c r="D271" s="14"/>
      <x:c r="E271" s="14"/>
      <x:c r="F271" s="14" t="str">
        <x:v>YES</x:v>
      </x:c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 t="str">
        <x:v>NO</x:v>
      </x:c>
      <x:c r="T271" s="14"/>
      <x:c r="U271" s="14"/>
      <x:c r="V271" s="14"/>
    </x:row>
    <x:row r="272">
      <x:c r="A272" s="14" t="n">
        <x:v>271</x:v>
      </x:c>
      <x:c r="B272" s="14"/>
      <x:c r="C272" s="14"/>
      <x:c r="D272" s="14"/>
      <x:c r="E272" s="14"/>
      <x:c r="F272" s="14" t="str">
        <x:v>YES</x:v>
      </x:c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 t="str">
        <x:v>NO</x:v>
      </x:c>
      <x:c r="T272" s="14"/>
      <x:c r="U272" s="14"/>
      <x:c r="V272" s="14"/>
    </x:row>
    <x:row r="273">
      <x:c r="A273" s="14" t="n">
        <x:v>272</x:v>
      </x:c>
      <x:c r="B273" s="14"/>
      <x:c r="C273" s="14"/>
      <x:c r="D273" s="14"/>
      <x:c r="E273" s="14"/>
      <x:c r="F273" s="14" t="str">
        <x:v>YES</x:v>
      </x:c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 t="str">
        <x:v>NO</x:v>
      </x:c>
      <x:c r="T273" s="14"/>
      <x:c r="U273" s="14"/>
      <x:c r="V273" s="14"/>
    </x:row>
    <x:row r="274">
      <x:c r="A274" s="14" t="n">
        <x:v>273</x:v>
      </x:c>
      <x:c r="B274" s="14"/>
      <x:c r="C274" s="14"/>
      <x:c r="D274" s="14"/>
      <x:c r="E274" s="14"/>
      <x:c r="F274" s="14" t="str">
        <x:v>YES</x:v>
      </x:c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 t="str">
        <x:v>NO</x:v>
      </x:c>
      <x:c r="T274" s="14"/>
      <x:c r="U274" s="14"/>
      <x:c r="V274" s="14"/>
    </x:row>
    <x:row r="275">
      <x:c r="A275" s="14" t="n">
        <x:v>274</x:v>
      </x:c>
      <x:c r="B275" s="14"/>
      <x:c r="C275" s="14"/>
      <x:c r="D275" s="14"/>
      <x:c r="E275" s="14"/>
      <x:c r="F275" s="14" t="str">
        <x:v>YES</x:v>
      </x:c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 t="str">
        <x:v>NO</x:v>
      </x:c>
      <x:c r="T275" s="14"/>
      <x:c r="U275" s="14"/>
      <x:c r="V275" s="14"/>
    </x:row>
    <x:row r="276">
      <x:c r="A276" s="14" t="n">
        <x:v>275</x:v>
      </x:c>
      <x:c r="B276" s="14"/>
      <x:c r="C276" s="14"/>
      <x:c r="D276" s="14"/>
      <x:c r="E276" s="14"/>
      <x:c r="F276" s="14" t="str">
        <x:v>YES</x:v>
      </x:c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 t="str">
        <x:v>NO</x:v>
      </x:c>
      <x:c r="T276" s="14"/>
      <x:c r="U276" s="14"/>
      <x:c r="V276" s="14"/>
    </x:row>
    <x:row r="277">
      <x:c r="A277" s="14" t="n">
        <x:v>276</x:v>
      </x:c>
      <x:c r="B277" s="14"/>
      <x:c r="C277" s="14"/>
      <x:c r="D277" s="14"/>
      <x:c r="E277" s="14"/>
      <x:c r="F277" s="14" t="str">
        <x:v>YES</x:v>
      </x:c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 t="str">
        <x:v>NO</x:v>
      </x:c>
      <x:c r="T277" s="14"/>
      <x:c r="U277" s="14"/>
      <x:c r="V277" s="14"/>
    </x:row>
    <x:row r="278">
      <x:c r="A278" s="14" t="n">
        <x:v>277</x:v>
      </x:c>
      <x:c r="B278" s="14"/>
      <x:c r="C278" s="14"/>
      <x:c r="D278" s="14"/>
      <x:c r="E278" s="14"/>
      <x:c r="F278" s="14" t="str">
        <x:v>YES</x:v>
      </x:c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 t="str">
        <x:v>NO</x:v>
      </x:c>
      <x:c r="T278" s="14"/>
      <x:c r="U278" s="14"/>
      <x:c r="V278" s="14"/>
    </x:row>
    <x:row r="279">
      <x:c r="A279" s="14" t="n">
        <x:v>278</x:v>
      </x:c>
      <x:c r="B279" s="14"/>
      <x:c r="C279" s="14"/>
      <x:c r="D279" s="14"/>
      <x:c r="E279" s="14"/>
      <x:c r="F279" s="14" t="str">
        <x:v>YES</x:v>
      </x:c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 t="str">
        <x:v>NO</x:v>
      </x:c>
      <x:c r="T279" s="14"/>
      <x:c r="U279" s="14"/>
      <x:c r="V279" s="14"/>
    </x:row>
    <x:row r="280">
      <x:c r="A280" s="14" t="n">
        <x:v>279</x:v>
      </x:c>
      <x:c r="B280" s="14"/>
      <x:c r="C280" s="14"/>
      <x:c r="D280" s="14"/>
      <x:c r="E280" s="14"/>
      <x:c r="F280" s="14" t="str">
        <x:v>YES</x:v>
      </x:c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 t="str">
        <x:v>NO</x:v>
      </x:c>
      <x:c r="T280" s="14"/>
      <x:c r="U280" s="14"/>
      <x:c r="V280" s="14"/>
    </x:row>
    <x:row r="281">
      <x:c r="A281" s="14" t="n">
        <x:v>280</x:v>
      </x:c>
      <x:c r="B281" s="14"/>
      <x:c r="C281" s="14"/>
      <x:c r="D281" s="14"/>
      <x:c r="E281" s="14"/>
      <x:c r="F281" s="14" t="str">
        <x:v>YES</x:v>
      </x:c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 t="str">
        <x:v>NO</x:v>
      </x:c>
      <x:c r="T281" s="14"/>
      <x:c r="U281" s="14"/>
      <x:c r="V281" s="14"/>
    </x:row>
    <x:row r="282">
      <x:c r="A282" s="14" t="n">
        <x:v>281</x:v>
      </x:c>
      <x:c r="B282" s="14"/>
      <x:c r="C282" s="14"/>
      <x:c r="D282" s="14"/>
      <x:c r="E282" s="14"/>
      <x:c r="F282" s="14" t="str">
        <x:v>YES</x:v>
      </x:c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 t="str">
        <x:v>NO</x:v>
      </x:c>
      <x:c r="T282" s="14"/>
      <x:c r="U282" s="14"/>
      <x:c r="V282" s="14"/>
    </x:row>
    <x:row r="283">
      <x:c r="A283" s="14" t="n">
        <x:v>282</x:v>
      </x:c>
      <x:c r="B283" s="14"/>
      <x:c r="C283" s="14"/>
      <x:c r="D283" s="14"/>
      <x:c r="E283" s="14"/>
      <x:c r="F283" s="14" t="str">
        <x:v>YES</x:v>
      </x:c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 t="str">
        <x:v>NO</x:v>
      </x:c>
      <x:c r="T283" s="14"/>
      <x:c r="U283" s="14"/>
      <x:c r="V283" s="14"/>
    </x:row>
    <x:row r="284">
      <x:c r="A284" s="14" t="n">
        <x:v>283</x:v>
      </x:c>
      <x:c r="B284" s="14"/>
      <x:c r="C284" s="14"/>
      <x:c r="D284" s="14"/>
      <x:c r="E284" s="14"/>
      <x:c r="F284" s="14" t="str">
        <x:v>YES</x:v>
      </x:c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 t="str">
        <x:v>NO</x:v>
      </x:c>
      <x:c r="T284" s="14"/>
      <x:c r="U284" s="14"/>
      <x:c r="V284" s="14"/>
    </x:row>
    <x:row r="285">
      <x:c r="A285" s="14" t="n">
        <x:v>284</x:v>
      </x:c>
      <x:c r="B285" s="14"/>
      <x:c r="C285" s="14"/>
      <x:c r="D285" s="14"/>
      <x:c r="E285" s="14"/>
      <x:c r="F285" s="14" t="str">
        <x:v>YES</x:v>
      </x:c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 t="str">
        <x:v>NO</x:v>
      </x:c>
      <x:c r="T285" s="14"/>
      <x:c r="U285" s="14"/>
      <x:c r="V285" s="14"/>
    </x:row>
    <x:row r="286">
      <x:c r="A286" s="14" t="n">
        <x:v>285</x:v>
      </x:c>
      <x:c r="B286" s="14"/>
      <x:c r="C286" s="14"/>
      <x:c r="D286" s="14"/>
      <x:c r="E286" s="14"/>
      <x:c r="F286" s="14" t="str">
        <x:v>YES</x:v>
      </x:c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 t="str">
        <x:v>NO</x:v>
      </x:c>
      <x:c r="T286" s="14"/>
      <x:c r="U286" s="14"/>
      <x:c r="V286" s="14"/>
    </x:row>
    <x:row r="287">
      <x:c r="A287" s="14" t="n">
        <x:v>286</x:v>
      </x:c>
      <x:c r="B287" s="14"/>
      <x:c r="C287" s="14"/>
      <x:c r="D287" s="14"/>
      <x:c r="E287" s="14"/>
      <x:c r="F287" s="14" t="str">
        <x:v>YES</x:v>
      </x:c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 t="str">
        <x:v>NO</x:v>
      </x:c>
      <x:c r="T287" s="14"/>
      <x:c r="U287" s="14"/>
      <x:c r="V287" s="14"/>
    </x:row>
    <x:row r="288">
      <x:c r="A288" s="14" t="n">
        <x:v>287</x:v>
      </x:c>
      <x:c r="B288" s="14"/>
      <x:c r="C288" s="14"/>
      <x:c r="D288" s="14"/>
      <x:c r="E288" s="14"/>
      <x:c r="F288" s="14" t="str">
        <x:v>YES</x:v>
      </x:c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 t="str">
        <x:v>NO</x:v>
      </x:c>
      <x:c r="T288" s="14"/>
      <x:c r="U288" s="14"/>
      <x:c r="V288" s="14"/>
    </x:row>
    <x:row r="289">
      <x:c r="A289" s="14" t="n">
        <x:v>288</x:v>
      </x:c>
      <x:c r="B289" s="14"/>
      <x:c r="C289" s="14"/>
      <x:c r="D289" s="14"/>
      <x:c r="E289" s="14"/>
      <x:c r="F289" s="14" t="str">
        <x:v>YES</x:v>
      </x:c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 t="str">
        <x:v>NO</x:v>
      </x:c>
      <x:c r="T289" s="14"/>
      <x:c r="U289" s="14"/>
      <x:c r="V289" s="14"/>
    </x:row>
    <x:row r="290">
      <x:c r="A290" s="14" t="n">
        <x:v>289</x:v>
      </x:c>
      <x:c r="B290" s="14"/>
      <x:c r="C290" s="14"/>
      <x:c r="D290" s="14"/>
      <x:c r="E290" s="14"/>
      <x:c r="F290" s="14" t="str">
        <x:v>YES</x:v>
      </x:c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 t="str">
        <x:v>NO</x:v>
      </x:c>
      <x:c r="T290" s="14"/>
      <x:c r="U290" s="14"/>
      <x:c r="V290" s="14"/>
    </x:row>
    <x:row r="291">
      <x:c r="A291" s="14" t="n">
        <x:v>290</x:v>
      </x:c>
      <x:c r="B291" s="14"/>
      <x:c r="C291" s="14"/>
      <x:c r="D291" s="14"/>
      <x:c r="E291" s="14"/>
      <x:c r="F291" s="14" t="str">
        <x:v>YES</x:v>
      </x:c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 t="str">
        <x:v>NO</x:v>
      </x:c>
      <x:c r="T291" s="14"/>
      <x:c r="U291" s="14"/>
      <x:c r="V291" s="14"/>
    </x:row>
    <x:row r="292">
      <x:c r="A292" s="14" t="n">
        <x:v>291</x:v>
      </x:c>
      <x:c r="B292" s="14"/>
      <x:c r="C292" s="14"/>
      <x:c r="D292" s="14"/>
      <x:c r="E292" s="14"/>
      <x:c r="F292" s="14" t="str">
        <x:v>YES</x:v>
      </x:c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 t="str">
        <x:v>NO</x:v>
      </x:c>
      <x:c r="T292" s="14"/>
      <x:c r="U292" s="14"/>
      <x:c r="V292" s="14"/>
    </x:row>
    <x:row r="293">
      <x:c r="A293" s="14" t="n">
        <x:v>292</x:v>
      </x:c>
      <x:c r="B293" s="14"/>
      <x:c r="C293" s="14"/>
      <x:c r="D293" s="14"/>
      <x:c r="E293" s="14"/>
      <x:c r="F293" s="14" t="str">
        <x:v>YES</x:v>
      </x:c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 t="str">
        <x:v>NO</x:v>
      </x:c>
      <x:c r="T293" s="14"/>
      <x:c r="U293" s="14"/>
      <x:c r="V293" s="14"/>
    </x:row>
    <x:row r="294">
      <x:c r="A294" s="14" t="n">
        <x:v>293</x:v>
      </x:c>
      <x:c r="B294" s="14"/>
      <x:c r="C294" s="14"/>
      <x:c r="D294" s="14"/>
      <x:c r="E294" s="14"/>
      <x:c r="F294" s="14" t="str">
        <x:v>YES</x:v>
      </x:c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 t="str">
        <x:v>NO</x:v>
      </x:c>
      <x:c r="T294" s="14"/>
      <x:c r="U294" s="14"/>
      <x:c r="V294" s="14"/>
    </x:row>
    <x:row r="295">
      <x:c r="A295" s="14" t="n">
        <x:v>294</x:v>
      </x:c>
      <x:c r="B295" s="14"/>
      <x:c r="C295" s="14"/>
      <x:c r="D295" s="14"/>
      <x:c r="E295" s="14"/>
      <x:c r="F295" s="14" t="str">
        <x:v>YES</x:v>
      </x:c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 t="str">
        <x:v>NO</x:v>
      </x:c>
      <x:c r="T295" s="14"/>
      <x:c r="U295" s="14"/>
      <x:c r="V295" s="14"/>
    </x:row>
    <x:row r="296">
      <x:c r="A296" s="14" t="n">
        <x:v>295</x:v>
      </x:c>
      <x:c r="B296" s="14"/>
      <x:c r="C296" s="14"/>
      <x:c r="D296" s="14"/>
      <x:c r="E296" s="14"/>
      <x:c r="F296" s="14" t="str">
        <x:v>YES</x:v>
      </x:c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 t="str">
        <x:v>NO</x:v>
      </x:c>
      <x:c r="T296" s="14"/>
      <x:c r="U296" s="14"/>
      <x:c r="V296" s="14"/>
    </x:row>
    <x:row r="297">
      <x:c r="A297" s="14" t="n">
        <x:v>296</x:v>
      </x:c>
      <x:c r="B297" s="14"/>
      <x:c r="C297" s="14"/>
      <x:c r="D297" s="14"/>
      <x:c r="E297" s="14"/>
      <x:c r="F297" s="14" t="str">
        <x:v>YES</x:v>
      </x:c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 t="str">
        <x:v>NO</x:v>
      </x:c>
      <x:c r="T297" s="14"/>
      <x:c r="U297" s="14"/>
      <x:c r="V297" s="14"/>
    </x:row>
    <x:row r="298">
      <x:c r="A298" s="14" t="n">
        <x:v>297</x:v>
      </x:c>
      <x:c r="B298" s="14"/>
      <x:c r="C298" s="14"/>
      <x:c r="D298" s="14"/>
      <x:c r="E298" s="14"/>
      <x:c r="F298" s="14" t="str">
        <x:v>YES</x:v>
      </x:c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 t="str">
        <x:v>NO</x:v>
      </x:c>
      <x:c r="T298" s="14"/>
      <x:c r="U298" s="14"/>
      <x:c r="V298" s="14"/>
    </x:row>
    <x:row r="299">
      <x:c r="A299" s="14" t="n">
        <x:v>298</x:v>
      </x:c>
      <x:c r="B299" s="14"/>
      <x:c r="C299" s="14"/>
      <x:c r="D299" s="14"/>
      <x:c r="E299" s="14"/>
      <x:c r="F299" s="14" t="str">
        <x:v>YES</x:v>
      </x:c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 t="str">
        <x:v>NO</x:v>
      </x:c>
      <x:c r="T299" s="14"/>
      <x:c r="U299" s="14"/>
      <x:c r="V299" s="14"/>
    </x:row>
    <x:row r="300">
      <x:c r="A300" s="14" t="n">
        <x:v>299</x:v>
      </x:c>
      <x:c r="B300" s="14"/>
      <x:c r="C300" s="14"/>
      <x:c r="D300" s="14"/>
      <x:c r="E300" s="14"/>
      <x:c r="F300" s="14" t="str">
        <x:v>YES</x:v>
      </x:c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 t="str">
        <x:v>NO</x:v>
      </x:c>
      <x:c r="T300" s="14"/>
      <x:c r="U300" s="14"/>
      <x:c r="V300" s="14"/>
    </x:row>
    <x:row r="301">
      <x:c r="A301" s="14" t="n">
        <x:v>300</x:v>
      </x:c>
      <x:c r="B301" s="14"/>
      <x:c r="C301" s="14"/>
      <x:c r="D301" s="14"/>
      <x:c r="E301" s="14"/>
      <x:c r="F301" s="14" t="str">
        <x:v>YES</x:v>
      </x:c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 t="str">
        <x:v>NO</x:v>
      </x:c>
      <x:c r="T301" s="14"/>
      <x:c r="U301" s="14"/>
      <x:c r="V301" s="14"/>
    </x:row>
    <x:row r="302">
      <x:c r="A302" s="14" t="n">
        <x:v>301</x:v>
      </x:c>
      <x:c r="B302" s="14"/>
      <x:c r="C302" s="14"/>
      <x:c r="D302" s="14"/>
      <x:c r="E302" s="14"/>
      <x:c r="F302" s="14" t="str">
        <x:v>YES</x:v>
      </x:c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 t="str">
        <x:v>NO</x:v>
      </x:c>
      <x:c r="T302" s="14"/>
      <x:c r="U302" s="14"/>
      <x:c r="V302" s="14"/>
    </x:row>
    <x:row r="303">
      <x:c r="A303" s="14" t="n">
        <x:v>302</x:v>
      </x:c>
      <x:c r="B303" s="14"/>
      <x:c r="C303" s="14"/>
      <x:c r="D303" s="14"/>
      <x:c r="E303" s="14"/>
      <x:c r="F303" s="14" t="str">
        <x:v>YES</x:v>
      </x:c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 t="str">
        <x:v>NO</x:v>
      </x:c>
      <x:c r="T303" s="14"/>
      <x:c r="U303" s="14"/>
      <x:c r="V303" s="14"/>
    </x:row>
    <x:row r="304">
      <x:c r="A304" s="14" t="n">
        <x:v>303</x:v>
      </x:c>
      <x:c r="B304" s="14"/>
      <x:c r="C304" s="14"/>
      <x:c r="D304" s="14"/>
      <x:c r="E304" s="14"/>
      <x:c r="F304" s="14" t="str">
        <x:v>YES</x:v>
      </x:c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 t="str">
        <x:v>NO</x:v>
      </x:c>
      <x:c r="T304" s="14"/>
      <x:c r="U304" s="14"/>
      <x:c r="V304" s="14"/>
    </x:row>
    <x:row r="305">
      <x:c r="A305" s="14" t="n">
        <x:v>304</x:v>
      </x:c>
      <x:c r="B305" s="14"/>
      <x:c r="C305" s="14"/>
      <x:c r="D305" s="14"/>
      <x:c r="E305" s="14"/>
      <x:c r="F305" s="14" t="str">
        <x:v>YES</x:v>
      </x:c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 t="str">
        <x:v>NO</x:v>
      </x:c>
      <x:c r="T305" s="14"/>
      <x:c r="U305" s="14"/>
      <x:c r="V305" s="14"/>
    </x:row>
    <x:row r="306">
      <x:c r="A306" s="14" t="n">
        <x:v>305</x:v>
      </x:c>
      <x:c r="B306" s="14"/>
      <x:c r="C306" s="14"/>
      <x:c r="D306" s="14"/>
      <x:c r="E306" s="14"/>
      <x:c r="F306" s="14" t="str">
        <x:v>YES</x:v>
      </x:c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 t="str">
        <x:v>NO</x:v>
      </x:c>
      <x:c r="T306" s="14"/>
      <x:c r="U306" s="14"/>
      <x:c r="V306" s="14"/>
    </x:row>
    <x:row r="307">
      <x:c r="A307" s="14" t="n">
        <x:v>306</x:v>
      </x:c>
      <x:c r="B307" s="14"/>
      <x:c r="C307" s="14"/>
      <x:c r="D307" s="14"/>
      <x:c r="E307" s="14"/>
      <x:c r="F307" s="14" t="str">
        <x:v>YES</x:v>
      </x:c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 t="str">
        <x:v>NO</x:v>
      </x:c>
      <x:c r="T307" s="14"/>
      <x:c r="U307" s="14"/>
      <x:c r="V307" s="14"/>
    </x:row>
    <x:row r="308">
      <x:c r="A308" s="14" t="n">
        <x:v>307</x:v>
      </x:c>
      <x:c r="B308" s="14"/>
      <x:c r="C308" s="14"/>
      <x:c r="D308" s="14"/>
      <x:c r="E308" s="14"/>
      <x:c r="F308" s="14" t="str">
        <x:v>YES</x:v>
      </x:c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 t="str">
        <x:v>NO</x:v>
      </x:c>
      <x:c r="T308" s="14"/>
      <x:c r="U308" s="14"/>
      <x:c r="V308" s="14"/>
    </x:row>
    <x:row r="309">
      <x:c r="A309" s="14" t="n">
        <x:v>308</x:v>
      </x:c>
      <x:c r="B309" s="14"/>
      <x:c r="C309" s="14"/>
      <x:c r="D309" s="14"/>
      <x:c r="E309" s="14"/>
      <x:c r="F309" s="14" t="str">
        <x:v>YES</x:v>
      </x:c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 t="str">
        <x:v>NO</x:v>
      </x:c>
      <x:c r="T309" s="14"/>
      <x:c r="U309" s="14"/>
      <x:c r="V309" s="14"/>
    </x:row>
    <x:row r="310">
      <x:c r="A310" s="14" t="n">
        <x:v>309</x:v>
      </x:c>
      <x:c r="B310" s="14"/>
      <x:c r="C310" s="14"/>
      <x:c r="D310" s="14"/>
      <x:c r="E310" s="14"/>
      <x:c r="F310" s="14" t="str">
        <x:v>YES</x:v>
      </x:c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 t="str">
        <x:v>NO</x:v>
      </x:c>
      <x:c r="T310" s="14"/>
      <x:c r="U310" s="14"/>
      <x:c r="V310" s="14"/>
    </x:row>
    <x:row r="311">
      <x:c r="A311" s="14" t="n">
        <x:v>310</x:v>
      </x:c>
      <x:c r="B311" s="14"/>
      <x:c r="C311" s="14"/>
      <x:c r="D311" s="14"/>
      <x:c r="E311" s="14"/>
      <x:c r="F311" s="14" t="str">
        <x:v>YES</x:v>
      </x:c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 t="str">
        <x:v>NO</x:v>
      </x:c>
      <x:c r="T311" s="14"/>
      <x:c r="U311" s="14"/>
      <x:c r="V311" s="14"/>
    </x:row>
    <x:row r="312">
      <x:c r="A312" s="14" t="n">
        <x:v>311</x:v>
      </x:c>
      <x:c r="B312" s="14"/>
      <x:c r="C312" s="14"/>
      <x:c r="D312" s="14"/>
      <x:c r="E312" s="14"/>
      <x:c r="F312" s="14" t="str">
        <x:v>YES</x:v>
      </x:c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 t="str">
        <x:v>NO</x:v>
      </x:c>
      <x:c r="T312" s="14"/>
      <x:c r="U312" s="14"/>
      <x:c r="V312" s="14"/>
    </x:row>
    <x:row r="313">
      <x:c r="A313" s="14" t="n">
        <x:v>312</x:v>
      </x:c>
      <x:c r="B313" s="14"/>
      <x:c r="C313" s="14"/>
      <x:c r="D313" s="14"/>
      <x:c r="E313" s="14"/>
      <x:c r="F313" s="14" t="str">
        <x:v>YES</x:v>
      </x:c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 t="str">
        <x:v>NO</x:v>
      </x:c>
      <x:c r="T313" s="14"/>
      <x:c r="U313" s="14"/>
      <x:c r="V313" s="14"/>
    </x:row>
    <x:row r="314">
      <x:c r="A314" s="14" t="n">
        <x:v>313</x:v>
      </x:c>
      <x:c r="B314" s="14"/>
      <x:c r="C314" s="14"/>
      <x:c r="D314" s="14"/>
      <x:c r="E314" s="14"/>
      <x:c r="F314" s="14" t="str">
        <x:v>YES</x:v>
      </x:c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 t="str">
        <x:v>NO</x:v>
      </x:c>
      <x:c r="T314" s="14"/>
      <x:c r="U314" s="14"/>
      <x:c r="V314" s="14"/>
    </x:row>
    <x:row r="315">
      <x:c r="A315" s="14" t="n">
        <x:v>314</x:v>
      </x:c>
      <x:c r="B315" s="14"/>
      <x:c r="C315" s="14"/>
      <x:c r="D315" s="14"/>
      <x:c r="E315" s="14"/>
      <x:c r="F315" s="14" t="str">
        <x:v>YES</x:v>
      </x:c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 t="str">
        <x:v>NO</x:v>
      </x:c>
      <x:c r="T315" s="14"/>
      <x:c r="U315" s="14"/>
      <x:c r="V315" s="14"/>
    </x:row>
    <x:row r="316">
      <x:c r="A316" s="14" t="n">
        <x:v>315</x:v>
      </x:c>
      <x:c r="B316" s="14"/>
      <x:c r="C316" s="14"/>
      <x:c r="D316" s="14"/>
      <x:c r="E316" s="14"/>
      <x:c r="F316" s="14" t="str">
        <x:v>YES</x:v>
      </x:c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 t="str">
        <x:v>NO</x:v>
      </x:c>
      <x:c r="T316" s="14"/>
      <x:c r="U316" s="14"/>
      <x:c r="V316" s="14"/>
    </x:row>
    <x:row r="317">
      <x:c r="A317" s="14" t="n">
        <x:v>316</x:v>
      </x:c>
      <x:c r="B317" s="14"/>
      <x:c r="C317" s="14"/>
      <x:c r="D317" s="14"/>
      <x:c r="E317" s="14"/>
      <x:c r="F317" s="14" t="str">
        <x:v>YES</x:v>
      </x:c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 t="str">
        <x:v>NO</x:v>
      </x:c>
      <x:c r="T317" s="14"/>
      <x:c r="U317" s="14"/>
      <x:c r="V317" s="14"/>
    </x:row>
    <x:row r="318">
      <x:c r="A318" s="14" t="n">
        <x:v>317</x:v>
      </x:c>
      <x:c r="B318" s="14"/>
      <x:c r="C318" s="14"/>
      <x:c r="D318" s="14"/>
      <x:c r="E318" s="14"/>
      <x:c r="F318" s="14" t="str">
        <x:v>YES</x:v>
      </x:c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 t="str">
        <x:v>NO</x:v>
      </x:c>
      <x:c r="T318" s="14"/>
      <x:c r="U318" s="14"/>
      <x:c r="V318" s="14"/>
    </x:row>
    <x:row r="319">
      <x:c r="A319" s="14" t="n">
        <x:v>318</x:v>
      </x:c>
      <x:c r="B319" s="14"/>
      <x:c r="C319" s="14"/>
      <x:c r="D319" s="14"/>
      <x:c r="E319" s="14"/>
      <x:c r="F319" s="14" t="str">
        <x:v>YES</x:v>
      </x:c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 t="str">
        <x:v>NO</x:v>
      </x:c>
      <x:c r="T319" s="14"/>
      <x:c r="U319" s="14"/>
      <x:c r="V319" s="14"/>
    </x:row>
    <x:row r="320">
      <x:c r="A320" s="14" t="n">
        <x:v>319</x:v>
      </x:c>
      <x:c r="B320" s="14"/>
      <x:c r="C320" s="14"/>
      <x:c r="D320" s="14"/>
      <x:c r="E320" s="14"/>
      <x:c r="F320" s="14" t="str">
        <x:v>YES</x:v>
      </x:c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 t="str">
        <x:v>NO</x:v>
      </x:c>
      <x:c r="T320" s="14"/>
      <x:c r="U320" s="14"/>
      <x:c r="V320" s="14"/>
    </x:row>
    <x:row r="321">
      <x:c r="A321" s="14" t="n">
        <x:v>320</x:v>
      </x:c>
      <x:c r="B321" s="14"/>
      <x:c r="C321" s="14"/>
      <x:c r="D321" s="14"/>
      <x:c r="E321" s="14"/>
      <x:c r="F321" s="14" t="str">
        <x:v>YES</x:v>
      </x:c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 t="str">
        <x:v>NO</x:v>
      </x:c>
      <x:c r="T321" s="14"/>
      <x:c r="U321" s="14"/>
      <x:c r="V321" s="14"/>
    </x:row>
    <x:row r="322">
      <x:c r="A322" s="14" t="n">
        <x:v>321</x:v>
      </x:c>
      <x:c r="B322" s="14"/>
      <x:c r="C322" s="14"/>
      <x:c r="D322" s="14"/>
      <x:c r="E322" s="14"/>
      <x:c r="F322" s="14" t="str">
        <x:v>YES</x:v>
      </x:c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 t="str">
        <x:v>NO</x:v>
      </x:c>
      <x:c r="T322" s="14"/>
      <x:c r="U322" s="14"/>
      <x:c r="V322" s="14"/>
    </x:row>
    <x:row r="323">
      <x:c r="A323" s="14" t="n">
        <x:v>322</x:v>
      </x:c>
      <x:c r="B323" s="14"/>
      <x:c r="C323" s="14"/>
      <x:c r="D323" s="14"/>
      <x:c r="E323" s="14"/>
      <x:c r="F323" s="14" t="str">
        <x:v>YES</x:v>
      </x:c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 t="str">
        <x:v>NO</x:v>
      </x:c>
      <x:c r="T323" s="14"/>
      <x:c r="U323" s="14"/>
      <x:c r="V323" s="14"/>
    </x:row>
    <x:row r="324">
      <x:c r="A324" s="14" t="n">
        <x:v>323</x:v>
      </x:c>
      <x:c r="B324" s="14"/>
      <x:c r="C324" s="14"/>
      <x:c r="D324" s="14"/>
      <x:c r="E324" s="14"/>
      <x:c r="F324" s="14" t="str">
        <x:v>YES</x:v>
      </x:c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 t="str">
        <x:v>NO</x:v>
      </x:c>
      <x:c r="T324" s="14"/>
      <x:c r="U324" s="14"/>
      <x:c r="V324" s="14"/>
    </x:row>
    <x:row r="325">
      <x:c r="A325" s="14" t="n">
        <x:v>324</x:v>
      </x:c>
      <x:c r="B325" s="14"/>
      <x:c r="C325" s="14"/>
      <x:c r="D325" s="14"/>
      <x:c r="E325" s="14"/>
      <x:c r="F325" s="14" t="str">
        <x:v>YES</x:v>
      </x:c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 t="str">
        <x:v>NO</x:v>
      </x:c>
      <x:c r="T325" s="14"/>
      <x:c r="U325" s="14"/>
      <x:c r="V325" s="14"/>
    </x:row>
    <x:row r="326">
      <x:c r="A326" s="14" t="n">
        <x:v>325</x:v>
      </x:c>
      <x:c r="B326" s="14"/>
      <x:c r="C326" s="14"/>
      <x:c r="D326" s="14"/>
      <x:c r="E326" s="14"/>
      <x:c r="F326" s="14" t="str">
        <x:v>YES</x:v>
      </x:c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 t="str">
        <x:v>NO</x:v>
      </x:c>
      <x:c r="T326" s="14"/>
      <x:c r="U326" s="14"/>
      <x:c r="V326" s="14"/>
    </x:row>
    <x:row r="327">
      <x:c r="A327" s="14" t="n">
        <x:v>326</x:v>
      </x:c>
      <x:c r="B327" s="14"/>
      <x:c r="C327" s="14"/>
      <x:c r="D327" s="14"/>
      <x:c r="E327" s="14"/>
      <x:c r="F327" s="14" t="str">
        <x:v>YES</x:v>
      </x:c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 t="str">
        <x:v>NO</x:v>
      </x:c>
      <x:c r="T327" s="14"/>
      <x:c r="U327" s="14"/>
      <x:c r="V327" s="14"/>
    </x:row>
    <x:row r="328">
      <x:c r="A328" s="14" t="n">
        <x:v>327</x:v>
      </x:c>
      <x:c r="B328" s="14"/>
      <x:c r="C328" s="14"/>
      <x:c r="D328" s="14"/>
      <x:c r="E328" s="14"/>
      <x:c r="F328" s="14" t="str">
        <x:v>YES</x:v>
      </x:c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 t="str">
        <x:v>NO</x:v>
      </x:c>
      <x:c r="T328" s="14"/>
      <x:c r="U328" s="14"/>
      <x:c r="V328" s="14"/>
    </x:row>
    <x:row r="329">
      <x:c r="A329" s="14" t="n">
        <x:v>328</x:v>
      </x:c>
      <x:c r="B329" s="14"/>
      <x:c r="C329" s="14"/>
      <x:c r="D329" s="14"/>
      <x:c r="E329" s="14"/>
      <x:c r="F329" s="14" t="str">
        <x:v>YES</x:v>
      </x:c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 t="str">
        <x:v>NO</x:v>
      </x:c>
      <x:c r="T329" s="14"/>
      <x:c r="U329" s="14"/>
      <x:c r="V329" s="14"/>
    </x:row>
    <x:row r="330">
      <x:c r="A330" s="14" t="n">
        <x:v>329</x:v>
      </x:c>
      <x:c r="B330" s="14"/>
      <x:c r="C330" s="14"/>
      <x:c r="D330" s="14"/>
      <x:c r="E330" s="14"/>
      <x:c r="F330" s="14" t="str">
        <x:v>YES</x:v>
      </x:c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 t="str">
        <x:v>NO</x:v>
      </x:c>
      <x:c r="T330" s="14"/>
      <x:c r="U330" s="14"/>
      <x:c r="V330" s="14"/>
    </x:row>
    <x:row r="331">
      <x:c r="A331" s="14" t="n">
        <x:v>330</x:v>
      </x:c>
      <x:c r="B331" s="14"/>
      <x:c r="C331" s="14"/>
      <x:c r="D331" s="14"/>
      <x:c r="E331" s="14"/>
      <x:c r="F331" s="14" t="str">
        <x:v>YES</x:v>
      </x:c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 t="str">
        <x:v>NO</x:v>
      </x:c>
      <x:c r="T331" s="14"/>
      <x:c r="U331" s="14"/>
      <x:c r="V331" s="14"/>
    </x:row>
    <x:row r="332">
      <x:c r="A332" s="14" t="n">
        <x:v>331</x:v>
      </x:c>
      <x:c r="B332" s="14"/>
      <x:c r="C332" s="14"/>
      <x:c r="D332" s="14"/>
      <x:c r="E332" s="14"/>
      <x:c r="F332" s="14" t="str">
        <x:v>YES</x:v>
      </x:c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 t="str">
        <x:v>NO</x:v>
      </x:c>
      <x:c r="T332" s="14"/>
      <x:c r="U332" s="14"/>
      <x:c r="V332" s="14"/>
    </x:row>
    <x:row r="333">
      <x:c r="A333" s="14" t="n">
        <x:v>332</x:v>
      </x:c>
      <x:c r="B333" s="14"/>
      <x:c r="C333" s="14"/>
      <x:c r="D333" s="14"/>
      <x:c r="E333" s="14"/>
      <x:c r="F333" s="14" t="str">
        <x:v>YES</x:v>
      </x:c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 t="str">
        <x:v>NO</x:v>
      </x:c>
      <x:c r="T333" s="14"/>
      <x:c r="U333" s="14"/>
      <x:c r="V333" s="14"/>
    </x:row>
    <x:row r="334">
      <x:c r="A334" s="14" t="n">
        <x:v>333</x:v>
      </x:c>
      <x:c r="B334" s="14"/>
      <x:c r="C334" s="14"/>
      <x:c r="D334" s="14"/>
      <x:c r="E334" s="14"/>
      <x:c r="F334" s="14" t="str">
        <x:v>YES</x:v>
      </x:c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 t="str">
        <x:v>NO</x:v>
      </x:c>
      <x:c r="T334" s="14"/>
      <x:c r="U334" s="14"/>
      <x:c r="V334" s="14"/>
    </x:row>
    <x:row r="335">
      <x:c r="A335" s="14" t="n">
        <x:v>334</x:v>
      </x:c>
      <x:c r="B335" s="14"/>
      <x:c r="C335" s="14"/>
      <x:c r="D335" s="14"/>
      <x:c r="E335" s="14"/>
      <x:c r="F335" s="14" t="str">
        <x:v>YES</x:v>
      </x:c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 t="str">
        <x:v>NO</x:v>
      </x:c>
      <x:c r="T335" s="14"/>
      <x:c r="U335" s="14"/>
      <x:c r="V335" s="14"/>
    </x:row>
    <x:row r="336">
      <x:c r="A336" s="14" t="n">
        <x:v>335</x:v>
      </x:c>
      <x:c r="B336" s="14"/>
      <x:c r="C336" s="14"/>
      <x:c r="D336" s="14"/>
      <x:c r="E336" s="14"/>
      <x:c r="F336" s="14" t="str">
        <x:v>YES</x:v>
      </x:c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 t="str">
        <x:v>NO</x:v>
      </x:c>
      <x:c r="T336" s="14"/>
      <x:c r="U336" s="14"/>
      <x:c r="V336" s="14"/>
    </x:row>
    <x:row r="337">
      <x:c r="A337" s="14" t="n">
        <x:v>336</x:v>
      </x:c>
      <x:c r="B337" s="14"/>
      <x:c r="C337" s="14"/>
      <x:c r="D337" s="14"/>
      <x:c r="E337" s="14"/>
      <x:c r="F337" s="14" t="str">
        <x:v>YES</x:v>
      </x:c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 t="str">
        <x:v>NO</x:v>
      </x:c>
      <x:c r="T337" s="14"/>
      <x:c r="U337" s="14"/>
      <x:c r="V337" s="14"/>
    </x:row>
    <x:row r="338">
      <x:c r="A338" s="14" t="n">
        <x:v>337</x:v>
      </x:c>
      <x:c r="B338" s="14"/>
      <x:c r="C338" s="14"/>
      <x:c r="D338" s="14"/>
      <x:c r="E338" s="14"/>
      <x:c r="F338" s="14" t="str">
        <x:v>YES</x:v>
      </x:c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 t="str">
        <x:v>NO</x:v>
      </x:c>
      <x:c r="T338" s="14"/>
      <x:c r="U338" s="14"/>
      <x:c r="V338" s="14"/>
    </x:row>
    <x:row r="339">
      <x:c r="A339" s="14" t="n">
        <x:v>338</x:v>
      </x:c>
      <x:c r="B339" s="14"/>
      <x:c r="C339" s="14"/>
      <x:c r="D339" s="14"/>
      <x:c r="E339" s="14"/>
      <x:c r="F339" s="14" t="str">
        <x:v>YES</x:v>
      </x:c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 t="str">
        <x:v>NO</x:v>
      </x:c>
      <x:c r="T339" s="14"/>
      <x:c r="U339" s="14"/>
      <x:c r="V339" s="14"/>
    </x:row>
    <x:row r="340">
      <x:c r="A340" s="14" t="n">
        <x:v>339</x:v>
      </x:c>
      <x:c r="B340" s="14"/>
      <x:c r="C340" s="14"/>
      <x:c r="D340" s="14"/>
      <x:c r="E340" s="14"/>
      <x:c r="F340" s="14" t="str">
        <x:v>YES</x:v>
      </x:c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 t="str">
        <x:v>NO</x:v>
      </x:c>
      <x:c r="T340" s="14"/>
      <x:c r="U340" s="14"/>
      <x:c r="V340" s="14"/>
    </x:row>
    <x:row r="341">
      <x:c r="A341" s="14" t="n">
        <x:v>340</x:v>
      </x:c>
      <x:c r="B341" s="14"/>
      <x:c r="C341" s="14"/>
      <x:c r="D341" s="14"/>
      <x:c r="E341" s="14"/>
      <x:c r="F341" s="14" t="str">
        <x:v>YES</x:v>
      </x:c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 t="str">
        <x:v>NO</x:v>
      </x:c>
      <x:c r="T341" s="14"/>
      <x:c r="U341" s="14"/>
      <x:c r="V341" s="14"/>
    </x:row>
    <x:row r="342">
      <x:c r="A342" s="14" t="n">
        <x:v>341</x:v>
      </x:c>
      <x:c r="B342" s="14"/>
      <x:c r="C342" s="14"/>
      <x:c r="D342" s="14"/>
      <x:c r="E342" s="14"/>
      <x:c r="F342" s="14" t="str">
        <x:v>YES</x:v>
      </x:c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 t="str">
        <x:v>NO</x:v>
      </x:c>
      <x:c r="T342" s="14"/>
      <x:c r="U342" s="14"/>
      <x:c r="V342" s="14"/>
    </x:row>
    <x:row r="343">
      <x:c r="A343" s="14" t="n">
        <x:v>342</x:v>
      </x:c>
      <x:c r="B343" s="14"/>
      <x:c r="C343" s="14"/>
      <x:c r="D343" s="14"/>
      <x:c r="E343" s="14"/>
      <x:c r="F343" s="14" t="str">
        <x:v>YES</x:v>
      </x:c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 t="str">
        <x:v>NO</x:v>
      </x:c>
      <x:c r="T343" s="14"/>
      <x:c r="U343" s="14"/>
      <x:c r="V343" s="14"/>
    </x:row>
    <x:row r="344">
      <x:c r="A344" s="14" t="n">
        <x:v>343</x:v>
      </x:c>
      <x:c r="B344" s="14"/>
      <x:c r="C344" s="14"/>
      <x:c r="D344" s="14"/>
      <x:c r="E344" s="14"/>
      <x:c r="F344" s="14" t="str">
        <x:v>YES</x:v>
      </x:c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 t="str">
        <x:v>NO</x:v>
      </x:c>
      <x:c r="T344" s="14"/>
      <x:c r="U344" s="14"/>
      <x:c r="V344" s="14"/>
    </x:row>
    <x:row r="345">
      <x:c r="A345" s="14" t="n">
        <x:v>344</x:v>
      </x:c>
      <x:c r="B345" s="14"/>
      <x:c r="C345" s="14"/>
      <x:c r="D345" s="14"/>
      <x:c r="E345" s="14"/>
      <x:c r="F345" s="14" t="str">
        <x:v>YES</x:v>
      </x:c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 t="str">
        <x:v>NO</x:v>
      </x:c>
      <x:c r="T345" s="14"/>
      <x:c r="U345" s="14"/>
      <x:c r="V345" s="14"/>
    </x:row>
    <x:row r="346">
      <x:c r="A346" s="14" t="n">
        <x:v>345</x:v>
      </x:c>
      <x:c r="B346" s="14"/>
      <x:c r="C346" s="14"/>
      <x:c r="D346" s="14"/>
      <x:c r="E346" s="14"/>
      <x:c r="F346" s="14" t="str">
        <x:v>YES</x:v>
      </x:c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 t="str">
        <x:v>NO</x:v>
      </x:c>
      <x:c r="T346" s="14"/>
      <x:c r="U346" s="14"/>
      <x:c r="V346" s="14"/>
    </x:row>
    <x:row r="347">
      <x:c r="A347" s="14" t="n">
        <x:v>346</x:v>
      </x:c>
      <x:c r="B347" s="14"/>
      <x:c r="C347" s="14"/>
      <x:c r="D347" s="14"/>
      <x:c r="E347" s="14"/>
      <x:c r="F347" s="14" t="str">
        <x:v>YES</x:v>
      </x:c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 t="str">
        <x:v>NO</x:v>
      </x:c>
      <x:c r="T347" s="14"/>
      <x:c r="U347" s="14"/>
      <x:c r="V347" s="14"/>
    </x:row>
    <x:row r="348">
      <x:c r="A348" s="14" t="n">
        <x:v>347</x:v>
      </x:c>
      <x:c r="B348" s="14"/>
      <x:c r="C348" s="14"/>
      <x:c r="D348" s="14"/>
      <x:c r="E348" s="14"/>
      <x:c r="F348" s="14" t="str">
        <x:v>YES</x:v>
      </x:c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 t="str">
        <x:v>NO</x:v>
      </x:c>
      <x:c r="T348" s="14"/>
      <x:c r="U348" s="14"/>
      <x:c r="V348" s="14"/>
    </x:row>
    <x:row r="349">
      <x:c r="A349" s="14" t="n">
        <x:v>348</x:v>
      </x:c>
      <x:c r="B349" s="14"/>
      <x:c r="C349" s="14"/>
      <x:c r="D349" s="14"/>
      <x:c r="E349" s="14"/>
      <x:c r="F349" s="14" t="str">
        <x:v>YES</x:v>
      </x:c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 t="str">
        <x:v>NO</x:v>
      </x:c>
      <x:c r="T349" s="14"/>
      <x:c r="U349" s="14"/>
      <x:c r="V349" s="14"/>
    </x:row>
    <x:row r="350">
      <x:c r="A350" s="14" t="n">
        <x:v>349</x:v>
      </x:c>
      <x:c r="B350" s="14"/>
      <x:c r="C350" s="14"/>
      <x:c r="D350" s="14"/>
      <x:c r="E350" s="14"/>
      <x:c r="F350" s="14" t="str">
        <x:v>YES</x:v>
      </x:c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 t="str">
        <x:v>NO</x:v>
      </x:c>
      <x:c r="T350" s="14"/>
      <x:c r="U350" s="14"/>
      <x:c r="V350" s="14"/>
    </x:row>
    <x:row r="351">
      <x:c r="A351" s="14" t="n">
        <x:v>350</x:v>
      </x:c>
      <x:c r="B351" s="14"/>
      <x:c r="C351" s="14"/>
      <x:c r="D351" s="14"/>
      <x:c r="E351" s="14"/>
      <x:c r="F351" s="14" t="str">
        <x:v>YES</x:v>
      </x:c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 t="str">
        <x:v>NO</x:v>
      </x:c>
      <x:c r="T351" s="14"/>
      <x:c r="U351" s="14"/>
      <x:c r="V351" s="14"/>
    </x:row>
    <x:row r="352">
      <x:c r="A352" s="14" t="n">
        <x:v>351</x:v>
      </x:c>
      <x:c r="B352" s="14"/>
      <x:c r="C352" s="14"/>
      <x:c r="D352" s="14"/>
      <x:c r="E352" s="14"/>
      <x:c r="F352" s="14" t="str">
        <x:v>YES</x:v>
      </x:c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 t="str">
        <x:v>NO</x:v>
      </x:c>
      <x:c r="T352" s="14"/>
      <x:c r="U352" s="14"/>
      <x:c r="V352" s="14"/>
    </x:row>
    <x:row r="353">
      <x:c r="A353" s="14" t="n">
        <x:v>352</x:v>
      </x:c>
      <x:c r="B353" s="14"/>
      <x:c r="C353" s="14"/>
      <x:c r="D353" s="14"/>
      <x:c r="E353" s="14"/>
      <x:c r="F353" s="14" t="str">
        <x:v>YES</x:v>
      </x:c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 t="str">
        <x:v>NO</x:v>
      </x:c>
      <x:c r="T353" s="14"/>
      <x:c r="U353" s="14"/>
      <x:c r="V353" s="14"/>
    </x:row>
    <x:row r="354">
      <x:c r="A354" s="14" t="n">
        <x:v>353</x:v>
      </x:c>
      <x:c r="B354" s="14"/>
      <x:c r="C354" s="14"/>
      <x:c r="D354" s="14"/>
      <x:c r="E354" s="14"/>
      <x:c r="F354" s="14" t="str">
        <x:v>YES</x:v>
      </x:c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 t="str">
        <x:v>NO</x:v>
      </x:c>
      <x:c r="T354" s="14"/>
      <x:c r="U354" s="14"/>
      <x:c r="V354" s="14"/>
    </x:row>
    <x:row r="355">
      <x:c r="A355" s="14" t="n">
        <x:v>354</x:v>
      </x:c>
      <x:c r="B355" s="14"/>
      <x:c r="C355" s="14"/>
      <x:c r="D355" s="14"/>
      <x:c r="E355" s="14"/>
      <x:c r="F355" s="14" t="str">
        <x:v>YES</x:v>
      </x:c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 t="str">
        <x:v>NO</x:v>
      </x:c>
      <x:c r="T355" s="14"/>
      <x:c r="U355" s="14"/>
      <x:c r="V355" s="14"/>
    </x:row>
    <x:row r="356">
      <x:c r="A356" s="14" t="n">
        <x:v>355</x:v>
      </x:c>
      <x:c r="B356" s="14"/>
      <x:c r="C356" s="14"/>
      <x:c r="D356" s="14"/>
      <x:c r="E356" s="14"/>
      <x:c r="F356" s="14" t="str">
        <x:v>YES</x:v>
      </x:c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 t="str">
        <x:v>NO</x:v>
      </x:c>
      <x:c r="T356" s="14"/>
      <x:c r="U356" s="14"/>
      <x:c r="V356" s="14"/>
    </x:row>
    <x:row r="357">
      <x:c r="A357" s="14" t="n">
        <x:v>356</x:v>
      </x:c>
      <x:c r="B357" s="14"/>
      <x:c r="C357" s="14"/>
      <x:c r="D357" s="14"/>
      <x:c r="E357" s="14"/>
      <x:c r="F357" s="14" t="str">
        <x:v>YES</x:v>
      </x:c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 t="str">
        <x:v>NO</x:v>
      </x:c>
      <x:c r="T357" s="14"/>
      <x:c r="U357" s="14"/>
      <x:c r="V357" s="14"/>
    </x:row>
    <x:row r="358">
      <x:c r="A358" s="14" t="n">
        <x:v>357</x:v>
      </x:c>
      <x:c r="B358" s="14"/>
      <x:c r="C358" s="14"/>
      <x:c r="D358" s="14"/>
      <x:c r="E358" s="14"/>
      <x:c r="F358" s="14" t="str">
        <x:v>YES</x:v>
      </x:c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 t="str">
        <x:v>NO</x:v>
      </x:c>
      <x:c r="T358" s="14"/>
      <x:c r="U358" s="14"/>
      <x:c r="V358" s="14"/>
    </x:row>
    <x:row r="359">
      <x:c r="A359" s="14" t="n">
        <x:v>358</x:v>
      </x:c>
      <x:c r="B359" s="14"/>
      <x:c r="C359" s="14"/>
      <x:c r="D359" s="14"/>
      <x:c r="E359" s="14"/>
      <x:c r="F359" s="14" t="str">
        <x:v>YES</x:v>
      </x:c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 t="str">
        <x:v>NO</x:v>
      </x:c>
      <x:c r="T359" s="14"/>
      <x:c r="U359" s="14"/>
      <x:c r="V359" s="14"/>
    </x:row>
    <x:row r="360">
      <x:c r="A360" s="14" t="n">
        <x:v>359</x:v>
      </x:c>
      <x:c r="B360" s="14"/>
      <x:c r="C360" s="14"/>
      <x:c r="D360" s="14"/>
      <x:c r="E360" s="14"/>
      <x:c r="F360" s="14" t="str">
        <x:v>YES</x:v>
      </x:c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 t="str">
        <x:v>NO</x:v>
      </x:c>
      <x:c r="T360" s="14"/>
      <x:c r="U360" s="14"/>
      <x:c r="V360" s="14"/>
    </x:row>
    <x:row r="361">
      <x:c r="A361" s="14" t="n">
        <x:v>360</x:v>
      </x:c>
      <x:c r="B361" s="14"/>
      <x:c r="C361" s="14"/>
      <x:c r="D361" s="14"/>
      <x:c r="E361" s="14"/>
      <x:c r="F361" s="14" t="str">
        <x:v>YES</x:v>
      </x:c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 t="str">
        <x:v>NO</x:v>
      </x:c>
      <x:c r="T361" s="14"/>
      <x:c r="U361" s="14"/>
      <x:c r="V361" s="14"/>
    </x:row>
    <x:row r="362">
      <x:c r="A362" s="14" t="n">
        <x:v>361</x:v>
      </x:c>
      <x:c r="B362" s="14"/>
      <x:c r="C362" s="14"/>
      <x:c r="D362" s="14"/>
      <x:c r="E362" s="14"/>
      <x:c r="F362" s="14" t="str">
        <x:v>YES</x:v>
      </x:c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 t="str">
        <x:v>NO</x:v>
      </x:c>
      <x:c r="T362" s="14"/>
      <x:c r="U362" s="14"/>
      <x:c r="V362" s="14"/>
    </x:row>
    <x:row r="363">
      <x:c r="A363" s="14" t="n">
        <x:v>362</x:v>
      </x:c>
      <x:c r="B363" s="14"/>
      <x:c r="C363" s="14"/>
      <x:c r="D363" s="14"/>
      <x:c r="E363" s="14"/>
      <x:c r="F363" s="14" t="str">
        <x:v>YES</x:v>
      </x:c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 t="str">
        <x:v>NO</x:v>
      </x:c>
      <x:c r="T363" s="14"/>
      <x:c r="U363" s="14"/>
      <x:c r="V363" s="14"/>
    </x:row>
    <x:row r="364">
      <x:c r="A364" s="14" t="n">
        <x:v>363</x:v>
      </x:c>
      <x:c r="B364" s="14"/>
      <x:c r="C364" s="14"/>
      <x:c r="D364" s="14"/>
      <x:c r="E364" s="14"/>
      <x:c r="F364" s="14" t="str">
        <x:v>YES</x:v>
      </x:c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 t="str">
        <x:v>NO</x:v>
      </x:c>
      <x:c r="T364" s="14"/>
      <x:c r="U364" s="14"/>
      <x:c r="V364" s="14"/>
    </x:row>
    <x:row r="365">
      <x:c r="A365" s="14" t="n">
        <x:v>364</x:v>
      </x:c>
      <x:c r="B365" s="14"/>
      <x:c r="C365" s="14"/>
      <x:c r="D365" s="14"/>
      <x:c r="E365" s="14"/>
      <x:c r="F365" s="14" t="str">
        <x:v>YES</x:v>
      </x:c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 t="str">
        <x:v>NO</x:v>
      </x:c>
      <x:c r="T365" s="14"/>
      <x:c r="U365" s="14"/>
      <x:c r="V365" s="14"/>
    </x:row>
    <x:row r="366">
      <x:c r="A366" s="14" t="n">
        <x:v>365</x:v>
      </x:c>
      <x:c r="B366" s="14"/>
      <x:c r="C366" s="14"/>
      <x:c r="D366" s="14"/>
      <x:c r="E366" s="14"/>
      <x:c r="F366" s="14" t="str">
        <x:v>YES</x:v>
      </x:c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 t="str">
        <x:v>NO</x:v>
      </x:c>
      <x:c r="T366" s="14"/>
      <x:c r="U366" s="14"/>
      <x:c r="V366" s="14"/>
    </x:row>
    <x:row r="367">
      <x:c r="A367" s="14" t="n">
        <x:v>366</x:v>
      </x:c>
      <x:c r="B367" s="14"/>
      <x:c r="C367" s="14"/>
      <x:c r="D367" s="14"/>
      <x:c r="E367" s="14"/>
      <x:c r="F367" s="14" t="str">
        <x:v>YES</x:v>
      </x:c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 t="str">
        <x:v>NO</x:v>
      </x:c>
      <x:c r="T367" s="14"/>
      <x:c r="U367" s="14"/>
      <x:c r="V367" s="14"/>
    </x:row>
    <x:row r="368">
      <x:c r="A368" s="14" t="n">
        <x:v>367</x:v>
      </x:c>
      <x:c r="B368" s="14"/>
      <x:c r="C368" s="14"/>
      <x:c r="D368" s="14"/>
      <x:c r="E368" s="14"/>
      <x:c r="F368" s="14" t="str">
        <x:v>YES</x:v>
      </x:c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 t="str">
        <x:v>NO</x:v>
      </x:c>
      <x:c r="T368" s="14"/>
      <x:c r="U368" s="14"/>
      <x:c r="V368" s="14"/>
    </x:row>
    <x:row r="369">
      <x:c r="A369" s="14" t="n">
        <x:v>368</x:v>
      </x:c>
      <x:c r="B369" s="14"/>
      <x:c r="C369" s="14"/>
      <x:c r="D369" s="14"/>
      <x:c r="E369" s="14"/>
      <x:c r="F369" s="14" t="str">
        <x:v>YES</x:v>
      </x:c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 t="str">
        <x:v>NO</x:v>
      </x:c>
      <x:c r="T369" s="14"/>
      <x:c r="U369" s="14"/>
      <x:c r="V369" s="14"/>
    </x:row>
    <x:row r="370">
      <x:c r="A370" s="14" t="n">
        <x:v>369</x:v>
      </x:c>
      <x:c r="B370" s="14"/>
      <x:c r="C370" s="14"/>
      <x:c r="D370" s="14"/>
      <x:c r="E370" s="14"/>
      <x:c r="F370" s="14" t="str">
        <x:v>YES</x:v>
      </x:c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 t="str">
        <x:v>NO</x:v>
      </x:c>
      <x:c r="T370" s="14"/>
      <x:c r="U370" s="14"/>
      <x:c r="V370" s="14"/>
    </x:row>
    <x:row r="371">
      <x:c r="A371" s="14" t="n">
        <x:v>370</x:v>
      </x:c>
      <x:c r="B371" s="14"/>
      <x:c r="C371" s="14"/>
      <x:c r="D371" s="14"/>
      <x:c r="E371" s="14"/>
      <x:c r="F371" s="14" t="str">
        <x:v>YES</x:v>
      </x:c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 t="str">
        <x:v>NO</x:v>
      </x:c>
      <x:c r="T371" s="14"/>
      <x:c r="U371" s="14"/>
      <x:c r="V371" s="14"/>
    </x:row>
    <x:row r="372">
      <x:c r="A372" s="14" t="n">
        <x:v>371</x:v>
      </x:c>
      <x:c r="B372" s="14"/>
      <x:c r="C372" s="14"/>
      <x:c r="D372" s="14"/>
      <x:c r="E372" s="14"/>
      <x:c r="F372" s="14" t="str">
        <x:v>YES</x:v>
      </x:c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 t="str">
        <x:v>NO</x:v>
      </x:c>
      <x:c r="T372" s="14"/>
      <x:c r="U372" s="14"/>
      <x:c r="V372" s="14"/>
    </x:row>
    <x:row r="373">
      <x:c r="A373" s="14" t="n">
        <x:v>372</x:v>
      </x:c>
      <x:c r="B373" s="14"/>
      <x:c r="C373" s="14"/>
      <x:c r="D373" s="14"/>
      <x:c r="E373" s="14"/>
      <x:c r="F373" s="14" t="str">
        <x:v>YES</x:v>
      </x:c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 t="str">
        <x:v>NO</x:v>
      </x:c>
      <x:c r="T373" s="14"/>
      <x:c r="U373" s="14"/>
      <x:c r="V373" s="14"/>
    </x:row>
    <x:row r="374">
      <x:c r="A374" s="14" t="n">
        <x:v>373</x:v>
      </x:c>
      <x:c r="B374" s="14"/>
      <x:c r="C374" s="14"/>
      <x:c r="D374" s="14"/>
      <x:c r="E374" s="14"/>
      <x:c r="F374" s="14" t="str">
        <x:v>YES</x:v>
      </x:c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 t="str">
        <x:v>NO</x:v>
      </x:c>
      <x:c r="T374" s="14"/>
      <x:c r="U374" s="14"/>
      <x:c r="V374" s="14"/>
    </x:row>
    <x:row r="375">
      <x:c r="A375" s="14" t="n">
        <x:v>374</x:v>
      </x:c>
      <x:c r="B375" s="14"/>
      <x:c r="C375" s="14"/>
      <x:c r="D375" s="14"/>
      <x:c r="E375" s="14"/>
      <x:c r="F375" s="14" t="str">
        <x:v>YES</x:v>
      </x:c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 t="str">
        <x:v>NO</x:v>
      </x:c>
      <x:c r="T375" s="14"/>
      <x:c r="U375" s="14"/>
      <x:c r="V375" s="14"/>
    </x:row>
    <x:row r="376">
      <x:c r="A376" s="14" t="n">
        <x:v>375</x:v>
      </x:c>
      <x:c r="B376" s="14"/>
      <x:c r="C376" s="14"/>
      <x:c r="D376" s="14"/>
      <x:c r="E376" s="14"/>
      <x:c r="F376" s="14" t="str">
        <x:v>YES</x:v>
      </x:c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 t="str">
        <x:v>NO</x:v>
      </x:c>
      <x:c r="T376" s="14"/>
      <x:c r="U376" s="14"/>
      <x:c r="V376" s="14"/>
    </x:row>
    <x:row r="377">
      <x:c r="A377" s="14" t="n">
        <x:v>376</x:v>
      </x:c>
      <x:c r="B377" s="14"/>
      <x:c r="C377" s="14"/>
      <x:c r="D377" s="14"/>
      <x:c r="E377" s="14"/>
      <x:c r="F377" s="14" t="str">
        <x:v>YES</x:v>
      </x:c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 t="str">
        <x:v>NO</x:v>
      </x:c>
      <x:c r="T377" s="14"/>
      <x:c r="U377" s="14"/>
      <x:c r="V377" s="14"/>
    </x:row>
    <x:row r="378">
      <x:c r="A378" s="14" t="n">
        <x:v>377</x:v>
      </x:c>
      <x:c r="B378" s="14"/>
      <x:c r="C378" s="14"/>
      <x:c r="D378" s="14"/>
      <x:c r="E378" s="14"/>
      <x:c r="F378" s="14" t="str">
        <x:v>YES</x:v>
      </x:c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 t="str">
        <x:v>NO</x:v>
      </x:c>
      <x:c r="T378" s="14"/>
      <x:c r="U378" s="14"/>
      <x:c r="V378" s="14"/>
    </x:row>
    <x:row r="379">
      <x:c r="A379" s="14" t="n">
        <x:v>378</x:v>
      </x:c>
      <x:c r="B379" s="14"/>
      <x:c r="C379" s="14"/>
      <x:c r="D379" s="14"/>
      <x:c r="E379" s="14"/>
      <x:c r="F379" s="14" t="str">
        <x:v>YES</x:v>
      </x:c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 t="str">
        <x:v>NO</x:v>
      </x:c>
      <x:c r="T379" s="14"/>
      <x:c r="U379" s="14"/>
      <x:c r="V379" s="14"/>
    </x:row>
    <x:row r="380">
      <x:c r="A380" s="14" t="n">
        <x:v>379</x:v>
      </x:c>
      <x:c r="B380" s="14"/>
      <x:c r="C380" s="14"/>
      <x:c r="D380" s="14"/>
      <x:c r="E380" s="14"/>
      <x:c r="F380" s="14" t="str">
        <x:v>YES</x:v>
      </x:c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 t="str">
        <x:v>NO</x:v>
      </x:c>
      <x:c r="T380" s="14"/>
      <x:c r="U380" s="14"/>
      <x:c r="V380" s="14"/>
    </x:row>
    <x:row r="381">
      <x:c r="A381" s="14" t="n">
        <x:v>380</x:v>
      </x:c>
      <x:c r="B381" s="14"/>
      <x:c r="C381" s="14"/>
      <x:c r="D381" s="14"/>
      <x:c r="E381" s="14"/>
      <x:c r="F381" s="14" t="str">
        <x:v>YES</x:v>
      </x:c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 t="str">
        <x:v>NO</x:v>
      </x:c>
      <x:c r="T381" s="14"/>
      <x:c r="U381" s="14"/>
      <x:c r="V381" s="14"/>
    </x:row>
    <x:row r="382">
      <x:c r="A382" s="14" t="n">
        <x:v>381</x:v>
      </x:c>
      <x:c r="B382" s="14"/>
      <x:c r="C382" s="14"/>
      <x:c r="D382" s="14"/>
      <x:c r="E382" s="14"/>
      <x:c r="F382" s="14" t="str">
        <x:v>YES</x:v>
      </x:c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 t="str">
        <x:v>NO</x:v>
      </x:c>
      <x:c r="T382" s="14"/>
      <x:c r="U382" s="14"/>
      <x:c r="V382" s="14"/>
    </x:row>
    <x:row r="383">
      <x:c r="A383" s="14" t="n">
        <x:v>382</x:v>
      </x:c>
      <x:c r="B383" s="14"/>
      <x:c r="C383" s="14"/>
      <x:c r="D383" s="14"/>
      <x:c r="E383" s="14"/>
      <x:c r="F383" s="14" t="str">
        <x:v>YES</x:v>
      </x:c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 t="str">
        <x:v>NO</x:v>
      </x:c>
      <x:c r="T383" s="14"/>
      <x:c r="U383" s="14"/>
      <x:c r="V383" s="14"/>
    </x:row>
    <x:row r="384">
      <x:c r="A384" s="14" t="n">
        <x:v>383</x:v>
      </x:c>
      <x:c r="B384" s="14"/>
      <x:c r="C384" s="14"/>
      <x:c r="D384" s="14"/>
      <x:c r="E384" s="14"/>
      <x:c r="F384" s="14" t="str">
        <x:v>YES</x:v>
      </x:c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 t="str">
        <x:v>NO</x:v>
      </x:c>
      <x:c r="T384" s="14"/>
      <x:c r="U384" s="14"/>
      <x:c r="V384" s="14"/>
    </x:row>
    <x:row r="385">
      <x:c r="A385" s="14" t="n">
        <x:v>384</x:v>
      </x:c>
      <x:c r="B385" s="14"/>
      <x:c r="C385" s="14"/>
      <x:c r="D385" s="14"/>
      <x:c r="E385" s="14"/>
      <x:c r="F385" s="14" t="str">
        <x:v>YES</x:v>
      </x:c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 t="str">
        <x:v>NO</x:v>
      </x:c>
      <x:c r="T385" s="14"/>
      <x:c r="U385" s="14"/>
      <x:c r="V385" s="14"/>
    </x:row>
    <x:row r="386">
      <x:c r="A386" s="14" t="n">
        <x:v>385</x:v>
      </x:c>
      <x:c r="B386" s="14"/>
      <x:c r="C386" s="14"/>
      <x:c r="D386" s="14"/>
      <x:c r="E386" s="14"/>
      <x:c r="F386" s="14" t="str">
        <x:v>YES</x:v>
      </x:c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 t="str">
        <x:v>NO</x:v>
      </x:c>
      <x:c r="T386" s="14"/>
      <x:c r="U386" s="14"/>
      <x:c r="V386" s="14"/>
    </x:row>
    <x:row r="387">
      <x:c r="A387" s="14" t="n">
        <x:v>386</x:v>
      </x:c>
      <x:c r="B387" s="14"/>
      <x:c r="C387" s="14"/>
      <x:c r="D387" s="14"/>
      <x:c r="E387" s="14"/>
      <x:c r="F387" s="14" t="str">
        <x:v>YES</x:v>
      </x:c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 t="str">
        <x:v>NO</x:v>
      </x:c>
      <x:c r="T387" s="14"/>
      <x:c r="U387" s="14"/>
      <x:c r="V387" s="14"/>
    </x:row>
    <x:row r="388">
      <x:c r="A388" s="14" t="n">
        <x:v>387</x:v>
      </x:c>
      <x:c r="B388" s="14"/>
      <x:c r="C388" s="14"/>
      <x:c r="D388" s="14"/>
      <x:c r="E388" s="14"/>
      <x:c r="F388" s="14" t="str">
        <x:v>YES</x:v>
      </x:c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 t="str">
        <x:v>NO</x:v>
      </x:c>
      <x:c r="T388" s="14"/>
      <x:c r="U388" s="14"/>
      <x:c r="V388" s="14"/>
    </x:row>
    <x:row r="389">
      <x:c r="A389" s="14" t="n">
        <x:v>388</x:v>
      </x:c>
      <x:c r="B389" s="14"/>
      <x:c r="C389" s="14"/>
      <x:c r="D389" s="14"/>
      <x:c r="E389" s="14"/>
      <x:c r="F389" s="14" t="str">
        <x:v>YES</x:v>
      </x:c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 t="str">
        <x:v>NO</x:v>
      </x:c>
      <x:c r="T389" s="14"/>
      <x:c r="U389" s="14"/>
      <x:c r="V389" s="14"/>
    </x:row>
    <x:row r="390">
      <x:c r="A390" s="14" t="n">
        <x:v>389</x:v>
      </x:c>
      <x:c r="B390" s="14"/>
      <x:c r="C390" s="14"/>
      <x:c r="D390" s="14"/>
      <x:c r="E390" s="14"/>
      <x:c r="F390" s="14" t="str">
        <x:v>YES</x:v>
      </x:c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 t="str">
        <x:v>NO</x:v>
      </x:c>
      <x:c r="T390" s="14"/>
      <x:c r="U390" s="14"/>
      <x:c r="V390" s="14"/>
    </x:row>
    <x:row r="391">
      <x:c r="A391" s="14" t="n">
        <x:v>390</x:v>
      </x:c>
      <x:c r="B391" s="14"/>
      <x:c r="C391" s="14"/>
      <x:c r="D391" s="14"/>
      <x:c r="E391" s="14"/>
      <x:c r="F391" s="14" t="str">
        <x:v>YES</x:v>
      </x:c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 t="str">
        <x:v>NO</x:v>
      </x:c>
      <x:c r="T391" s="14"/>
      <x:c r="U391" s="14"/>
      <x:c r="V391" s="14"/>
    </x:row>
    <x:row r="392">
      <x:c r="A392" s="14" t="n">
        <x:v>391</x:v>
      </x:c>
      <x:c r="B392" s="14"/>
      <x:c r="C392" s="14"/>
      <x:c r="D392" s="14"/>
      <x:c r="E392" s="14"/>
      <x:c r="F392" s="14" t="str">
        <x:v>YES</x:v>
      </x:c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 t="str">
        <x:v>NO</x:v>
      </x:c>
      <x:c r="T392" s="14"/>
      <x:c r="U392" s="14"/>
      <x:c r="V392" s="14"/>
    </x:row>
    <x:row r="393">
      <x:c r="A393" s="14" t="n">
        <x:v>392</x:v>
      </x:c>
      <x:c r="B393" s="14"/>
      <x:c r="C393" s="14"/>
      <x:c r="D393" s="14"/>
      <x:c r="E393" s="14"/>
      <x:c r="F393" s="14" t="str">
        <x:v>YES</x:v>
      </x:c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 t="str">
        <x:v>NO</x:v>
      </x:c>
      <x:c r="T393" s="14"/>
      <x:c r="U393" s="14"/>
      <x:c r="V393" s="14"/>
    </x:row>
    <x:row r="394">
      <x:c r="A394" s="14" t="n">
        <x:v>393</x:v>
      </x:c>
      <x:c r="B394" s="14"/>
      <x:c r="C394" s="14"/>
      <x:c r="D394" s="14"/>
      <x:c r="E394" s="14"/>
      <x:c r="F394" s="14" t="str">
        <x:v>YES</x:v>
      </x:c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 t="str">
        <x:v>NO</x:v>
      </x:c>
      <x:c r="T394" s="14"/>
      <x:c r="U394" s="14"/>
      <x:c r="V394" s="14"/>
    </x:row>
    <x:row r="395">
      <x:c r="A395" s="14" t="n">
        <x:v>394</x:v>
      </x:c>
      <x:c r="B395" s="14"/>
      <x:c r="C395" s="14"/>
      <x:c r="D395" s="14"/>
      <x:c r="E395" s="14"/>
      <x:c r="F395" s="14" t="str">
        <x:v>YES</x:v>
      </x:c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 t="str">
        <x:v>NO</x:v>
      </x:c>
      <x:c r="T395" s="14"/>
      <x:c r="U395" s="14"/>
      <x:c r="V395" s="14"/>
    </x:row>
    <x:row r="396">
      <x:c r="A396" s="14" t="n">
        <x:v>395</x:v>
      </x:c>
      <x:c r="B396" s="14"/>
      <x:c r="C396" s="14"/>
      <x:c r="D396" s="14"/>
      <x:c r="E396" s="14"/>
      <x:c r="F396" s="14" t="str">
        <x:v>YES</x:v>
      </x:c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 t="str">
        <x:v>NO</x:v>
      </x:c>
      <x:c r="T396" s="14"/>
      <x:c r="U396" s="14"/>
      <x:c r="V396" s="14"/>
    </x:row>
    <x:row r="397">
      <x:c r="A397" s="14" t="n">
        <x:v>396</x:v>
      </x:c>
      <x:c r="B397" s="14"/>
      <x:c r="C397" s="14"/>
      <x:c r="D397" s="14"/>
      <x:c r="E397" s="14"/>
      <x:c r="F397" s="14" t="str">
        <x:v>YES</x:v>
      </x:c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 t="str">
        <x:v>NO</x:v>
      </x:c>
      <x:c r="T397" s="14"/>
      <x:c r="U397" s="14"/>
      <x:c r="V397" s="14"/>
    </x:row>
    <x:row r="398">
      <x:c r="A398" s="14" t="n">
        <x:v>397</x:v>
      </x:c>
      <x:c r="B398" s="14"/>
      <x:c r="C398" s="14"/>
      <x:c r="D398" s="14"/>
      <x:c r="E398" s="14"/>
      <x:c r="F398" s="14" t="str">
        <x:v>YES</x:v>
      </x:c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 t="str">
        <x:v>NO</x:v>
      </x:c>
      <x:c r="T398" s="14"/>
      <x:c r="U398" s="14"/>
      <x:c r="V398" s="14"/>
    </x:row>
    <x:row r="399">
      <x:c r="A399" s="14" t="n">
        <x:v>398</x:v>
      </x:c>
      <x:c r="B399" s="14"/>
      <x:c r="C399" s="14"/>
      <x:c r="D399" s="14"/>
      <x:c r="E399" s="14"/>
      <x:c r="F399" s="14" t="str">
        <x:v>YES</x:v>
      </x:c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 t="str">
        <x:v>NO</x:v>
      </x:c>
      <x:c r="T399" s="14"/>
      <x:c r="U399" s="14"/>
      <x:c r="V399" s="14"/>
    </x:row>
    <x:row r="400">
      <x:c r="A400" s="14" t="n">
        <x:v>399</x:v>
      </x:c>
      <x:c r="B400" s="14"/>
      <x:c r="C400" s="14"/>
      <x:c r="D400" s="14"/>
      <x:c r="E400" s="14"/>
      <x:c r="F400" s="14" t="str">
        <x:v>YES</x:v>
      </x:c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 t="str">
        <x:v>NO</x:v>
      </x:c>
      <x:c r="T400" s="14"/>
      <x:c r="U400" s="14"/>
      <x:c r="V400" s="14"/>
    </x:row>
    <x:row r="401">
      <x:c r="A401" s="14" t="n">
        <x:v>400</x:v>
      </x:c>
      <x:c r="B401" s="14"/>
      <x:c r="C401" s="14"/>
      <x:c r="D401" s="14"/>
      <x:c r="E401" s="14"/>
      <x:c r="F401" s="14" t="str">
        <x:v>YES</x:v>
      </x:c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 t="str">
        <x:v>NO</x:v>
      </x:c>
      <x:c r="T401" s="14"/>
      <x:c r="U401" s="14"/>
      <x:c r="V401" s="14"/>
    </x:row>
    <x:row r="402">
      <x:c r="A402" s="14" t="n">
        <x:v>401</x:v>
      </x:c>
      <x:c r="B402" s="14"/>
      <x:c r="C402" s="14"/>
      <x:c r="D402" s="14"/>
      <x:c r="E402" s="14"/>
      <x:c r="F402" s="14" t="str">
        <x:v>YES</x:v>
      </x:c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 t="str">
        <x:v>NO</x:v>
      </x:c>
      <x:c r="T402" s="14"/>
      <x:c r="U402" s="14"/>
      <x:c r="V402" s="14"/>
    </x:row>
    <x:row r="403">
      <x:c r="A403" s="14" t="n">
        <x:v>402</x:v>
      </x:c>
      <x:c r="B403" s="14"/>
      <x:c r="C403" s="14"/>
      <x:c r="D403" s="14"/>
      <x:c r="E403" s="14"/>
      <x:c r="F403" s="14" t="str">
        <x:v>YES</x:v>
      </x:c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 t="str">
        <x:v>NO</x:v>
      </x:c>
      <x:c r="T403" s="14"/>
      <x:c r="U403" s="14"/>
      <x:c r="V403" s="14"/>
    </x:row>
    <x:row r="404">
      <x:c r="A404" s="14" t="n">
        <x:v>403</x:v>
      </x:c>
      <x:c r="B404" s="14"/>
      <x:c r="C404" s="14"/>
      <x:c r="D404" s="14"/>
      <x:c r="E404" s="14"/>
      <x:c r="F404" s="14" t="str">
        <x:v>YES</x:v>
      </x:c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 t="str">
        <x:v>NO</x:v>
      </x:c>
      <x:c r="T404" s="14"/>
      <x:c r="U404" s="14"/>
      <x:c r="V404" s="14"/>
    </x:row>
    <x:row r="405">
      <x:c r="A405" s="14" t="n">
        <x:v>404</x:v>
      </x:c>
      <x:c r="B405" s="14"/>
      <x:c r="C405" s="14"/>
      <x:c r="D405" s="14"/>
      <x:c r="E405" s="14"/>
      <x:c r="F405" s="14" t="str">
        <x:v>YES</x:v>
      </x:c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 t="str">
        <x:v>NO</x:v>
      </x:c>
      <x:c r="T405" s="14"/>
      <x:c r="U405" s="14"/>
      <x:c r="V405" s="14"/>
    </x:row>
    <x:row r="406">
      <x:c r="A406" s="14" t="n">
        <x:v>405</x:v>
      </x:c>
      <x:c r="B406" s="14"/>
      <x:c r="C406" s="14"/>
      <x:c r="D406" s="14"/>
      <x:c r="E406" s="14"/>
      <x:c r="F406" s="14" t="str">
        <x:v>YES</x:v>
      </x:c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 t="str">
        <x:v>NO</x:v>
      </x:c>
      <x:c r="T406" s="14"/>
      <x:c r="U406" s="14"/>
      <x:c r="V406" s="14"/>
    </x:row>
    <x:row r="407">
      <x:c r="A407" s="14" t="n">
        <x:v>406</x:v>
      </x:c>
      <x:c r="B407" s="14"/>
      <x:c r="C407" s="14"/>
      <x:c r="D407" s="14"/>
      <x:c r="E407" s="14"/>
      <x:c r="F407" s="14" t="str">
        <x:v>YES</x:v>
      </x:c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 t="str">
        <x:v>NO</x:v>
      </x:c>
      <x:c r="T407" s="14"/>
      <x:c r="U407" s="14"/>
      <x:c r="V407" s="14"/>
    </x:row>
    <x:row r="408">
      <x:c r="A408" s="14" t="n">
        <x:v>407</x:v>
      </x:c>
      <x:c r="B408" s="14"/>
      <x:c r="C408" s="14"/>
      <x:c r="D408" s="14"/>
      <x:c r="E408" s="14"/>
      <x:c r="F408" s="14" t="str">
        <x:v>YES</x:v>
      </x:c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 t="str">
        <x:v>NO</x:v>
      </x:c>
      <x:c r="T408" s="14"/>
      <x:c r="U408" s="14"/>
      <x:c r="V408" s="14"/>
    </x:row>
    <x:row r="409">
      <x:c r="A409" s="14" t="n">
        <x:v>408</x:v>
      </x:c>
      <x:c r="B409" s="14"/>
      <x:c r="C409" s="14"/>
      <x:c r="D409" s="14"/>
      <x:c r="E409" s="14"/>
      <x:c r="F409" s="14" t="str">
        <x:v>YES</x:v>
      </x:c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 t="str">
        <x:v>NO</x:v>
      </x:c>
      <x:c r="T409" s="14"/>
      <x:c r="U409" s="14"/>
      <x:c r="V409" s="14"/>
    </x:row>
    <x:row r="410">
      <x:c r="A410" s="14" t="n">
        <x:v>409</x:v>
      </x:c>
      <x:c r="B410" s="14"/>
      <x:c r="C410" s="14"/>
      <x:c r="D410" s="14"/>
      <x:c r="E410" s="14"/>
      <x:c r="F410" s="14" t="str">
        <x:v>YES</x:v>
      </x:c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 t="str">
        <x:v>NO</x:v>
      </x:c>
      <x:c r="T410" s="14"/>
      <x:c r="U410" s="14"/>
      <x:c r="V410" s="14"/>
    </x:row>
    <x:row r="411">
      <x:c r="A411" s="14" t="n">
        <x:v>410</x:v>
      </x:c>
      <x:c r="B411" s="14"/>
      <x:c r="C411" s="14"/>
      <x:c r="D411" s="14"/>
      <x:c r="E411" s="14"/>
      <x:c r="F411" s="14" t="str">
        <x:v>YES</x:v>
      </x:c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 t="str">
        <x:v>NO</x:v>
      </x:c>
      <x:c r="T411" s="14"/>
      <x:c r="U411" s="14"/>
      <x:c r="V411" s="14"/>
    </x:row>
    <x:row r="412">
      <x:c r="A412" s="14" t="n">
        <x:v>411</x:v>
      </x:c>
      <x:c r="B412" s="14"/>
      <x:c r="C412" s="14"/>
      <x:c r="D412" s="14"/>
      <x:c r="E412" s="14"/>
      <x:c r="F412" s="14" t="str">
        <x:v>YES</x:v>
      </x:c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 t="str">
        <x:v>NO</x:v>
      </x:c>
      <x:c r="T412" s="14"/>
      <x:c r="U412" s="14"/>
      <x:c r="V412" s="14"/>
    </x:row>
    <x:row r="413">
      <x:c r="A413" s="14" t="n">
        <x:v>412</x:v>
      </x:c>
      <x:c r="B413" s="14"/>
      <x:c r="C413" s="14"/>
      <x:c r="D413" s="14"/>
      <x:c r="E413" s="14"/>
      <x:c r="F413" s="14" t="str">
        <x:v>YES</x:v>
      </x:c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 t="str">
        <x:v>NO</x:v>
      </x:c>
      <x:c r="T413" s="14"/>
      <x:c r="U413" s="14"/>
      <x:c r="V413" s="14"/>
    </x:row>
    <x:row r="414">
      <x:c r="A414" s="14" t="n">
        <x:v>413</x:v>
      </x:c>
      <x:c r="B414" s="14"/>
      <x:c r="C414" s="14"/>
      <x:c r="D414" s="14"/>
      <x:c r="E414" s="14"/>
      <x:c r="F414" s="14" t="str">
        <x:v>YES</x:v>
      </x:c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 t="str">
        <x:v>NO</x:v>
      </x:c>
      <x:c r="T414" s="14"/>
      <x:c r="U414" s="14"/>
      <x:c r="V414" s="14"/>
    </x:row>
    <x:row r="415">
      <x:c r="A415" s="14" t="n">
        <x:v>414</x:v>
      </x:c>
      <x:c r="B415" s="14"/>
      <x:c r="C415" s="14"/>
      <x:c r="D415" s="14"/>
      <x:c r="E415" s="14"/>
      <x:c r="F415" s="14" t="str">
        <x:v>YES</x:v>
      </x:c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 t="str">
        <x:v>NO</x:v>
      </x:c>
      <x:c r="T415" s="14"/>
      <x:c r="U415" s="14"/>
      <x:c r="V415" s="14"/>
    </x:row>
    <x:row r="416">
      <x:c r="A416" s="14" t="n">
        <x:v>415</x:v>
      </x:c>
      <x:c r="B416" s="14"/>
      <x:c r="C416" s="14"/>
      <x:c r="D416" s="14"/>
      <x:c r="E416" s="14"/>
      <x:c r="F416" s="14" t="str">
        <x:v>YES</x:v>
      </x:c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 t="str">
        <x:v>NO</x:v>
      </x:c>
      <x:c r="T416" s="14"/>
      <x:c r="U416" s="14"/>
      <x:c r="V416" s="14"/>
    </x:row>
    <x:row r="417">
      <x:c r="A417" s="14" t="n">
        <x:v>416</x:v>
      </x:c>
      <x:c r="B417" s="14"/>
      <x:c r="C417" s="14"/>
      <x:c r="D417" s="14"/>
      <x:c r="E417" s="14"/>
      <x:c r="F417" s="14" t="str">
        <x:v>YES</x:v>
      </x:c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 t="str">
        <x:v>NO</x:v>
      </x:c>
      <x:c r="T417" s="14"/>
      <x:c r="U417" s="14"/>
      <x:c r="V417" s="14"/>
    </x:row>
    <x:row r="418">
      <x:c r="A418" s="14" t="n">
        <x:v>417</x:v>
      </x:c>
      <x:c r="B418" s="14"/>
      <x:c r="C418" s="14"/>
      <x:c r="D418" s="14"/>
      <x:c r="E418" s="14"/>
      <x:c r="F418" s="14" t="str">
        <x:v>YES</x:v>
      </x:c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 t="str">
        <x:v>NO</x:v>
      </x:c>
      <x:c r="T418" s="14"/>
      <x:c r="U418" s="14"/>
      <x:c r="V418" s="14"/>
    </x:row>
    <x:row r="419">
      <x:c r="A419" s="14" t="n">
        <x:v>418</x:v>
      </x:c>
      <x:c r="B419" s="14"/>
      <x:c r="C419" s="14"/>
      <x:c r="D419" s="14"/>
      <x:c r="E419" s="14"/>
      <x:c r="F419" s="14" t="str">
        <x:v>YES</x:v>
      </x:c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 t="str">
        <x:v>NO</x:v>
      </x:c>
      <x:c r="T419" s="14"/>
      <x:c r="U419" s="14"/>
      <x:c r="V419" s="14"/>
    </x:row>
    <x:row r="420">
      <x:c r="A420" s="14" t="n">
        <x:v>419</x:v>
      </x:c>
      <x:c r="B420" s="14"/>
      <x:c r="C420" s="14"/>
      <x:c r="D420" s="14"/>
      <x:c r="E420" s="14"/>
      <x:c r="F420" s="14" t="str">
        <x:v>YES</x:v>
      </x:c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 t="str">
        <x:v>NO</x:v>
      </x:c>
      <x:c r="T420" s="14"/>
      <x:c r="U420" s="14"/>
      <x:c r="V420" s="14"/>
    </x:row>
    <x:row r="421">
      <x:c r="A421" s="14" t="n">
        <x:v>420</x:v>
      </x:c>
      <x:c r="B421" s="14"/>
      <x:c r="C421" s="14"/>
      <x:c r="D421" s="14"/>
      <x:c r="E421" s="14"/>
      <x:c r="F421" s="14" t="str">
        <x:v>YES</x:v>
      </x:c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 t="str">
        <x:v>NO</x:v>
      </x:c>
      <x:c r="T421" s="14"/>
      <x:c r="U421" s="14"/>
      <x:c r="V421" s="14"/>
    </x:row>
    <x:row r="422">
      <x:c r="A422" s="14" t="n">
        <x:v>421</x:v>
      </x:c>
      <x:c r="B422" s="14"/>
      <x:c r="C422" s="14"/>
      <x:c r="D422" s="14"/>
      <x:c r="E422" s="14"/>
      <x:c r="F422" s="14" t="str">
        <x:v>YES</x:v>
      </x:c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 t="str">
        <x:v>NO</x:v>
      </x:c>
      <x:c r="T422" s="14"/>
      <x:c r="U422" s="14"/>
      <x:c r="V422" s="14"/>
    </x:row>
    <x:row r="423">
      <x:c r="A423" s="14" t="n">
        <x:v>422</x:v>
      </x:c>
      <x:c r="B423" s="14"/>
      <x:c r="C423" s="14"/>
      <x:c r="D423" s="14"/>
      <x:c r="E423" s="14"/>
      <x:c r="F423" s="14" t="str">
        <x:v>YES</x:v>
      </x:c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 t="str">
        <x:v>NO</x:v>
      </x:c>
      <x:c r="T423" s="14"/>
      <x:c r="U423" s="14"/>
      <x:c r="V423" s="14"/>
    </x:row>
    <x:row r="424">
      <x:c r="A424" s="14" t="n">
        <x:v>423</x:v>
      </x:c>
      <x:c r="B424" s="14"/>
      <x:c r="C424" s="14"/>
      <x:c r="D424" s="14"/>
      <x:c r="E424" s="14"/>
      <x:c r="F424" s="14" t="str">
        <x:v>YES</x:v>
      </x:c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 t="str">
        <x:v>NO</x:v>
      </x:c>
      <x:c r="T424" s="14"/>
      <x:c r="U424" s="14"/>
      <x:c r="V424" s="14"/>
    </x:row>
    <x:row r="425">
      <x:c r="A425" s="14" t="n">
        <x:v>424</x:v>
      </x:c>
      <x:c r="B425" s="14"/>
      <x:c r="C425" s="14"/>
      <x:c r="D425" s="14"/>
      <x:c r="E425" s="14"/>
      <x:c r="F425" s="14" t="str">
        <x:v>YES</x:v>
      </x:c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 t="str">
        <x:v>NO</x:v>
      </x:c>
      <x:c r="T425" s="14"/>
      <x:c r="U425" s="14"/>
      <x:c r="V425" s="14"/>
    </x:row>
    <x:row r="426">
      <x:c r="A426" s="14" t="n">
        <x:v>425</x:v>
      </x:c>
      <x:c r="B426" s="14"/>
      <x:c r="C426" s="14"/>
      <x:c r="D426" s="14"/>
      <x:c r="E426" s="14"/>
      <x:c r="F426" s="14" t="str">
        <x:v>YES</x:v>
      </x:c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 t="str">
        <x:v>NO</x:v>
      </x:c>
      <x:c r="T426" s="14"/>
      <x:c r="U426" s="14"/>
      <x:c r="V426" s="14"/>
    </x:row>
    <x:row r="427">
      <x:c r="A427" s="14" t="n">
        <x:v>426</x:v>
      </x:c>
      <x:c r="B427" s="14"/>
      <x:c r="C427" s="14"/>
      <x:c r="D427" s="14"/>
      <x:c r="E427" s="14"/>
      <x:c r="F427" s="14" t="str">
        <x:v>YES</x:v>
      </x:c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 t="str">
        <x:v>NO</x:v>
      </x:c>
      <x:c r="T427" s="14"/>
      <x:c r="U427" s="14"/>
      <x:c r="V427" s="14"/>
    </x:row>
    <x:row r="428">
      <x:c r="A428" s="14" t="n">
        <x:v>427</x:v>
      </x:c>
      <x:c r="B428" s="14"/>
      <x:c r="C428" s="14"/>
      <x:c r="D428" s="14"/>
      <x:c r="E428" s="14"/>
      <x:c r="F428" s="14" t="str">
        <x:v>YES</x:v>
      </x:c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 t="str">
        <x:v>NO</x:v>
      </x:c>
      <x:c r="T428" s="14"/>
      <x:c r="U428" s="14"/>
      <x:c r="V428" s="14"/>
    </x:row>
    <x:row r="429">
      <x:c r="A429" s="14" t="n">
        <x:v>428</x:v>
      </x:c>
      <x:c r="B429" s="14"/>
      <x:c r="C429" s="14"/>
      <x:c r="D429" s="14"/>
      <x:c r="E429" s="14"/>
      <x:c r="F429" s="14" t="str">
        <x:v>YES</x:v>
      </x:c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 t="str">
        <x:v>NO</x:v>
      </x:c>
      <x:c r="T429" s="14"/>
      <x:c r="U429" s="14"/>
      <x:c r="V429" s="14"/>
    </x:row>
    <x:row r="430">
      <x:c r="A430" s="14" t="n">
        <x:v>429</x:v>
      </x:c>
      <x:c r="B430" s="14"/>
      <x:c r="C430" s="14"/>
      <x:c r="D430" s="14"/>
      <x:c r="E430" s="14"/>
      <x:c r="F430" s="14" t="str">
        <x:v>YES</x:v>
      </x:c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 t="str">
        <x:v>NO</x:v>
      </x:c>
      <x:c r="T430" s="14"/>
      <x:c r="U430" s="14"/>
      <x:c r="V430" s="14"/>
    </x:row>
    <x:row r="431">
      <x:c r="A431" s="14" t="n">
        <x:v>430</x:v>
      </x:c>
      <x:c r="B431" s="14"/>
      <x:c r="C431" s="14"/>
      <x:c r="D431" s="14"/>
      <x:c r="E431" s="14"/>
      <x:c r="F431" s="14" t="str">
        <x:v>YES</x:v>
      </x:c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 t="str">
        <x:v>NO</x:v>
      </x:c>
      <x:c r="T431" s="14"/>
      <x:c r="U431" s="14"/>
      <x:c r="V431" s="14"/>
    </x:row>
    <x:row r="432">
      <x:c r="A432" s="14" t="n">
        <x:v>431</x:v>
      </x:c>
      <x:c r="B432" s="14"/>
      <x:c r="C432" s="14"/>
      <x:c r="D432" s="14"/>
      <x:c r="E432" s="14"/>
      <x:c r="F432" s="14" t="str">
        <x:v>YES</x:v>
      </x:c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 t="str">
        <x:v>NO</x:v>
      </x:c>
      <x:c r="T432" s="14"/>
      <x:c r="U432" s="14"/>
      <x:c r="V432" s="14"/>
    </x:row>
    <x:row r="433">
      <x:c r="A433" s="14" t="n">
        <x:v>432</x:v>
      </x:c>
      <x:c r="B433" s="14"/>
      <x:c r="C433" s="14"/>
      <x:c r="D433" s="14"/>
      <x:c r="E433" s="14"/>
      <x:c r="F433" s="14" t="str">
        <x:v>YES</x:v>
      </x:c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 t="str">
        <x:v>NO</x:v>
      </x:c>
      <x:c r="T433" s="14"/>
      <x:c r="U433" s="14"/>
      <x:c r="V433" s="14"/>
    </x:row>
    <x:row r="434">
      <x:c r="A434" s="14" t="n">
        <x:v>433</x:v>
      </x:c>
      <x:c r="B434" s="14"/>
      <x:c r="C434" s="14"/>
      <x:c r="D434" s="14"/>
      <x:c r="E434" s="14"/>
      <x:c r="F434" s="14" t="str">
        <x:v>YES</x:v>
      </x:c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 t="str">
        <x:v>NO</x:v>
      </x:c>
      <x:c r="T434" s="14"/>
      <x:c r="U434" s="14"/>
      <x:c r="V434" s="14"/>
    </x:row>
    <x:row r="435">
      <x:c r="A435" s="14" t="n">
        <x:v>434</x:v>
      </x:c>
      <x:c r="B435" s="14"/>
      <x:c r="C435" s="14"/>
      <x:c r="D435" s="14"/>
      <x:c r="E435" s="14"/>
      <x:c r="F435" s="14" t="str">
        <x:v>YES</x:v>
      </x:c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 t="str">
        <x:v>NO</x:v>
      </x:c>
      <x:c r="T435" s="14"/>
      <x:c r="U435" s="14"/>
      <x:c r="V435" s="14"/>
    </x:row>
    <x:row r="436">
      <x:c r="A436" s="14" t="n">
        <x:v>435</x:v>
      </x:c>
      <x:c r="B436" s="14"/>
      <x:c r="C436" s="14"/>
      <x:c r="D436" s="14"/>
      <x:c r="E436" s="14"/>
      <x:c r="F436" s="14" t="str">
        <x:v>YES</x:v>
      </x:c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 t="str">
        <x:v>NO</x:v>
      </x:c>
      <x:c r="T436" s="14"/>
      <x:c r="U436" s="14"/>
      <x:c r="V436" s="14"/>
    </x:row>
    <x:row r="437">
      <x:c r="A437" s="14" t="n">
        <x:v>436</x:v>
      </x:c>
      <x:c r="B437" s="14"/>
      <x:c r="C437" s="14"/>
      <x:c r="D437" s="14"/>
      <x:c r="E437" s="14"/>
      <x:c r="F437" s="14" t="str">
        <x:v>YES</x:v>
      </x:c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 t="str">
        <x:v>NO</x:v>
      </x:c>
      <x:c r="T437" s="14"/>
      <x:c r="U437" s="14"/>
      <x:c r="V437" s="14"/>
    </x:row>
    <x:row r="438">
      <x:c r="A438" s="14" t="n">
        <x:v>437</x:v>
      </x:c>
      <x:c r="B438" s="14"/>
      <x:c r="C438" s="14"/>
      <x:c r="D438" s="14"/>
      <x:c r="E438" s="14"/>
      <x:c r="F438" s="14" t="str">
        <x:v>YES</x:v>
      </x:c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 t="str">
        <x:v>NO</x:v>
      </x:c>
      <x:c r="T438" s="14"/>
      <x:c r="U438" s="14"/>
      <x:c r="V438" s="14"/>
    </x:row>
    <x:row r="439">
      <x:c r="A439" s="14" t="n">
        <x:v>438</x:v>
      </x:c>
      <x:c r="B439" s="14"/>
      <x:c r="C439" s="14"/>
      <x:c r="D439" s="14"/>
      <x:c r="E439" s="14"/>
      <x:c r="F439" s="14" t="str">
        <x:v>YES</x:v>
      </x:c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 t="str">
        <x:v>NO</x:v>
      </x:c>
      <x:c r="T439" s="14"/>
      <x:c r="U439" s="14"/>
      <x:c r="V439" s="14"/>
    </x:row>
    <x:row r="440">
      <x:c r="A440" s="14" t="n">
        <x:v>439</x:v>
      </x:c>
      <x:c r="B440" s="14"/>
      <x:c r="C440" s="14"/>
      <x:c r="D440" s="14"/>
      <x:c r="E440" s="14"/>
      <x:c r="F440" s="14" t="str">
        <x:v>YES</x:v>
      </x:c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 t="str">
        <x:v>NO</x:v>
      </x:c>
      <x:c r="T440" s="14"/>
      <x:c r="U440" s="14"/>
      <x:c r="V440" s="14"/>
    </x:row>
    <x:row r="441">
      <x:c r="A441" s="14" t="n">
        <x:v>440</x:v>
      </x:c>
      <x:c r="B441" s="14"/>
      <x:c r="C441" s="14"/>
      <x:c r="D441" s="14"/>
      <x:c r="E441" s="14"/>
      <x:c r="F441" s="14" t="str">
        <x:v>YES</x:v>
      </x:c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 t="str">
        <x:v>NO</x:v>
      </x:c>
      <x:c r="T441" s="14"/>
      <x:c r="U441" s="14"/>
      <x:c r="V441" s="14"/>
    </x:row>
    <x:row r="442">
      <x:c r="A442" s="14" t="n">
        <x:v>441</x:v>
      </x:c>
      <x:c r="B442" s="14"/>
      <x:c r="C442" s="14"/>
      <x:c r="D442" s="14"/>
      <x:c r="E442" s="14"/>
      <x:c r="F442" s="14" t="str">
        <x:v>YES</x:v>
      </x:c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 t="str">
        <x:v>NO</x:v>
      </x:c>
      <x:c r="T442" s="14"/>
      <x:c r="U442" s="14"/>
      <x:c r="V442" s="14"/>
    </x:row>
    <x:row r="443">
      <x:c r="A443" s="14" t="n">
        <x:v>442</x:v>
      </x:c>
      <x:c r="B443" s="14"/>
      <x:c r="C443" s="14"/>
      <x:c r="D443" s="14"/>
      <x:c r="E443" s="14"/>
      <x:c r="F443" s="14" t="str">
        <x:v>YES</x:v>
      </x:c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 t="str">
        <x:v>NO</x:v>
      </x:c>
      <x:c r="T443" s="14"/>
      <x:c r="U443" s="14"/>
      <x:c r="V443" s="14"/>
    </x:row>
    <x:row r="444">
      <x:c r="A444" s="14" t="n">
        <x:v>443</x:v>
      </x:c>
      <x:c r="B444" s="14"/>
      <x:c r="C444" s="14"/>
      <x:c r="D444" s="14"/>
      <x:c r="E444" s="14"/>
      <x:c r="F444" s="14" t="str">
        <x:v>YES</x:v>
      </x:c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 t="str">
        <x:v>NO</x:v>
      </x:c>
      <x:c r="T444" s="14"/>
      <x:c r="U444" s="14"/>
      <x:c r="V444" s="14"/>
    </x:row>
    <x:row r="445">
      <x:c r="A445" s="14" t="n">
        <x:v>444</x:v>
      </x:c>
      <x:c r="B445" s="14"/>
      <x:c r="C445" s="14"/>
      <x:c r="D445" s="14"/>
      <x:c r="E445" s="14"/>
      <x:c r="F445" s="14" t="str">
        <x:v>YES</x:v>
      </x:c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 t="str">
        <x:v>NO</x:v>
      </x:c>
      <x:c r="T445" s="14"/>
      <x:c r="U445" s="14"/>
      <x:c r="V445" s="14"/>
    </x:row>
    <x:row r="446">
      <x:c r="A446" s="14" t="n">
        <x:v>445</x:v>
      </x:c>
      <x:c r="B446" s="14"/>
      <x:c r="C446" s="14"/>
      <x:c r="D446" s="14"/>
      <x:c r="E446" s="14"/>
      <x:c r="F446" s="14" t="str">
        <x:v>YES</x:v>
      </x:c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 t="str">
        <x:v>NO</x:v>
      </x:c>
      <x:c r="T446" s="14"/>
      <x:c r="U446" s="14"/>
      <x:c r="V446" s="14"/>
    </x:row>
    <x:row r="447">
      <x:c r="A447" s="14" t="n">
        <x:v>446</x:v>
      </x:c>
      <x:c r="B447" s="14"/>
      <x:c r="C447" s="14"/>
      <x:c r="D447" s="14"/>
      <x:c r="E447" s="14"/>
      <x:c r="F447" s="14" t="str">
        <x:v>YES</x:v>
      </x:c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 t="str">
        <x:v>NO</x:v>
      </x:c>
      <x:c r="T447" s="14"/>
      <x:c r="U447" s="14"/>
      <x:c r="V447" s="14"/>
    </x:row>
    <x:row r="448">
      <x:c r="A448" s="14" t="n">
        <x:v>447</x:v>
      </x:c>
      <x:c r="B448" s="14"/>
      <x:c r="C448" s="14"/>
      <x:c r="D448" s="14"/>
      <x:c r="E448" s="14"/>
      <x:c r="F448" s="14" t="str">
        <x:v>YES</x:v>
      </x:c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 t="str">
        <x:v>NO</x:v>
      </x:c>
      <x:c r="T448" s="14"/>
      <x:c r="U448" s="14"/>
      <x:c r="V448" s="14"/>
    </x:row>
    <x:row r="449">
      <x:c r="A449" s="14" t="n">
        <x:v>448</x:v>
      </x:c>
      <x:c r="B449" s="14"/>
      <x:c r="C449" s="14"/>
      <x:c r="D449" s="14"/>
      <x:c r="E449" s="14"/>
      <x:c r="F449" s="14" t="str">
        <x:v>YES</x:v>
      </x:c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 t="str">
        <x:v>NO</x:v>
      </x:c>
      <x:c r="T449" s="14"/>
      <x:c r="U449" s="14"/>
      <x:c r="V449" s="14"/>
    </x:row>
    <x:row r="450">
      <x:c r="A450" s="14" t="n">
        <x:v>449</x:v>
      </x:c>
      <x:c r="B450" s="14"/>
      <x:c r="C450" s="14"/>
      <x:c r="D450" s="14"/>
      <x:c r="E450" s="14"/>
      <x:c r="F450" s="14" t="str">
        <x:v>YES</x:v>
      </x:c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 t="str">
        <x:v>NO</x:v>
      </x:c>
      <x:c r="T450" s="14"/>
      <x:c r="U450" s="14"/>
      <x:c r="V450" s="14"/>
    </x:row>
    <x:row r="451">
      <x:c r="A451" s="14" t="n">
        <x:v>450</x:v>
      </x:c>
      <x:c r="B451" s="14"/>
      <x:c r="C451" s="14"/>
      <x:c r="D451" s="14"/>
      <x:c r="E451" s="14"/>
      <x:c r="F451" s="14" t="str">
        <x:v>YES</x:v>
      </x:c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 t="str">
        <x:v>NO</x:v>
      </x:c>
      <x:c r="T451" s="14"/>
      <x:c r="U451" s="14"/>
      <x:c r="V451" s="14"/>
    </x:row>
    <x:row r="452">
      <x:c r="A452" s="14" t="n">
        <x:v>451</x:v>
      </x:c>
      <x:c r="B452" s="14"/>
      <x:c r="C452" s="14"/>
      <x:c r="D452" s="14"/>
      <x:c r="E452" s="14"/>
      <x:c r="F452" s="14" t="str">
        <x:v>YES</x:v>
      </x:c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 t="str">
        <x:v>NO</x:v>
      </x:c>
      <x:c r="T452" s="14"/>
      <x:c r="U452" s="14"/>
      <x:c r="V452" s="14"/>
    </x:row>
    <x:row r="453">
      <x:c r="A453" s="14" t="n">
        <x:v>452</x:v>
      </x:c>
      <x:c r="B453" s="14"/>
      <x:c r="C453" s="14"/>
      <x:c r="D453" s="14"/>
      <x:c r="E453" s="14"/>
      <x:c r="F453" s="14" t="str">
        <x:v>YES</x:v>
      </x:c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 t="str">
        <x:v>NO</x:v>
      </x:c>
      <x:c r="T453" s="14"/>
      <x:c r="U453" s="14"/>
      <x:c r="V453" s="14"/>
    </x:row>
    <x:row r="454">
      <x:c r="A454" s="14" t="n">
        <x:v>453</x:v>
      </x:c>
      <x:c r="B454" s="14"/>
      <x:c r="C454" s="14"/>
      <x:c r="D454" s="14"/>
      <x:c r="E454" s="14"/>
      <x:c r="F454" s="14" t="str">
        <x:v>YES</x:v>
      </x:c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 t="str">
        <x:v>NO</x:v>
      </x:c>
      <x:c r="T454" s="14"/>
      <x:c r="U454" s="14"/>
      <x:c r="V454" s="14"/>
    </x:row>
    <x:row r="455">
      <x:c r="A455" s="14" t="n">
        <x:v>454</x:v>
      </x:c>
      <x:c r="B455" s="14"/>
      <x:c r="C455" s="14"/>
      <x:c r="D455" s="14"/>
      <x:c r="E455" s="14"/>
      <x:c r="F455" s="14" t="str">
        <x:v>YES</x:v>
      </x:c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 t="str">
        <x:v>NO</x:v>
      </x:c>
      <x:c r="T455" s="14"/>
      <x:c r="U455" s="14"/>
      <x:c r="V455" s="14"/>
    </x:row>
    <x:row r="456">
      <x:c r="A456" s="14" t="n">
        <x:v>455</x:v>
      </x:c>
      <x:c r="B456" s="14"/>
      <x:c r="C456" s="14"/>
      <x:c r="D456" s="14"/>
      <x:c r="E456" s="14"/>
      <x:c r="F456" s="14" t="str">
        <x:v>YES</x:v>
      </x:c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 t="str">
        <x:v>NO</x:v>
      </x:c>
      <x:c r="T456" s="14"/>
      <x:c r="U456" s="14"/>
      <x:c r="V456" s="14"/>
    </x:row>
    <x:row r="457">
      <x:c r="A457" s="14" t="n">
        <x:v>456</x:v>
      </x:c>
      <x:c r="B457" s="14"/>
      <x:c r="C457" s="14"/>
      <x:c r="D457" s="14"/>
      <x:c r="E457" s="14"/>
      <x:c r="F457" s="14" t="str">
        <x:v>YES</x:v>
      </x:c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 t="str">
        <x:v>NO</x:v>
      </x:c>
      <x:c r="T457" s="14"/>
      <x:c r="U457" s="14"/>
      <x:c r="V457" s="14"/>
    </x:row>
    <x:row r="458">
      <x:c r="A458" s="14" t="n">
        <x:v>457</x:v>
      </x:c>
      <x:c r="B458" s="14"/>
      <x:c r="C458" s="14"/>
      <x:c r="D458" s="14"/>
      <x:c r="E458" s="14"/>
      <x:c r="F458" s="14" t="str">
        <x:v>YES</x:v>
      </x:c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 t="str">
        <x:v>NO</x:v>
      </x:c>
      <x:c r="T458" s="14"/>
      <x:c r="U458" s="14"/>
      <x:c r="V458" s="14"/>
    </x:row>
    <x:row r="459">
      <x:c r="A459" s="14" t="n">
        <x:v>458</x:v>
      </x:c>
      <x:c r="B459" s="14"/>
      <x:c r="C459" s="14"/>
      <x:c r="D459" s="14"/>
      <x:c r="E459" s="14"/>
      <x:c r="F459" s="14" t="str">
        <x:v>YES</x:v>
      </x:c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 t="str">
        <x:v>NO</x:v>
      </x:c>
      <x:c r="T459" s="14"/>
      <x:c r="U459" s="14"/>
      <x:c r="V459" s="14"/>
    </x:row>
    <x:row r="460">
      <x:c r="A460" s="14" t="n">
        <x:v>459</x:v>
      </x:c>
      <x:c r="B460" s="14"/>
      <x:c r="C460" s="14"/>
      <x:c r="D460" s="14"/>
      <x:c r="E460" s="14"/>
      <x:c r="F460" s="14" t="str">
        <x:v>YES</x:v>
      </x:c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 t="str">
        <x:v>NO</x:v>
      </x:c>
      <x:c r="T460" s="14"/>
      <x:c r="U460" s="14"/>
      <x:c r="V460" s="14"/>
    </x:row>
    <x:row r="461">
      <x:c r="A461" s="14" t="n">
        <x:v>460</x:v>
      </x:c>
      <x:c r="B461" s="14"/>
      <x:c r="C461" s="14"/>
      <x:c r="D461" s="14"/>
      <x:c r="E461" s="14"/>
      <x:c r="F461" s="14" t="str">
        <x:v>YES</x:v>
      </x:c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 t="str">
        <x:v>NO</x:v>
      </x:c>
      <x:c r="T461" s="14"/>
      <x:c r="U461" s="14"/>
      <x:c r="V461" s="14"/>
    </x:row>
    <x:row r="462">
      <x:c r="A462" s="14" t="n">
        <x:v>461</x:v>
      </x:c>
      <x:c r="B462" s="14"/>
      <x:c r="C462" s="14"/>
      <x:c r="D462" s="14"/>
      <x:c r="E462" s="14"/>
      <x:c r="F462" s="14" t="str">
        <x:v>YES</x:v>
      </x:c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 t="str">
        <x:v>NO</x:v>
      </x:c>
      <x:c r="T462" s="14"/>
      <x:c r="U462" s="14"/>
      <x:c r="V462" s="14"/>
    </x:row>
    <x:row r="463">
      <x:c r="A463" s="14" t="n">
        <x:v>462</x:v>
      </x:c>
      <x:c r="B463" s="14"/>
      <x:c r="C463" s="14"/>
      <x:c r="D463" s="14"/>
      <x:c r="E463" s="14"/>
      <x:c r="F463" s="14" t="str">
        <x:v>YES</x:v>
      </x:c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 t="str">
        <x:v>NO</x:v>
      </x:c>
      <x:c r="T463" s="14"/>
      <x:c r="U463" s="14"/>
      <x:c r="V463" s="14"/>
    </x:row>
    <x:row r="464">
      <x:c r="A464" s="14" t="n">
        <x:v>463</x:v>
      </x:c>
      <x:c r="B464" s="14"/>
      <x:c r="C464" s="14"/>
      <x:c r="D464" s="14"/>
      <x:c r="E464" s="14"/>
      <x:c r="F464" s="14" t="str">
        <x:v>YES</x:v>
      </x:c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 t="str">
        <x:v>NO</x:v>
      </x:c>
      <x:c r="T464" s="14"/>
      <x:c r="U464" s="14"/>
      <x:c r="V464" s="14"/>
    </x:row>
    <x:row r="465">
      <x:c r="A465" s="14" t="n">
        <x:v>464</x:v>
      </x:c>
      <x:c r="B465" s="14"/>
      <x:c r="C465" s="14"/>
      <x:c r="D465" s="14"/>
      <x:c r="E465" s="14"/>
      <x:c r="F465" s="14" t="str">
        <x:v>YES</x:v>
      </x:c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 t="str">
        <x:v>NO</x:v>
      </x:c>
      <x:c r="T465" s="14"/>
      <x:c r="U465" s="14"/>
      <x:c r="V465" s="14"/>
    </x:row>
    <x:row r="466">
      <x:c r="A466" s="14" t="n">
        <x:v>465</x:v>
      </x:c>
      <x:c r="B466" s="14"/>
      <x:c r="C466" s="14"/>
      <x:c r="D466" s="14"/>
      <x:c r="E466" s="14"/>
      <x:c r="F466" s="14" t="str">
        <x:v>YES</x:v>
      </x:c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 t="str">
        <x:v>NO</x:v>
      </x:c>
      <x:c r="T466" s="14"/>
      <x:c r="U466" s="14"/>
      <x:c r="V466" s="14"/>
    </x:row>
    <x:row r="467">
      <x:c r="A467" s="14" t="n">
        <x:v>466</x:v>
      </x:c>
      <x:c r="B467" s="14"/>
      <x:c r="C467" s="14"/>
      <x:c r="D467" s="14"/>
      <x:c r="E467" s="14"/>
      <x:c r="F467" s="14" t="str">
        <x:v>YES</x:v>
      </x:c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 t="str">
        <x:v>NO</x:v>
      </x:c>
      <x:c r="T467" s="14"/>
      <x:c r="U467" s="14"/>
      <x:c r="V467" s="14"/>
    </x:row>
    <x:row r="468">
      <x:c r="A468" s="14" t="n">
        <x:v>467</x:v>
      </x:c>
      <x:c r="B468" s="14"/>
      <x:c r="C468" s="14"/>
      <x:c r="D468" s="14"/>
      <x:c r="E468" s="14"/>
      <x:c r="F468" s="14" t="str">
        <x:v>YES</x:v>
      </x:c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 t="str">
        <x:v>NO</x:v>
      </x:c>
      <x:c r="T468" s="14"/>
      <x:c r="U468" s="14"/>
      <x:c r="V468" s="14"/>
    </x:row>
    <x:row r="469">
      <x:c r="A469" s="14" t="n">
        <x:v>468</x:v>
      </x:c>
      <x:c r="B469" s="14"/>
      <x:c r="C469" s="14"/>
      <x:c r="D469" s="14"/>
      <x:c r="E469" s="14"/>
      <x:c r="F469" s="14" t="str">
        <x:v>YES</x:v>
      </x:c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 t="str">
        <x:v>NO</x:v>
      </x:c>
      <x:c r="T469" s="14"/>
      <x:c r="U469" s="14"/>
      <x:c r="V469" s="14"/>
    </x:row>
    <x:row r="470">
      <x:c r="A470" s="14" t="n">
        <x:v>469</x:v>
      </x:c>
      <x:c r="B470" s="14"/>
      <x:c r="C470" s="14"/>
      <x:c r="D470" s="14"/>
      <x:c r="E470" s="14"/>
      <x:c r="F470" s="14" t="str">
        <x:v>YES</x:v>
      </x:c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 t="str">
        <x:v>NO</x:v>
      </x:c>
      <x:c r="T470" s="14"/>
      <x:c r="U470" s="14"/>
      <x:c r="V470" s="14"/>
    </x:row>
    <x:row r="471">
      <x:c r="A471" s="14" t="n">
        <x:v>470</x:v>
      </x:c>
      <x:c r="B471" s="14"/>
      <x:c r="C471" s="14"/>
      <x:c r="D471" s="14"/>
      <x:c r="E471" s="14"/>
      <x:c r="F471" s="14" t="str">
        <x:v>YES</x:v>
      </x:c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 t="str">
        <x:v>NO</x:v>
      </x:c>
      <x:c r="T471" s="14"/>
      <x:c r="U471" s="14"/>
      <x:c r="V471" s="14"/>
    </x:row>
    <x:row r="472">
      <x:c r="A472" s="14" t="n">
        <x:v>471</x:v>
      </x:c>
      <x:c r="B472" s="14"/>
      <x:c r="C472" s="14"/>
      <x:c r="D472" s="14"/>
      <x:c r="E472" s="14"/>
      <x:c r="F472" s="14" t="str">
        <x:v>YES</x:v>
      </x:c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 t="str">
        <x:v>NO</x:v>
      </x:c>
      <x:c r="T472" s="14"/>
      <x:c r="U472" s="14"/>
      <x:c r="V472" s="14"/>
    </x:row>
    <x:row r="473">
      <x:c r="A473" s="14" t="n">
        <x:v>472</x:v>
      </x:c>
      <x:c r="B473" s="14"/>
      <x:c r="C473" s="14"/>
      <x:c r="D473" s="14"/>
      <x:c r="E473" s="14"/>
      <x:c r="F473" s="14" t="str">
        <x:v>YES</x:v>
      </x:c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 t="str">
        <x:v>NO</x:v>
      </x:c>
      <x:c r="T473" s="14"/>
      <x:c r="U473" s="14"/>
      <x:c r="V473" s="14"/>
    </x:row>
    <x:row r="474">
      <x:c r="A474" s="14" t="n">
        <x:v>473</x:v>
      </x:c>
      <x:c r="B474" s="14"/>
      <x:c r="C474" s="14"/>
      <x:c r="D474" s="14"/>
      <x:c r="E474" s="14"/>
      <x:c r="F474" s="14" t="str">
        <x:v>YES</x:v>
      </x:c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 t="str">
        <x:v>NO</x:v>
      </x:c>
      <x:c r="T474" s="14"/>
      <x:c r="U474" s="14"/>
      <x:c r="V474" s="14"/>
    </x:row>
    <x:row r="475">
      <x:c r="A475" s="14" t="n">
        <x:v>474</x:v>
      </x:c>
      <x:c r="B475" s="14"/>
      <x:c r="C475" s="14"/>
      <x:c r="D475" s="14"/>
      <x:c r="E475" s="14"/>
      <x:c r="F475" s="14" t="str">
        <x:v>YES</x:v>
      </x:c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 t="str">
        <x:v>NO</x:v>
      </x:c>
      <x:c r="T475" s="14"/>
      <x:c r="U475" s="14"/>
      <x:c r="V475" s="14"/>
    </x:row>
    <x:row r="476">
      <x:c r="A476" s="14" t="n">
        <x:v>475</x:v>
      </x:c>
      <x:c r="B476" s="14"/>
      <x:c r="C476" s="14"/>
      <x:c r="D476" s="14"/>
      <x:c r="E476" s="14"/>
      <x:c r="F476" s="14" t="str">
        <x:v>YES</x:v>
      </x:c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 t="str">
        <x:v>NO</x:v>
      </x:c>
      <x:c r="T476" s="14"/>
      <x:c r="U476" s="14"/>
      <x:c r="V476" s="14"/>
    </x:row>
    <x:row r="477">
      <x:c r="A477" s="14" t="n">
        <x:v>476</x:v>
      </x:c>
      <x:c r="B477" s="14"/>
      <x:c r="C477" s="14"/>
      <x:c r="D477" s="14"/>
      <x:c r="E477" s="14"/>
      <x:c r="F477" s="14" t="str">
        <x:v>YES</x:v>
      </x:c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 t="str">
        <x:v>NO</x:v>
      </x:c>
      <x:c r="T477" s="14"/>
      <x:c r="U477" s="14"/>
      <x:c r="V477" s="14"/>
    </x:row>
    <x:row r="478">
      <x:c r="A478" s="14" t="n">
        <x:v>477</x:v>
      </x:c>
      <x:c r="B478" s="14"/>
      <x:c r="C478" s="14"/>
      <x:c r="D478" s="14"/>
      <x:c r="E478" s="14"/>
      <x:c r="F478" s="14" t="str">
        <x:v>YES</x:v>
      </x:c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 t="str">
        <x:v>NO</x:v>
      </x:c>
      <x:c r="T478" s="14"/>
      <x:c r="U478" s="14"/>
      <x:c r="V478" s="14"/>
    </x:row>
    <x:row r="479">
      <x:c r="A479" s="14" t="n">
        <x:v>478</x:v>
      </x:c>
      <x:c r="B479" s="14"/>
      <x:c r="C479" s="14"/>
      <x:c r="D479" s="14"/>
      <x:c r="E479" s="14"/>
      <x:c r="F479" s="14" t="str">
        <x:v>YES</x:v>
      </x:c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 t="str">
        <x:v>NO</x:v>
      </x:c>
      <x:c r="T479" s="14"/>
      <x:c r="U479" s="14"/>
      <x:c r="V479" s="14"/>
    </x:row>
    <x:row r="480">
      <x:c r="A480" s="14" t="n">
        <x:v>479</x:v>
      </x:c>
      <x:c r="B480" s="14"/>
      <x:c r="C480" s="14"/>
      <x:c r="D480" s="14"/>
      <x:c r="E480" s="14"/>
      <x:c r="F480" s="14" t="str">
        <x:v>YES</x:v>
      </x:c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 t="str">
        <x:v>NO</x:v>
      </x:c>
      <x:c r="T480" s="14"/>
      <x:c r="U480" s="14"/>
      <x:c r="V480" s="14"/>
    </x:row>
    <x:row r="481">
      <x:c r="A481" s="14" t="n">
        <x:v>480</x:v>
      </x:c>
      <x:c r="B481" s="14"/>
      <x:c r="C481" s="14"/>
      <x:c r="D481" s="14"/>
      <x:c r="E481" s="14"/>
      <x:c r="F481" s="14" t="str">
        <x:v>YES</x:v>
      </x:c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 t="str">
        <x:v>NO</x:v>
      </x:c>
      <x:c r="T481" s="14"/>
      <x:c r="U481" s="14"/>
      <x:c r="V481" s="14"/>
    </x:row>
    <x:row r="482">
      <x:c r="A482" s="14" t="n">
        <x:v>481</x:v>
      </x:c>
      <x:c r="B482" s="14"/>
      <x:c r="C482" s="14"/>
      <x:c r="D482" s="14"/>
      <x:c r="E482" s="14"/>
      <x:c r="F482" s="14" t="str">
        <x:v>YES</x:v>
      </x:c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 t="str">
        <x:v>NO</x:v>
      </x:c>
      <x:c r="T482" s="14"/>
      <x:c r="U482" s="14"/>
      <x:c r="V482" s="14"/>
    </x:row>
    <x:row r="483">
      <x:c r="A483" s="14" t="n">
        <x:v>482</x:v>
      </x:c>
      <x:c r="B483" s="14"/>
      <x:c r="C483" s="14"/>
      <x:c r="D483" s="14"/>
      <x:c r="E483" s="14"/>
      <x:c r="F483" s="14" t="str">
        <x:v>YES</x:v>
      </x:c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 t="str">
        <x:v>NO</x:v>
      </x:c>
      <x:c r="T483" s="14"/>
      <x:c r="U483" s="14"/>
      <x:c r="V483" s="14"/>
    </x:row>
    <x:row r="484">
      <x:c r="A484" s="14" t="n">
        <x:v>483</x:v>
      </x:c>
      <x:c r="B484" s="14"/>
      <x:c r="C484" s="14"/>
      <x:c r="D484" s="14"/>
      <x:c r="E484" s="14"/>
      <x:c r="F484" s="14" t="str">
        <x:v>YES</x:v>
      </x:c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 t="str">
        <x:v>NO</x:v>
      </x:c>
      <x:c r="T484" s="14"/>
      <x:c r="U484" s="14"/>
      <x:c r="V484" s="14"/>
    </x:row>
    <x:row r="485">
      <x:c r="A485" s="14" t="n">
        <x:v>484</x:v>
      </x:c>
      <x:c r="B485" s="14"/>
      <x:c r="C485" s="14"/>
      <x:c r="D485" s="14"/>
      <x:c r="E485" s="14"/>
      <x:c r="F485" s="14" t="str">
        <x:v>YES</x:v>
      </x:c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 t="str">
        <x:v>NO</x:v>
      </x:c>
      <x:c r="T485" s="14"/>
      <x:c r="U485" s="14"/>
      <x:c r="V485" s="14"/>
    </x:row>
    <x:row r="486">
      <x:c r="A486" s="14" t="n">
        <x:v>485</x:v>
      </x:c>
      <x:c r="B486" s="14"/>
      <x:c r="C486" s="14"/>
      <x:c r="D486" s="14"/>
      <x:c r="E486" s="14"/>
      <x:c r="F486" s="14" t="str">
        <x:v>YES</x:v>
      </x:c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 t="str">
        <x:v>NO</x:v>
      </x:c>
      <x:c r="T486" s="14"/>
      <x:c r="U486" s="14"/>
      <x:c r="V486" s="14"/>
    </x:row>
    <x:row r="487">
      <x:c r="A487" s="14" t="n">
        <x:v>486</x:v>
      </x:c>
      <x:c r="B487" s="14"/>
      <x:c r="C487" s="14"/>
      <x:c r="D487" s="14"/>
      <x:c r="E487" s="14"/>
      <x:c r="F487" s="14" t="str">
        <x:v>YES</x:v>
      </x:c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 t="str">
        <x:v>NO</x:v>
      </x:c>
      <x:c r="T487" s="14"/>
      <x:c r="U487" s="14"/>
      <x:c r="V487" s="14"/>
    </x:row>
    <x:row r="488">
      <x:c r="A488" s="14" t="n">
        <x:v>487</x:v>
      </x:c>
      <x:c r="B488" s="14"/>
      <x:c r="C488" s="14"/>
      <x:c r="D488" s="14"/>
      <x:c r="E488" s="14"/>
      <x:c r="F488" s="14" t="str">
        <x:v>YES</x:v>
      </x:c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 t="str">
        <x:v>NO</x:v>
      </x:c>
      <x:c r="T488" s="14"/>
      <x:c r="U488" s="14"/>
      <x:c r="V488" s="14"/>
    </x:row>
    <x:row r="489">
      <x:c r="A489" s="14" t="n">
        <x:v>488</x:v>
      </x:c>
      <x:c r="B489" s="14"/>
      <x:c r="C489" s="14"/>
      <x:c r="D489" s="14"/>
      <x:c r="E489" s="14"/>
      <x:c r="F489" s="14" t="str">
        <x:v>YES</x:v>
      </x:c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 t="str">
        <x:v>NO</x:v>
      </x:c>
      <x:c r="T489" s="14"/>
      <x:c r="U489" s="14"/>
      <x:c r="V489" s="14"/>
    </x:row>
    <x:row r="490">
      <x:c r="A490" s="14" t="n">
        <x:v>489</x:v>
      </x:c>
      <x:c r="B490" s="14"/>
      <x:c r="C490" s="14"/>
      <x:c r="D490" s="14"/>
      <x:c r="E490" s="14"/>
      <x:c r="F490" s="14" t="str">
        <x:v>YES</x:v>
      </x:c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 t="str">
        <x:v>NO</x:v>
      </x:c>
      <x:c r="T490" s="14"/>
      <x:c r="U490" s="14"/>
      <x:c r="V490" s="14"/>
    </x:row>
    <x:row r="491">
      <x:c r="A491" s="14" t="n">
        <x:v>490</x:v>
      </x:c>
      <x:c r="B491" s="14"/>
      <x:c r="C491" s="14"/>
      <x:c r="D491" s="14"/>
      <x:c r="E491" s="14"/>
      <x:c r="F491" s="14" t="str">
        <x:v>YES</x:v>
      </x:c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 t="str">
        <x:v>NO</x:v>
      </x:c>
      <x:c r="T491" s="14"/>
      <x:c r="U491" s="14"/>
      <x:c r="V491" s="14"/>
    </x:row>
    <x:row r="492">
      <x:c r="A492" s="14" t="n">
        <x:v>491</x:v>
      </x:c>
      <x:c r="B492" s="14"/>
      <x:c r="C492" s="14"/>
      <x:c r="D492" s="14"/>
      <x:c r="E492" s="14"/>
      <x:c r="F492" s="14" t="str">
        <x:v>YES</x:v>
      </x:c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 t="str">
        <x:v>NO</x:v>
      </x:c>
      <x:c r="T492" s="14"/>
      <x:c r="U492" s="14"/>
      <x:c r="V492" s="14"/>
    </x:row>
    <x:row r="493">
      <x:c r="A493" s="14" t="n">
        <x:v>492</x:v>
      </x:c>
      <x:c r="B493" s="14"/>
      <x:c r="C493" s="14"/>
      <x:c r="D493" s="14"/>
      <x:c r="E493" s="14"/>
      <x:c r="F493" s="14" t="str">
        <x:v>YES</x:v>
      </x:c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 t="str">
        <x:v>NO</x:v>
      </x:c>
      <x:c r="T493" s="14"/>
      <x:c r="U493" s="14"/>
      <x:c r="V493" s="14"/>
    </x:row>
    <x:row r="494">
      <x:c r="A494" s="14" t="n">
        <x:v>493</x:v>
      </x:c>
      <x:c r="B494" s="14"/>
      <x:c r="C494" s="14"/>
      <x:c r="D494" s="14"/>
      <x:c r="E494" s="14"/>
      <x:c r="F494" s="14" t="str">
        <x:v>YES</x:v>
      </x:c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 t="str">
        <x:v>NO</x:v>
      </x:c>
      <x:c r="T494" s="14"/>
      <x:c r="U494" s="14"/>
      <x:c r="V494" s="14"/>
    </x:row>
    <x:row r="495">
      <x:c r="A495" s="14" t="n">
        <x:v>494</x:v>
      </x:c>
      <x:c r="B495" s="14"/>
      <x:c r="C495" s="14"/>
      <x:c r="D495" s="14"/>
      <x:c r="E495" s="14"/>
      <x:c r="F495" s="14" t="str">
        <x:v>YES</x:v>
      </x:c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 t="str">
        <x:v>NO</x:v>
      </x:c>
      <x:c r="T495" s="14"/>
      <x:c r="U495" s="14"/>
      <x:c r="V495" s="14"/>
    </x:row>
    <x:row r="496">
      <x:c r="A496" s="14" t="n">
        <x:v>495</x:v>
      </x:c>
      <x:c r="B496" s="14"/>
      <x:c r="C496" s="14"/>
      <x:c r="D496" s="14"/>
      <x:c r="E496" s="14"/>
      <x:c r="F496" s="14" t="str">
        <x:v>YES</x:v>
      </x:c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 t="str">
        <x:v>NO</x:v>
      </x:c>
      <x:c r="T496" s="14"/>
      <x:c r="U496" s="14"/>
      <x:c r="V496" s="14"/>
    </x:row>
    <x:row r="497">
      <x:c r="A497" s="14" t="n">
        <x:v>496</x:v>
      </x:c>
      <x:c r="B497" s="14"/>
      <x:c r="C497" s="14"/>
      <x:c r="D497" s="14"/>
      <x:c r="E497" s="14"/>
      <x:c r="F497" s="14" t="str">
        <x:v>YES</x:v>
      </x:c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 t="str">
        <x:v>NO</x:v>
      </x:c>
      <x:c r="T497" s="14"/>
      <x:c r="U497" s="14"/>
      <x:c r="V497" s="14"/>
    </x:row>
    <x:row r="498">
      <x:c r="A498" s="14" t="n">
        <x:v>497</x:v>
      </x:c>
      <x:c r="B498" s="14"/>
      <x:c r="C498" s="14"/>
      <x:c r="D498" s="14"/>
      <x:c r="E498" s="14"/>
      <x:c r="F498" s="14" t="str">
        <x:v>YES</x:v>
      </x:c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 t="str">
        <x:v>NO</x:v>
      </x:c>
      <x:c r="T498" s="14"/>
      <x:c r="U498" s="14"/>
      <x:c r="V498" s="14"/>
    </x:row>
    <x:row r="499">
      <x:c r="A499" s="14" t="n">
        <x:v>498</x:v>
      </x:c>
      <x:c r="B499" s="14"/>
      <x:c r="C499" s="14"/>
      <x:c r="D499" s="14"/>
      <x:c r="E499" s="14"/>
      <x:c r="F499" s="14" t="str">
        <x:v>YES</x:v>
      </x:c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 t="str">
        <x:v>NO</x:v>
      </x:c>
      <x:c r="T499" s="14"/>
      <x:c r="U499" s="14"/>
      <x:c r="V499" s="14"/>
    </x:row>
    <x:row r="500">
      <x:c r="A500" s="14" t="n">
        <x:v>499</x:v>
      </x:c>
      <x:c r="B500" s="14"/>
      <x:c r="C500" s="14"/>
      <x:c r="D500" s="14"/>
      <x:c r="E500" s="14"/>
      <x:c r="F500" s="14" t="str">
        <x:v>YES</x:v>
      </x:c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 t="str">
        <x:v>NO</x:v>
      </x:c>
      <x:c r="T500" s="14"/>
      <x:c r="U500" s="14"/>
      <x:c r="V500" s="14"/>
    </x:row>
    <x:row r="501">
      <x:c r="A501" s="14" t="n">
        <x:v>500</x:v>
      </x:c>
      <x:c r="B501" s="14"/>
      <x:c r="C501" s="14"/>
      <x:c r="D501" s="14"/>
      <x:c r="E501" s="14"/>
      <x:c r="F501" s="14" t="str">
        <x:v>YES</x:v>
      </x:c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 t="str">
        <x:v>NO</x:v>
      </x:c>
      <x:c r="T501" s="14"/>
      <x:c r="U501" s="14"/>
      <x:c r="V501" s="14"/>
    </x:row>
    <x:row r="502">
      <x:c r="A502" s="14" t="n">
        <x:v>501</x:v>
      </x:c>
      <x:c r="B502" s="14"/>
      <x:c r="C502" s="14"/>
      <x:c r="D502" s="14"/>
      <x:c r="E502" s="14"/>
      <x:c r="F502" s="14" t="str">
        <x:v>YES</x:v>
      </x:c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 t="str">
        <x:v>NO</x:v>
      </x:c>
      <x:c r="T502" s="14"/>
      <x:c r="U502" s="14"/>
      <x:c r="V502" s="14"/>
    </x:row>
    <x:row r="503">
      <x:c r="A503" s="14" t="n">
        <x:v>502</x:v>
      </x:c>
      <x:c r="B503" s="14"/>
      <x:c r="C503" s="14"/>
      <x:c r="D503" s="14"/>
      <x:c r="E503" s="14"/>
      <x:c r="F503" s="14" t="str">
        <x:v>YES</x:v>
      </x:c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 t="str">
        <x:v>NO</x:v>
      </x:c>
      <x:c r="T503" s="14"/>
      <x:c r="U503" s="14"/>
      <x:c r="V503" s="14"/>
    </x:row>
    <x:row r="504">
      <x:c r="A504" s="14" t="n">
        <x:v>503</x:v>
      </x:c>
      <x:c r="B504" s="14"/>
      <x:c r="C504" s="14"/>
      <x:c r="D504" s="14"/>
      <x:c r="E504" s="14"/>
      <x:c r="F504" s="14" t="str">
        <x:v>YES</x:v>
      </x:c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 t="str">
        <x:v>NO</x:v>
      </x:c>
      <x:c r="T504" s="14"/>
      <x:c r="U504" s="14"/>
      <x:c r="V504" s="14"/>
    </x:row>
    <x:row r="505">
      <x:c r="A505" s="14" t="n">
        <x:v>504</x:v>
      </x:c>
      <x:c r="B505" s="14"/>
      <x:c r="C505" s="14"/>
      <x:c r="D505" s="14"/>
      <x:c r="E505" s="14"/>
      <x:c r="F505" s="14" t="str">
        <x:v>YES</x:v>
      </x:c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 t="str">
        <x:v>NO</x:v>
      </x:c>
      <x:c r="T505" s="14"/>
      <x:c r="U505" s="14"/>
      <x:c r="V505" s="14"/>
    </x:row>
    <x:row r="506">
      <x:c r="A506" s="14" t="n">
        <x:v>505</x:v>
      </x:c>
      <x:c r="B506" s="14"/>
      <x:c r="C506" s="14"/>
      <x:c r="D506" s="14"/>
      <x:c r="E506" s="14"/>
      <x:c r="F506" s="14" t="str">
        <x:v>YES</x:v>
      </x:c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 t="str">
        <x:v>NO</x:v>
      </x:c>
      <x:c r="T506" s="14"/>
      <x:c r="U506" s="14"/>
      <x:c r="V506" s="14"/>
    </x:row>
    <x:row r="507">
      <x:c r="A507" s="14" t="n">
        <x:v>506</x:v>
      </x:c>
      <x:c r="B507" s="14"/>
      <x:c r="C507" s="14"/>
      <x:c r="D507" s="14"/>
      <x:c r="E507" s="14"/>
      <x:c r="F507" s="14" t="str">
        <x:v>YES</x:v>
      </x:c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 t="str">
        <x:v>NO</x:v>
      </x:c>
      <x:c r="T507" s="14"/>
      <x:c r="U507" s="14"/>
      <x:c r="V507" s="14"/>
    </x:row>
    <x:row r="508">
      <x:c r="A508" s="14" t="n">
        <x:v>507</x:v>
      </x:c>
      <x:c r="B508" s="14"/>
      <x:c r="C508" s="14"/>
      <x:c r="D508" s="14"/>
      <x:c r="E508" s="14"/>
      <x:c r="F508" s="14" t="str">
        <x:v>YES</x:v>
      </x:c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 t="str">
        <x:v>NO</x:v>
      </x:c>
      <x:c r="T508" s="14"/>
      <x:c r="U508" s="14"/>
      <x:c r="V508" s="14"/>
    </x:row>
    <x:row r="509">
      <x:c r="A509" s="14" t="n">
        <x:v>508</x:v>
      </x:c>
      <x:c r="B509" s="14"/>
      <x:c r="C509" s="14"/>
      <x:c r="D509" s="14"/>
      <x:c r="E509" s="14"/>
      <x:c r="F509" s="14" t="str">
        <x:v>YES</x:v>
      </x:c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 t="str">
        <x:v>NO</x:v>
      </x:c>
      <x:c r="T509" s="14"/>
      <x:c r="U509" s="14"/>
      <x:c r="V509" s="14"/>
    </x:row>
    <x:row r="510">
      <x:c r="A510" s="14" t="n">
        <x:v>509</x:v>
      </x:c>
      <x:c r="B510" s="14"/>
      <x:c r="C510" s="14"/>
      <x:c r="D510" s="14"/>
      <x:c r="E510" s="14"/>
      <x:c r="F510" s="14" t="str">
        <x:v>YES</x:v>
      </x:c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 t="str">
        <x:v>NO</x:v>
      </x:c>
      <x:c r="T510" s="14"/>
      <x:c r="U510" s="14"/>
      <x:c r="V510" s="14"/>
    </x:row>
    <x:row r="511">
      <x:c r="A511" s="14" t="n">
        <x:v>510</x:v>
      </x:c>
      <x:c r="B511" s="14"/>
      <x:c r="C511" s="14"/>
      <x:c r="D511" s="14"/>
      <x:c r="E511" s="14"/>
      <x:c r="F511" s="14" t="str">
        <x:v>YES</x:v>
      </x:c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 t="str">
        <x:v>NO</x:v>
      </x:c>
      <x:c r="T511" s="14"/>
      <x:c r="U511" s="14"/>
      <x:c r="V511" s="14"/>
    </x:row>
    <x:row r="512">
      <x:c r="A512" s="14" t="n">
        <x:v>511</x:v>
      </x:c>
      <x:c r="B512" s="14"/>
      <x:c r="C512" s="14"/>
      <x:c r="D512" s="14"/>
      <x:c r="E512" s="14"/>
      <x:c r="F512" s="14" t="str">
        <x:v>YES</x:v>
      </x:c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 t="str">
        <x:v>NO</x:v>
      </x:c>
      <x:c r="T512" s="14"/>
      <x:c r="U512" s="14"/>
      <x:c r="V512" s="14"/>
    </x:row>
    <x:row r="513">
      <x:c r="A513" s="14" t="n">
        <x:v>512</x:v>
      </x:c>
      <x:c r="B513" s="14"/>
      <x:c r="C513" s="14"/>
      <x:c r="D513" s="14"/>
      <x:c r="E513" s="14"/>
      <x:c r="F513" s="14" t="str">
        <x:v>YES</x:v>
      </x:c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 t="str">
        <x:v>NO</x:v>
      </x:c>
      <x:c r="T513" s="14"/>
      <x:c r="U513" s="14"/>
      <x:c r="V513" s="14"/>
    </x:row>
    <x:row r="514">
      <x:c r="A514" s="14" t="n">
        <x:v>513</x:v>
      </x:c>
      <x:c r="B514" s="14"/>
      <x:c r="C514" s="14"/>
      <x:c r="D514" s="14"/>
      <x:c r="E514" s="14"/>
      <x:c r="F514" s="14" t="str">
        <x:v>YES</x:v>
      </x:c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 t="str">
        <x:v>NO</x:v>
      </x:c>
      <x:c r="T514" s="14"/>
      <x:c r="U514" s="14"/>
      <x:c r="V514" s="14"/>
    </x:row>
    <x:row r="515">
      <x:c r="A515" s="14" t="n">
        <x:v>514</x:v>
      </x:c>
      <x:c r="B515" s="14"/>
      <x:c r="C515" s="14"/>
      <x:c r="D515" s="14"/>
      <x:c r="E515" s="14"/>
      <x:c r="F515" s="14" t="str">
        <x:v>YES</x:v>
      </x:c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 t="str">
        <x:v>NO</x:v>
      </x:c>
      <x:c r="T515" s="14"/>
      <x:c r="U515" s="14"/>
      <x:c r="V515" s="14"/>
    </x:row>
    <x:row r="516">
      <x:c r="A516" s="14" t="n">
        <x:v>515</x:v>
      </x:c>
      <x:c r="B516" s="14"/>
      <x:c r="C516" s="14"/>
      <x:c r="D516" s="14"/>
      <x:c r="E516" s="14"/>
      <x:c r="F516" s="14" t="str">
        <x:v>YES</x:v>
      </x:c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 t="str">
        <x:v>NO</x:v>
      </x:c>
      <x:c r="T516" s="14"/>
      <x:c r="U516" s="14"/>
      <x:c r="V516" s="14"/>
    </x:row>
    <x:row r="517">
      <x:c r="A517" s="14" t="n">
        <x:v>516</x:v>
      </x:c>
      <x:c r="B517" s="14"/>
      <x:c r="C517" s="14"/>
      <x:c r="D517" s="14"/>
      <x:c r="E517" s="14"/>
      <x:c r="F517" s="14" t="str">
        <x:v>YES</x:v>
      </x:c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 t="str">
        <x:v>NO</x:v>
      </x:c>
      <x:c r="T517" s="14"/>
      <x:c r="U517" s="14"/>
      <x:c r="V517" s="14"/>
    </x:row>
    <x:row r="518">
      <x:c r="A518" s="14" t="n">
        <x:v>517</x:v>
      </x:c>
      <x:c r="B518" s="14"/>
      <x:c r="C518" s="14"/>
      <x:c r="D518" s="14"/>
      <x:c r="E518" s="14"/>
      <x:c r="F518" s="14" t="str">
        <x:v>YES</x:v>
      </x:c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 t="str">
        <x:v>NO</x:v>
      </x:c>
      <x:c r="T518" s="14"/>
      <x:c r="U518" s="14"/>
      <x:c r="V518" s="14"/>
    </x:row>
    <x:row r="519">
      <x:c r="A519" s="14" t="n">
        <x:v>518</x:v>
      </x:c>
      <x:c r="B519" s="14"/>
      <x:c r="C519" s="14"/>
      <x:c r="D519" s="14"/>
      <x:c r="E519" s="14"/>
      <x:c r="F519" s="14" t="str">
        <x:v>YES</x:v>
      </x:c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 t="str">
        <x:v>NO</x:v>
      </x:c>
      <x:c r="T519" s="14"/>
      <x:c r="U519" s="14"/>
      <x:c r="V519" s="14"/>
    </x:row>
    <x:row r="520">
      <x:c r="A520" s="14" t="n">
        <x:v>519</x:v>
      </x:c>
      <x:c r="B520" s="14"/>
      <x:c r="C520" s="14"/>
      <x:c r="D520" s="14"/>
      <x:c r="E520" s="14"/>
      <x:c r="F520" s="14" t="str">
        <x:v>YES</x:v>
      </x:c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 t="str">
        <x:v>NO</x:v>
      </x:c>
      <x:c r="T520" s="14"/>
      <x:c r="U520" s="14"/>
      <x:c r="V520" s="14"/>
    </x:row>
    <x:row r="521">
      <x:c r="A521" s="14" t="n">
        <x:v>520</x:v>
      </x:c>
      <x:c r="B521" s="14"/>
      <x:c r="C521" s="14"/>
      <x:c r="D521" s="14"/>
      <x:c r="E521" s="14"/>
      <x:c r="F521" s="14" t="str">
        <x:v>YES</x:v>
      </x:c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 t="str">
        <x:v>NO</x:v>
      </x:c>
      <x:c r="T521" s="14"/>
      <x:c r="U521" s="14"/>
      <x:c r="V521" s="14"/>
    </x:row>
    <x:row r="522">
      <x:c r="A522" s="14" t="n">
        <x:v>521</x:v>
      </x:c>
      <x:c r="B522" s="14"/>
      <x:c r="C522" s="14"/>
      <x:c r="D522" s="14"/>
      <x:c r="E522" s="14"/>
      <x:c r="F522" s="14" t="str">
        <x:v>YES</x:v>
      </x:c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 t="str">
        <x:v>NO</x:v>
      </x:c>
      <x:c r="T522" s="14"/>
      <x:c r="U522" s="14"/>
      <x:c r="V522" s="14"/>
    </x:row>
    <x:row r="523">
      <x:c r="A523" s="14" t="n">
        <x:v>522</x:v>
      </x:c>
      <x:c r="B523" s="14"/>
      <x:c r="C523" s="14"/>
      <x:c r="D523" s="14"/>
      <x:c r="E523" s="14"/>
      <x:c r="F523" s="14" t="str">
        <x:v>YES</x:v>
      </x:c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 t="str">
        <x:v>NO</x:v>
      </x:c>
      <x:c r="T523" s="14"/>
      <x:c r="U523" s="14"/>
      <x:c r="V523" s="14"/>
    </x:row>
    <x:row r="524">
      <x:c r="A524" s="14" t="n">
        <x:v>523</x:v>
      </x:c>
      <x:c r="B524" s="14"/>
      <x:c r="C524" s="14"/>
      <x:c r="D524" s="14"/>
      <x:c r="E524" s="14"/>
      <x:c r="F524" s="14" t="str">
        <x:v>YES</x:v>
      </x:c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 t="str">
        <x:v>NO</x:v>
      </x:c>
      <x:c r="T524" s="14"/>
      <x:c r="U524" s="14"/>
      <x:c r="V524" s="14"/>
    </x:row>
    <x:row r="525">
      <x:c r="A525" s="14" t="n">
        <x:v>524</x:v>
      </x:c>
      <x:c r="B525" s="14"/>
      <x:c r="C525" s="14"/>
      <x:c r="D525" s="14"/>
      <x:c r="E525" s="14"/>
      <x:c r="F525" s="14" t="str">
        <x:v>YES</x:v>
      </x:c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 t="str">
        <x:v>NO</x:v>
      </x:c>
      <x:c r="T525" s="14"/>
      <x:c r="U525" s="14"/>
      <x:c r="V525" s="14"/>
    </x:row>
    <x:row r="526">
      <x:c r="A526" s="14" t="n">
        <x:v>525</x:v>
      </x:c>
      <x:c r="B526" s="14"/>
      <x:c r="C526" s="14"/>
      <x:c r="D526" s="14"/>
      <x:c r="E526" s="14"/>
      <x:c r="F526" s="14" t="str">
        <x:v>YES</x:v>
      </x:c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 t="str">
        <x:v>NO</x:v>
      </x:c>
      <x:c r="T526" s="14"/>
      <x:c r="U526" s="14"/>
      <x:c r="V526" s="14"/>
    </x:row>
    <x:row r="527">
      <x:c r="A527" s="14" t="n">
        <x:v>526</x:v>
      </x:c>
      <x:c r="B527" s="14"/>
      <x:c r="C527" s="14"/>
      <x:c r="D527" s="14"/>
      <x:c r="E527" s="14"/>
      <x:c r="F527" s="14" t="str">
        <x:v>YES</x:v>
      </x:c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 t="str">
        <x:v>NO</x:v>
      </x:c>
      <x:c r="T527" s="14"/>
      <x:c r="U527" s="14"/>
      <x:c r="V527" s="14"/>
    </x:row>
    <x:row r="528">
      <x:c r="A528" s="14" t="n">
        <x:v>527</x:v>
      </x:c>
      <x:c r="B528" s="14"/>
      <x:c r="C528" s="14"/>
      <x:c r="D528" s="14"/>
      <x:c r="E528" s="14"/>
      <x:c r="F528" s="14" t="str">
        <x:v>YES</x:v>
      </x:c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 t="str">
        <x:v>NO</x:v>
      </x:c>
      <x:c r="T528" s="14"/>
      <x:c r="U528" s="14"/>
      <x:c r="V528" s="14"/>
    </x:row>
    <x:row r="529">
      <x:c r="A529" s="14" t="n">
        <x:v>528</x:v>
      </x:c>
      <x:c r="B529" s="14"/>
      <x:c r="C529" s="14"/>
      <x:c r="D529" s="14"/>
      <x:c r="E529" s="14"/>
      <x:c r="F529" s="14" t="str">
        <x:v>YES</x:v>
      </x:c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 t="str">
        <x:v>NO</x:v>
      </x:c>
      <x:c r="T529" s="14"/>
      <x:c r="U529" s="14"/>
      <x:c r="V529" s="14"/>
    </x:row>
    <x:row r="530">
      <x:c r="A530" s="14" t="n">
        <x:v>529</x:v>
      </x:c>
      <x:c r="B530" s="14"/>
      <x:c r="C530" s="14"/>
      <x:c r="D530" s="14"/>
      <x:c r="E530" s="14"/>
      <x:c r="F530" s="14" t="str">
        <x:v>YES</x:v>
      </x:c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 t="str">
        <x:v>NO</x:v>
      </x:c>
      <x:c r="T530" s="14"/>
      <x:c r="U530" s="14"/>
      <x:c r="V530" s="14"/>
    </x:row>
    <x:row r="531">
      <x:c r="A531" s="14" t="n">
        <x:v>530</x:v>
      </x:c>
      <x:c r="B531" s="14"/>
      <x:c r="C531" s="14"/>
      <x:c r="D531" s="14"/>
      <x:c r="E531" s="14"/>
      <x:c r="F531" s="14" t="str">
        <x:v>YES</x:v>
      </x:c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 t="str">
        <x:v>NO</x:v>
      </x:c>
      <x:c r="T531" s="14"/>
      <x:c r="U531" s="14"/>
      <x:c r="V531" s="14"/>
    </x:row>
    <x:row r="532">
      <x:c r="A532" s="14" t="n">
        <x:v>531</x:v>
      </x:c>
      <x:c r="B532" s="14"/>
      <x:c r="C532" s="14"/>
      <x:c r="D532" s="14"/>
      <x:c r="E532" s="14"/>
      <x:c r="F532" s="14" t="str">
        <x:v>YES</x:v>
      </x:c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 t="str">
        <x:v>NO</x:v>
      </x:c>
      <x:c r="T532" s="14"/>
      <x:c r="U532" s="14"/>
      <x:c r="V532" s="14"/>
    </x:row>
    <x:row r="533">
      <x:c r="A533" s="14" t="n">
        <x:v>532</x:v>
      </x:c>
      <x:c r="B533" s="14"/>
      <x:c r="C533" s="14"/>
      <x:c r="D533" s="14"/>
      <x:c r="E533" s="14"/>
      <x:c r="F533" s="14" t="str">
        <x:v>YES</x:v>
      </x:c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 t="str">
        <x:v>NO</x:v>
      </x:c>
      <x:c r="T533" s="14"/>
      <x:c r="U533" s="14"/>
      <x:c r="V533" s="14"/>
    </x:row>
    <x:row r="534">
      <x:c r="A534" s="14" t="n">
        <x:v>533</x:v>
      </x:c>
      <x:c r="B534" s="14"/>
      <x:c r="C534" s="14"/>
      <x:c r="D534" s="14"/>
      <x:c r="E534" s="14"/>
      <x:c r="F534" s="14" t="str">
        <x:v>YES</x:v>
      </x:c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 t="str">
        <x:v>NO</x:v>
      </x:c>
      <x:c r="T534" s="14"/>
      <x:c r="U534" s="14"/>
      <x:c r="V534" s="14"/>
    </x:row>
    <x:row r="535">
      <x:c r="A535" s="14" t="n">
        <x:v>534</x:v>
      </x:c>
      <x:c r="B535" s="14"/>
      <x:c r="C535" s="14"/>
      <x:c r="D535" s="14"/>
      <x:c r="E535" s="14"/>
      <x:c r="F535" s="14" t="str">
        <x:v>YES</x:v>
      </x:c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 t="str">
        <x:v>NO</x:v>
      </x:c>
      <x:c r="T535" s="14"/>
      <x:c r="U535" s="14"/>
      <x:c r="V535" s="14"/>
    </x:row>
    <x:row r="536">
      <x:c r="A536" s="14" t="n">
        <x:v>535</x:v>
      </x:c>
      <x:c r="B536" s="14"/>
      <x:c r="C536" s="14"/>
      <x:c r="D536" s="14"/>
      <x:c r="E536" s="14"/>
      <x:c r="F536" s="14" t="str">
        <x:v>YES</x:v>
      </x:c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 t="str">
        <x:v>NO</x:v>
      </x:c>
      <x:c r="T536" s="14"/>
      <x:c r="U536" s="14"/>
      <x:c r="V536" s="14"/>
    </x:row>
    <x:row r="537">
      <x:c r="A537" s="14" t="n">
        <x:v>536</x:v>
      </x:c>
      <x:c r="B537" s="14"/>
      <x:c r="C537" s="14"/>
      <x:c r="D537" s="14"/>
      <x:c r="E537" s="14"/>
      <x:c r="F537" s="14" t="str">
        <x:v>YES</x:v>
      </x:c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 t="str">
        <x:v>NO</x:v>
      </x:c>
      <x:c r="T537" s="14"/>
      <x:c r="U537" s="14"/>
      <x:c r="V537" s="14"/>
    </x:row>
    <x:row r="538">
      <x:c r="A538" s="14" t="n">
        <x:v>537</x:v>
      </x:c>
      <x:c r="B538" s="14"/>
      <x:c r="C538" s="14"/>
      <x:c r="D538" s="14"/>
      <x:c r="E538" s="14"/>
      <x:c r="F538" s="14" t="str">
        <x:v>YES</x:v>
      </x:c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 t="str">
        <x:v>NO</x:v>
      </x:c>
      <x:c r="T538" s="14"/>
      <x:c r="U538" s="14"/>
      <x:c r="V538" s="14"/>
    </x:row>
    <x:row r="539">
      <x:c r="A539" s="14" t="n">
        <x:v>538</x:v>
      </x:c>
      <x:c r="B539" s="14"/>
      <x:c r="C539" s="14"/>
      <x:c r="D539" s="14"/>
      <x:c r="E539" s="14"/>
      <x:c r="F539" s="14" t="str">
        <x:v>YES</x:v>
      </x:c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 t="str">
        <x:v>NO</x:v>
      </x:c>
      <x:c r="T539" s="14"/>
      <x:c r="U539" s="14"/>
      <x:c r="V539" s="14"/>
    </x:row>
    <x:row r="540">
      <x:c r="A540" s="14" t="n">
        <x:v>539</x:v>
      </x:c>
      <x:c r="B540" s="14"/>
      <x:c r="C540" s="14"/>
      <x:c r="D540" s="14"/>
      <x:c r="E540" s="14"/>
      <x:c r="F540" s="14" t="str">
        <x:v>YES</x:v>
      </x:c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 t="str">
        <x:v>NO</x:v>
      </x:c>
      <x:c r="T540" s="14"/>
      <x:c r="U540" s="14"/>
      <x:c r="V540" s="14"/>
    </x:row>
    <x:row r="541">
      <x:c r="A541" s="14" t="n">
        <x:v>540</x:v>
      </x:c>
      <x:c r="B541" s="14"/>
      <x:c r="C541" s="14"/>
      <x:c r="D541" s="14"/>
      <x:c r="E541" s="14"/>
      <x:c r="F541" s="14" t="str">
        <x:v>YES</x:v>
      </x:c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 t="str">
        <x:v>NO</x:v>
      </x:c>
      <x:c r="T541" s="14"/>
      <x:c r="U541" s="14"/>
      <x:c r="V541" s="14"/>
    </x:row>
    <x:row r="542">
      <x:c r="A542" s="14" t="n">
        <x:v>541</x:v>
      </x:c>
      <x:c r="B542" s="14"/>
      <x:c r="C542" s="14"/>
      <x:c r="D542" s="14"/>
      <x:c r="E542" s="14"/>
      <x:c r="F542" s="14" t="str">
        <x:v>YES</x:v>
      </x:c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 t="str">
        <x:v>NO</x:v>
      </x:c>
      <x:c r="T542" s="14"/>
      <x:c r="U542" s="14"/>
      <x:c r="V542" s="14"/>
    </x:row>
    <x:row r="543">
      <x:c r="A543" s="14" t="n">
        <x:v>542</x:v>
      </x:c>
      <x:c r="B543" s="14"/>
      <x:c r="C543" s="14"/>
      <x:c r="D543" s="14"/>
      <x:c r="E543" s="14"/>
      <x:c r="F543" s="14" t="str">
        <x:v>YES</x:v>
      </x:c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 t="str">
        <x:v>NO</x:v>
      </x:c>
      <x:c r="T543" s="14"/>
      <x:c r="U543" s="14"/>
      <x:c r="V543" s="14"/>
    </x:row>
    <x:row r="544">
      <x:c r="A544" s="14" t="n">
        <x:v>543</x:v>
      </x:c>
      <x:c r="B544" s="14"/>
      <x:c r="C544" s="14"/>
      <x:c r="D544" s="14"/>
      <x:c r="E544" s="14"/>
      <x:c r="F544" s="14" t="str">
        <x:v>YES</x:v>
      </x:c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 t="str">
        <x:v>NO</x:v>
      </x:c>
      <x:c r="T544" s="14"/>
      <x:c r="U544" s="14"/>
      <x:c r="V544" s="14"/>
    </x:row>
    <x:row r="545">
      <x:c r="A545" s="14" t="n">
        <x:v>544</x:v>
      </x:c>
      <x:c r="B545" s="14"/>
      <x:c r="C545" s="14"/>
      <x:c r="D545" s="14"/>
      <x:c r="E545" s="14"/>
      <x:c r="F545" s="14" t="str">
        <x:v>YES</x:v>
      </x:c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 t="str">
        <x:v>NO</x:v>
      </x:c>
      <x:c r="T545" s="14"/>
      <x:c r="U545" s="14"/>
      <x:c r="V545" s="14"/>
    </x:row>
    <x:row r="546">
      <x:c r="A546" s="14" t="n">
        <x:v>545</x:v>
      </x:c>
      <x:c r="B546" s="14"/>
      <x:c r="C546" s="14"/>
      <x:c r="D546" s="14"/>
      <x:c r="E546" s="14"/>
      <x:c r="F546" s="14" t="str">
        <x:v>YES</x:v>
      </x:c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 t="str">
        <x:v>NO</x:v>
      </x:c>
      <x:c r="T546" s="14"/>
      <x:c r="U546" s="14"/>
      <x:c r="V546" s="14"/>
    </x:row>
    <x:row r="547">
      <x:c r="A547" s="14" t="n">
        <x:v>546</x:v>
      </x:c>
      <x:c r="B547" s="14"/>
      <x:c r="C547" s="14"/>
      <x:c r="D547" s="14"/>
      <x:c r="E547" s="14"/>
      <x:c r="F547" s="14" t="str">
        <x:v>YES</x:v>
      </x:c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 t="str">
        <x:v>NO</x:v>
      </x:c>
      <x:c r="T547" s="14"/>
      <x:c r="U547" s="14"/>
      <x:c r="V547" s="14"/>
    </x:row>
    <x:row r="548">
      <x:c r="A548" s="14" t="n">
        <x:v>547</x:v>
      </x:c>
      <x:c r="B548" s="14"/>
      <x:c r="C548" s="14"/>
      <x:c r="D548" s="14"/>
      <x:c r="E548" s="14"/>
      <x:c r="F548" s="14" t="str">
        <x:v>YES</x:v>
      </x:c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 t="str">
        <x:v>NO</x:v>
      </x:c>
      <x:c r="T548" s="14"/>
      <x:c r="U548" s="14"/>
      <x:c r="V548" s="14"/>
    </x:row>
    <x:row r="549">
      <x:c r="A549" s="14" t="n">
        <x:v>548</x:v>
      </x:c>
      <x:c r="B549" s="14"/>
      <x:c r="C549" s="14"/>
      <x:c r="D549" s="14"/>
      <x:c r="E549" s="14"/>
      <x:c r="F549" s="14" t="str">
        <x:v>YES</x:v>
      </x:c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 t="str">
        <x:v>NO</x:v>
      </x:c>
      <x:c r="T549" s="14"/>
      <x:c r="U549" s="14"/>
      <x:c r="V549" s="14"/>
    </x:row>
    <x:row r="550">
      <x:c r="A550" s="14" t="n">
        <x:v>549</x:v>
      </x:c>
      <x:c r="B550" s="14"/>
      <x:c r="C550" s="14"/>
      <x:c r="D550" s="14"/>
      <x:c r="E550" s="14"/>
      <x:c r="F550" s="14" t="str">
        <x:v>YES</x:v>
      </x:c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 t="str">
        <x:v>NO</x:v>
      </x:c>
      <x:c r="T550" s="14"/>
      <x:c r="U550" s="14"/>
      <x:c r="V550" s="14"/>
    </x:row>
    <x:row r="551">
      <x:c r="A551" s="14" t="n">
        <x:v>550</x:v>
      </x:c>
      <x:c r="B551" s="14"/>
      <x:c r="C551" s="14"/>
      <x:c r="D551" s="14"/>
      <x:c r="E551" s="14"/>
      <x:c r="F551" s="14" t="str">
        <x:v>YES</x:v>
      </x:c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 t="str">
        <x:v>NO</x:v>
      </x:c>
      <x:c r="T551" s="14"/>
      <x:c r="U551" s="14"/>
      <x:c r="V551" s="14"/>
    </x:row>
    <x:row r="552">
      <x:c r="A552" s="14" t="n">
        <x:v>551</x:v>
      </x:c>
      <x:c r="B552" s="14"/>
      <x:c r="C552" s="14"/>
      <x:c r="D552" s="14"/>
      <x:c r="E552" s="14"/>
      <x:c r="F552" s="14" t="str">
        <x:v>YES</x:v>
      </x:c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 t="str">
        <x:v>NO</x:v>
      </x:c>
      <x:c r="T552" s="14"/>
      <x:c r="U552" s="14"/>
      <x:c r="V552" s="14"/>
    </x:row>
    <x:row r="553">
      <x:c r="A553" s="14" t="n">
        <x:v>552</x:v>
      </x:c>
      <x:c r="B553" s="14"/>
      <x:c r="C553" s="14"/>
      <x:c r="D553" s="14"/>
      <x:c r="E553" s="14"/>
      <x:c r="F553" s="14" t="str">
        <x:v>YES</x:v>
      </x:c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 t="str">
        <x:v>NO</x:v>
      </x:c>
      <x:c r="T553" s="14"/>
      <x:c r="U553" s="14"/>
      <x:c r="V553" s="14"/>
    </x:row>
    <x:row r="554">
      <x:c r="A554" s="14" t="n">
        <x:v>553</x:v>
      </x:c>
      <x:c r="B554" s="14"/>
      <x:c r="C554" s="14"/>
      <x:c r="D554" s="14"/>
      <x:c r="E554" s="14"/>
      <x:c r="F554" s="14" t="str">
        <x:v>YES</x:v>
      </x:c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 t="str">
        <x:v>NO</x:v>
      </x:c>
      <x:c r="T554" s="14"/>
      <x:c r="U554" s="14"/>
      <x:c r="V554" s="14"/>
    </x:row>
    <x:row r="555">
      <x:c r="A555" s="14" t="n">
        <x:v>554</x:v>
      </x:c>
      <x:c r="B555" s="14"/>
      <x:c r="C555" s="14"/>
      <x:c r="D555" s="14"/>
      <x:c r="E555" s="14"/>
      <x:c r="F555" s="14" t="str">
        <x:v>YES</x:v>
      </x:c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 t="str">
        <x:v>NO</x:v>
      </x:c>
      <x:c r="T555" s="14"/>
      <x:c r="U555" s="14"/>
      <x:c r="V555" s="14"/>
    </x:row>
    <x:row r="556">
      <x:c r="A556" s="14" t="n">
        <x:v>555</x:v>
      </x:c>
      <x:c r="B556" s="14"/>
      <x:c r="C556" s="14"/>
      <x:c r="D556" s="14"/>
      <x:c r="E556" s="14"/>
      <x:c r="F556" s="14" t="str">
        <x:v>YES</x:v>
      </x:c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 t="str">
        <x:v>NO</x:v>
      </x:c>
      <x:c r="T556" s="14"/>
      <x:c r="U556" s="14"/>
      <x:c r="V556" s="14"/>
    </x:row>
    <x:row r="557">
      <x:c r="A557" s="14" t="n">
        <x:v>556</x:v>
      </x:c>
      <x:c r="B557" s="14"/>
      <x:c r="C557" s="14"/>
      <x:c r="D557" s="14"/>
      <x:c r="E557" s="14"/>
      <x:c r="F557" s="14" t="str">
        <x:v>YES</x:v>
      </x:c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 t="str">
        <x:v>NO</x:v>
      </x:c>
      <x:c r="T557" s="14"/>
      <x:c r="U557" s="14"/>
      <x:c r="V557" s="14"/>
    </x:row>
    <x:row r="558">
      <x:c r="A558" s="14" t="n">
        <x:v>557</x:v>
      </x:c>
      <x:c r="B558" s="14"/>
      <x:c r="C558" s="14"/>
      <x:c r="D558" s="14"/>
      <x:c r="E558" s="14"/>
      <x:c r="F558" s="14" t="str">
        <x:v>YES</x:v>
      </x:c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 t="str">
        <x:v>NO</x:v>
      </x:c>
      <x:c r="T558" s="14"/>
      <x:c r="U558" s="14"/>
      <x:c r="V558" s="14"/>
    </x:row>
    <x:row r="559">
      <x:c r="A559" s="14" t="n">
        <x:v>558</x:v>
      </x:c>
      <x:c r="B559" s="14"/>
      <x:c r="C559" s="14"/>
      <x:c r="D559" s="14"/>
      <x:c r="E559" s="14"/>
      <x:c r="F559" s="14" t="str">
        <x:v>YES</x:v>
      </x:c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 t="str">
        <x:v>NO</x:v>
      </x:c>
      <x:c r="T559" s="14"/>
      <x:c r="U559" s="14"/>
      <x:c r="V559" s="14"/>
    </x:row>
    <x:row r="560">
      <x:c r="A560" s="14" t="n">
        <x:v>559</x:v>
      </x:c>
      <x:c r="B560" s="14"/>
      <x:c r="C560" s="14"/>
      <x:c r="D560" s="14"/>
      <x:c r="E560" s="14"/>
      <x:c r="F560" s="14" t="str">
        <x:v>YES</x:v>
      </x:c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 t="str">
        <x:v>NO</x:v>
      </x:c>
      <x:c r="T560" s="14"/>
      <x:c r="U560" s="14"/>
      <x:c r="V560" s="14"/>
    </x:row>
    <x:row r="561">
      <x:c r="A561" s="14" t="n">
        <x:v>560</x:v>
      </x:c>
      <x:c r="B561" s="14"/>
      <x:c r="C561" s="14"/>
      <x:c r="D561" s="14"/>
      <x:c r="E561" s="14"/>
      <x:c r="F561" s="14" t="str">
        <x:v>YES</x:v>
      </x:c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 t="str">
        <x:v>NO</x:v>
      </x:c>
      <x:c r="T561" s="14"/>
      <x:c r="U561" s="14"/>
      <x:c r="V561" s="14"/>
    </x:row>
    <x:row r="562">
      <x:c r="A562" s="14" t="n">
        <x:v>561</x:v>
      </x:c>
      <x:c r="B562" s="14"/>
      <x:c r="C562" s="14"/>
      <x:c r="D562" s="14"/>
      <x:c r="E562" s="14"/>
      <x:c r="F562" s="14" t="str">
        <x:v>YES</x:v>
      </x:c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 t="str">
        <x:v>NO</x:v>
      </x:c>
      <x:c r="T562" s="14"/>
      <x:c r="U562" s="14"/>
      <x:c r="V562" s="14"/>
    </x:row>
    <x:row r="563">
      <x:c r="A563" s="14" t="n">
        <x:v>562</x:v>
      </x:c>
      <x:c r="B563" s="14"/>
      <x:c r="C563" s="14"/>
      <x:c r="D563" s="14"/>
      <x:c r="E563" s="14"/>
      <x:c r="F563" s="14" t="str">
        <x:v>YES</x:v>
      </x:c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 t="str">
        <x:v>NO</x:v>
      </x:c>
      <x:c r="T563" s="14"/>
      <x:c r="U563" s="14"/>
      <x:c r="V563" s="14"/>
    </x:row>
    <x:row r="564">
      <x:c r="A564" s="14" t="n">
        <x:v>563</x:v>
      </x:c>
      <x:c r="B564" s="14"/>
      <x:c r="C564" s="14"/>
      <x:c r="D564" s="14"/>
      <x:c r="E564" s="14"/>
      <x:c r="F564" s="14" t="str">
        <x:v>YES</x:v>
      </x:c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 t="str">
        <x:v>NO</x:v>
      </x:c>
      <x:c r="T564" s="14"/>
      <x:c r="U564" s="14"/>
      <x:c r="V564" s="14"/>
    </x:row>
    <x:row r="565">
      <x:c r="A565" s="14" t="n">
        <x:v>564</x:v>
      </x:c>
      <x:c r="B565" s="14"/>
      <x:c r="C565" s="14"/>
      <x:c r="D565" s="14"/>
      <x:c r="E565" s="14"/>
      <x:c r="F565" s="14" t="str">
        <x:v>YES</x:v>
      </x:c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 t="str">
        <x:v>NO</x:v>
      </x:c>
      <x:c r="T565" s="14"/>
      <x:c r="U565" s="14"/>
      <x:c r="V565" s="14"/>
    </x:row>
    <x:row r="566">
      <x:c r="A566" s="14" t="n">
        <x:v>565</x:v>
      </x:c>
      <x:c r="B566" s="14"/>
      <x:c r="C566" s="14"/>
      <x:c r="D566" s="14"/>
      <x:c r="E566" s="14"/>
      <x:c r="F566" s="14" t="str">
        <x:v>YES</x:v>
      </x:c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 t="str">
        <x:v>NO</x:v>
      </x:c>
      <x:c r="T566" s="14"/>
      <x:c r="U566" s="14"/>
      <x:c r="V566" s="14"/>
    </x:row>
    <x:row r="567">
      <x:c r="A567" s="14" t="n">
        <x:v>566</x:v>
      </x:c>
      <x:c r="B567" s="14"/>
      <x:c r="C567" s="14"/>
      <x:c r="D567" s="14"/>
      <x:c r="E567" s="14"/>
      <x:c r="F567" s="14" t="str">
        <x:v>YES</x:v>
      </x:c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 t="str">
        <x:v>NO</x:v>
      </x:c>
      <x:c r="T567" s="14"/>
      <x:c r="U567" s="14"/>
      <x:c r="V567" s="14"/>
    </x:row>
    <x:row r="568">
      <x:c r="A568" s="14" t="n">
        <x:v>567</x:v>
      </x:c>
      <x:c r="B568" s="14"/>
      <x:c r="C568" s="14"/>
      <x:c r="D568" s="14"/>
      <x:c r="E568" s="14"/>
      <x:c r="F568" s="14" t="str">
        <x:v>YES</x:v>
      </x:c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 t="str">
        <x:v>NO</x:v>
      </x:c>
      <x:c r="T568" s="14"/>
      <x:c r="U568" s="14"/>
      <x:c r="V568" s="14"/>
    </x:row>
    <x:row r="569">
      <x:c r="A569" s="14" t="n">
        <x:v>568</x:v>
      </x:c>
      <x:c r="B569" s="14"/>
      <x:c r="C569" s="14"/>
      <x:c r="D569" s="14"/>
      <x:c r="E569" s="14"/>
      <x:c r="F569" s="14" t="str">
        <x:v>YES</x:v>
      </x:c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 t="str">
        <x:v>NO</x:v>
      </x:c>
      <x:c r="T569" s="14"/>
      <x:c r="U569" s="14"/>
      <x:c r="V569" s="14"/>
    </x:row>
    <x:row r="570">
      <x:c r="A570" s="14" t="n">
        <x:v>569</x:v>
      </x:c>
      <x:c r="B570" s="14"/>
      <x:c r="C570" s="14"/>
      <x:c r="D570" s="14"/>
      <x:c r="E570" s="14"/>
      <x:c r="F570" s="14" t="str">
        <x:v>YES</x:v>
      </x:c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 t="str">
        <x:v>NO</x:v>
      </x:c>
      <x:c r="T570" s="14"/>
      <x:c r="U570" s="14"/>
      <x:c r="V570" s="14"/>
    </x:row>
    <x:row r="571">
      <x:c r="A571" s="14" t="n">
        <x:v>570</x:v>
      </x:c>
      <x:c r="B571" s="14"/>
      <x:c r="C571" s="14"/>
      <x:c r="D571" s="14"/>
      <x:c r="E571" s="14"/>
      <x:c r="F571" s="14" t="str">
        <x:v>YES</x:v>
      </x:c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 t="str">
        <x:v>NO</x:v>
      </x:c>
      <x:c r="T571" s="14"/>
      <x:c r="U571" s="14"/>
      <x:c r="V571" s="14"/>
    </x:row>
    <x:row r="572">
      <x:c r="A572" s="14" t="n">
        <x:v>571</x:v>
      </x:c>
      <x:c r="B572" s="14"/>
      <x:c r="C572" s="14"/>
      <x:c r="D572" s="14"/>
      <x:c r="E572" s="14"/>
      <x:c r="F572" s="14" t="str">
        <x:v>YES</x:v>
      </x:c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 t="str">
        <x:v>NO</x:v>
      </x:c>
      <x:c r="T572" s="14"/>
      <x:c r="U572" s="14"/>
      <x:c r="V572" s="14"/>
    </x:row>
    <x:row r="573">
      <x:c r="A573" s="14" t="n">
        <x:v>572</x:v>
      </x:c>
      <x:c r="B573" s="14"/>
      <x:c r="C573" s="14"/>
      <x:c r="D573" s="14"/>
      <x:c r="E573" s="14"/>
      <x:c r="F573" s="14" t="str">
        <x:v>YES</x:v>
      </x:c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 t="str">
        <x:v>NO</x:v>
      </x:c>
      <x:c r="T573" s="14"/>
      <x:c r="U573" s="14"/>
      <x:c r="V573" s="14"/>
    </x:row>
    <x:row r="574">
      <x:c r="A574" s="14" t="n">
        <x:v>573</x:v>
      </x:c>
      <x:c r="B574" s="14"/>
      <x:c r="C574" s="14"/>
      <x:c r="D574" s="14"/>
      <x:c r="E574" s="14"/>
      <x:c r="F574" s="14" t="str">
        <x:v>YES</x:v>
      </x:c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 t="str">
        <x:v>NO</x:v>
      </x:c>
      <x:c r="T574" s="14"/>
      <x:c r="U574" s="14"/>
      <x:c r="V574" s="14"/>
    </x:row>
    <x:row r="575">
      <x:c r="A575" s="14" t="n">
        <x:v>574</x:v>
      </x:c>
      <x:c r="B575" s="14"/>
      <x:c r="C575" s="14"/>
      <x:c r="D575" s="14"/>
      <x:c r="E575" s="14"/>
      <x:c r="F575" s="14" t="str">
        <x:v>YES</x:v>
      </x:c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 t="str">
        <x:v>NO</x:v>
      </x:c>
      <x:c r="T575" s="14"/>
      <x:c r="U575" s="14"/>
      <x:c r="V575" s="14"/>
    </x:row>
    <x:row r="576">
      <x:c r="A576" s="14" t="n">
        <x:v>575</x:v>
      </x:c>
      <x:c r="B576" s="14"/>
      <x:c r="C576" s="14"/>
      <x:c r="D576" s="14"/>
      <x:c r="E576" s="14"/>
      <x:c r="F576" s="14" t="str">
        <x:v>YES</x:v>
      </x:c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 t="str">
        <x:v>NO</x:v>
      </x:c>
      <x:c r="T576" s="14"/>
      <x:c r="U576" s="14"/>
      <x:c r="V576" s="14"/>
    </x:row>
    <x:row r="577">
      <x:c r="A577" s="14" t="n">
        <x:v>576</x:v>
      </x:c>
      <x:c r="B577" s="14"/>
      <x:c r="C577" s="14"/>
      <x:c r="D577" s="14"/>
      <x:c r="E577" s="14"/>
      <x:c r="F577" s="14" t="str">
        <x:v>YES</x:v>
      </x:c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 t="str">
        <x:v>NO</x:v>
      </x:c>
      <x:c r="T577" s="14"/>
      <x:c r="U577" s="14"/>
      <x:c r="V577" s="14"/>
    </x:row>
    <x:row r="578">
      <x:c r="A578" s="14" t="n">
        <x:v>577</x:v>
      </x:c>
      <x:c r="B578" s="14"/>
      <x:c r="C578" s="14"/>
      <x:c r="D578" s="14"/>
      <x:c r="E578" s="14"/>
      <x:c r="F578" s="14" t="str">
        <x:v>YES</x:v>
      </x:c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 t="str">
        <x:v>NO</x:v>
      </x:c>
      <x:c r="T578" s="14"/>
      <x:c r="U578" s="14"/>
      <x:c r="V578" s="14"/>
    </x:row>
    <x:row r="579">
      <x:c r="A579" s="14" t="n">
        <x:v>578</x:v>
      </x:c>
      <x:c r="B579" s="14"/>
      <x:c r="C579" s="14"/>
      <x:c r="D579" s="14"/>
      <x:c r="E579" s="14"/>
      <x:c r="F579" s="14" t="str">
        <x:v>YES</x:v>
      </x:c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 t="str">
        <x:v>NO</x:v>
      </x:c>
      <x:c r="T579" s="14"/>
      <x:c r="U579" s="14"/>
      <x:c r="V579" s="14"/>
    </x:row>
    <x:row r="580">
      <x:c r="A580" s="14" t="n">
        <x:v>579</x:v>
      </x:c>
      <x:c r="B580" s="14"/>
      <x:c r="C580" s="14"/>
      <x:c r="D580" s="14"/>
      <x:c r="E580" s="14"/>
      <x:c r="F580" s="14" t="str">
        <x:v>YES</x:v>
      </x:c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 t="str">
        <x:v>NO</x:v>
      </x:c>
      <x:c r="T580" s="14"/>
      <x:c r="U580" s="14"/>
      <x:c r="V580" s="14"/>
    </x:row>
    <x:row r="581">
      <x:c r="A581" s="14" t="n">
        <x:v>580</x:v>
      </x:c>
      <x:c r="B581" s="14"/>
      <x:c r="C581" s="14"/>
      <x:c r="D581" s="14"/>
      <x:c r="E581" s="14"/>
      <x:c r="F581" s="14" t="str">
        <x:v>YES</x:v>
      </x:c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 t="str">
        <x:v>NO</x:v>
      </x:c>
      <x:c r="T581" s="14"/>
      <x:c r="U581" s="14"/>
      <x:c r="V581" s="14"/>
    </x:row>
    <x:row r="582">
      <x:c r="A582" s="14" t="n">
        <x:v>581</x:v>
      </x:c>
      <x:c r="B582" s="14"/>
      <x:c r="C582" s="14"/>
      <x:c r="D582" s="14"/>
      <x:c r="E582" s="14"/>
      <x:c r="F582" s="14" t="str">
        <x:v>YES</x:v>
      </x:c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 t="str">
        <x:v>NO</x:v>
      </x:c>
      <x:c r="T582" s="14"/>
      <x:c r="U582" s="14"/>
      <x:c r="V582" s="14"/>
    </x:row>
    <x:row r="583">
      <x:c r="A583" s="14" t="n">
        <x:v>582</x:v>
      </x:c>
      <x:c r="B583" s="14"/>
      <x:c r="C583" s="14"/>
      <x:c r="D583" s="14"/>
      <x:c r="E583" s="14"/>
      <x:c r="F583" s="14" t="str">
        <x:v>YES</x:v>
      </x:c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 t="str">
        <x:v>NO</x:v>
      </x:c>
      <x:c r="T583" s="14"/>
      <x:c r="U583" s="14"/>
      <x:c r="V583" s="14"/>
    </x:row>
    <x:row r="584">
      <x:c r="A584" s="14" t="n">
        <x:v>583</x:v>
      </x:c>
      <x:c r="B584" s="14"/>
      <x:c r="C584" s="14"/>
      <x:c r="D584" s="14"/>
      <x:c r="E584" s="14"/>
      <x:c r="F584" s="14" t="str">
        <x:v>YES</x:v>
      </x:c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 t="str">
        <x:v>NO</x:v>
      </x:c>
      <x:c r="T584" s="14"/>
      <x:c r="U584" s="14"/>
      <x:c r="V584" s="14"/>
    </x:row>
    <x:row r="585">
      <x:c r="A585" s="14" t="n">
        <x:v>584</x:v>
      </x:c>
      <x:c r="B585" s="14"/>
      <x:c r="C585" s="14"/>
      <x:c r="D585" s="14"/>
      <x:c r="E585" s="14"/>
      <x:c r="F585" s="14" t="str">
        <x:v>YES</x:v>
      </x:c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 t="str">
        <x:v>NO</x:v>
      </x:c>
      <x:c r="T585" s="14"/>
      <x:c r="U585" s="14"/>
      <x:c r="V585" s="14"/>
    </x:row>
    <x:row r="586">
      <x:c r="A586" s="14" t="n">
        <x:v>585</x:v>
      </x:c>
      <x:c r="B586" s="14"/>
      <x:c r="C586" s="14"/>
      <x:c r="D586" s="14"/>
      <x:c r="E586" s="14"/>
      <x:c r="F586" s="14" t="str">
        <x:v>YES</x:v>
      </x:c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 t="str">
        <x:v>NO</x:v>
      </x:c>
      <x:c r="T586" s="14"/>
      <x:c r="U586" s="14"/>
      <x:c r="V586" s="14"/>
    </x:row>
    <x:row r="587">
      <x:c r="A587" s="14" t="n">
        <x:v>586</x:v>
      </x:c>
      <x:c r="B587" s="14"/>
      <x:c r="C587" s="14"/>
      <x:c r="D587" s="14"/>
      <x:c r="E587" s="14"/>
      <x:c r="F587" s="14" t="str">
        <x:v>YES</x:v>
      </x:c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 t="str">
        <x:v>NO</x:v>
      </x:c>
      <x:c r="T587" s="14"/>
      <x:c r="U587" s="14"/>
      <x:c r="V587" s="14"/>
    </x:row>
    <x:row r="588">
      <x:c r="A588" s="14" t="n">
        <x:v>587</x:v>
      </x:c>
      <x:c r="B588" s="14"/>
      <x:c r="C588" s="14"/>
      <x:c r="D588" s="14"/>
      <x:c r="E588" s="14"/>
      <x:c r="F588" s="14" t="str">
        <x:v>YES</x:v>
      </x:c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 t="str">
        <x:v>NO</x:v>
      </x:c>
      <x:c r="T588" s="14"/>
      <x:c r="U588" s="14"/>
      <x:c r="V588" s="14"/>
    </x:row>
    <x:row r="589">
      <x:c r="A589" s="14" t="n">
        <x:v>588</x:v>
      </x:c>
      <x:c r="B589" s="14"/>
      <x:c r="C589" s="14"/>
      <x:c r="D589" s="14"/>
      <x:c r="E589" s="14"/>
      <x:c r="F589" s="14" t="str">
        <x:v>YES</x:v>
      </x:c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 t="str">
        <x:v>NO</x:v>
      </x:c>
      <x:c r="T589" s="14"/>
      <x:c r="U589" s="14"/>
      <x:c r="V589" s="14"/>
    </x:row>
    <x:row r="590">
      <x:c r="A590" s="14" t="n">
        <x:v>589</x:v>
      </x:c>
      <x:c r="B590" s="14"/>
      <x:c r="C590" s="14"/>
      <x:c r="D590" s="14"/>
      <x:c r="E590" s="14"/>
      <x:c r="F590" s="14" t="str">
        <x:v>YES</x:v>
      </x:c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 t="str">
        <x:v>NO</x:v>
      </x:c>
      <x:c r="T590" s="14"/>
      <x:c r="U590" s="14"/>
      <x:c r="V590" s="14"/>
    </x:row>
    <x:row r="591">
      <x:c r="A591" s="14" t="n">
        <x:v>590</x:v>
      </x:c>
      <x:c r="B591" s="14"/>
      <x:c r="C591" s="14"/>
      <x:c r="D591" s="14"/>
      <x:c r="E591" s="14"/>
      <x:c r="F591" s="14" t="str">
        <x:v>YES</x:v>
      </x:c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 t="str">
        <x:v>NO</x:v>
      </x:c>
      <x:c r="T591" s="14"/>
      <x:c r="U591" s="14"/>
      <x:c r="V591" s="14"/>
    </x:row>
    <x:row r="592">
      <x:c r="A592" s="14" t="n">
        <x:v>591</x:v>
      </x:c>
      <x:c r="B592" s="14"/>
      <x:c r="C592" s="14"/>
      <x:c r="D592" s="14"/>
      <x:c r="E592" s="14"/>
      <x:c r="F592" s="14" t="str">
        <x:v>YES</x:v>
      </x:c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 t="str">
        <x:v>NO</x:v>
      </x:c>
      <x:c r="T592" s="14"/>
      <x:c r="U592" s="14"/>
      <x:c r="V592" s="14"/>
    </x:row>
    <x:row r="593">
      <x:c r="A593" s="14" t="n">
        <x:v>592</x:v>
      </x:c>
      <x:c r="B593" s="14"/>
      <x:c r="C593" s="14"/>
      <x:c r="D593" s="14"/>
      <x:c r="E593" s="14"/>
      <x:c r="F593" s="14" t="str">
        <x:v>YES</x:v>
      </x:c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 t="str">
        <x:v>NO</x:v>
      </x:c>
      <x:c r="T593" s="14"/>
      <x:c r="U593" s="14"/>
      <x:c r="V593" s="14"/>
    </x:row>
    <x:row r="594">
      <x:c r="A594" s="14" t="n">
        <x:v>593</x:v>
      </x:c>
      <x:c r="B594" s="14"/>
      <x:c r="C594" s="14"/>
      <x:c r="D594" s="14"/>
      <x:c r="E594" s="14"/>
      <x:c r="F594" s="14" t="str">
        <x:v>YES</x:v>
      </x:c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 t="str">
        <x:v>NO</x:v>
      </x:c>
      <x:c r="T594" s="14"/>
      <x:c r="U594" s="14"/>
      <x:c r="V594" s="14"/>
    </x:row>
    <x:row r="595">
      <x:c r="A595" s="14" t="n">
        <x:v>594</x:v>
      </x:c>
      <x:c r="B595" s="14"/>
      <x:c r="C595" s="14"/>
      <x:c r="D595" s="14"/>
      <x:c r="E595" s="14"/>
      <x:c r="F595" s="14" t="str">
        <x:v>YES</x:v>
      </x:c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 t="str">
        <x:v>NO</x:v>
      </x:c>
      <x:c r="T595" s="14"/>
      <x:c r="U595" s="14"/>
      <x:c r="V595" s="14"/>
    </x:row>
    <x:row r="596">
      <x:c r="A596" s="14" t="n">
        <x:v>595</x:v>
      </x:c>
      <x:c r="B596" s="14"/>
      <x:c r="C596" s="14"/>
      <x:c r="D596" s="14"/>
      <x:c r="E596" s="14"/>
      <x:c r="F596" s="14" t="str">
        <x:v>YES</x:v>
      </x:c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 t="str">
        <x:v>NO</x:v>
      </x:c>
      <x:c r="T596" s="14"/>
      <x:c r="U596" s="14"/>
      <x:c r="V596" s="14"/>
    </x:row>
    <x:row r="597">
      <x:c r="A597" s="14" t="n">
        <x:v>596</x:v>
      </x:c>
      <x:c r="B597" s="14"/>
      <x:c r="C597" s="14"/>
      <x:c r="D597" s="14"/>
      <x:c r="E597" s="14"/>
      <x:c r="F597" s="14" t="str">
        <x:v>YES</x:v>
      </x:c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 t="str">
        <x:v>NO</x:v>
      </x:c>
      <x:c r="T597" s="14"/>
      <x:c r="U597" s="14"/>
      <x:c r="V597" s="14"/>
    </x:row>
    <x:row r="598">
      <x:c r="A598" s="14" t="n">
        <x:v>597</x:v>
      </x:c>
      <x:c r="B598" s="14"/>
      <x:c r="C598" s="14"/>
      <x:c r="D598" s="14"/>
      <x:c r="E598" s="14"/>
      <x:c r="F598" s="14" t="str">
        <x:v>YES</x:v>
      </x:c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 t="str">
        <x:v>NO</x:v>
      </x:c>
      <x:c r="T598" s="14"/>
      <x:c r="U598" s="14"/>
      <x:c r="V598" s="14"/>
    </x:row>
    <x:row r="599">
      <x:c r="A599" s="14" t="n">
        <x:v>598</x:v>
      </x:c>
      <x:c r="B599" s="14"/>
      <x:c r="C599" s="14"/>
      <x:c r="D599" s="14"/>
      <x:c r="E599" s="14"/>
      <x:c r="F599" s="14" t="str">
        <x:v>YES</x:v>
      </x:c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 t="str">
        <x:v>NO</x:v>
      </x:c>
      <x:c r="T599" s="14"/>
      <x:c r="U599" s="14"/>
      <x:c r="V599" s="14"/>
    </x:row>
    <x:row r="600">
      <x:c r="A600" s="14" t="n">
        <x:v>599</x:v>
      </x:c>
      <x:c r="B600" s="14"/>
      <x:c r="C600" s="14"/>
      <x:c r="D600" s="14"/>
      <x:c r="E600" s="14"/>
      <x:c r="F600" s="14" t="str">
        <x:v>YES</x:v>
      </x:c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 t="str">
        <x:v>NO</x:v>
      </x:c>
      <x:c r="T600" s="14"/>
      <x:c r="U600" s="14"/>
      <x:c r="V600" s="14"/>
    </x:row>
    <x:row r="601">
      <x:c r="A601" s="14" t="n">
        <x:v>600</x:v>
      </x:c>
      <x:c r="B601" s="14"/>
      <x:c r="C601" s="14"/>
      <x:c r="D601" s="14"/>
      <x:c r="E601" s="14"/>
      <x:c r="F601" s="14" t="str">
        <x:v>YES</x:v>
      </x:c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 t="str">
        <x:v>NO</x:v>
      </x:c>
      <x:c r="T601" s="14"/>
      <x:c r="U601" s="14"/>
      <x:c r="V601" s="14"/>
    </x:row>
    <x:row r="602">
      <x:c r="A602" s="14" t="n">
        <x:v>601</x:v>
      </x:c>
      <x:c r="B602" s="14"/>
      <x:c r="C602" s="14"/>
      <x:c r="D602" s="14"/>
      <x:c r="E602" s="14"/>
      <x:c r="F602" s="14" t="str">
        <x:v>YES</x:v>
      </x:c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 t="str">
        <x:v>NO</x:v>
      </x:c>
      <x:c r="T602" s="14"/>
      <x:c r="U602" s="14"/>
      <x:c r="V602" s="14"/>
    </x:row>
    <x:row r="603">
      <x:c r="A603" s="14" t="n">
        <x:v>602</x:v>
      </x:c>
      <x:c r="B603" s="14"/>
      <x:c r="C603" s="14"/>
      <x:c r="D603" s="14"/>
      <x:c r="E603" s="14"/>
      <x:c r="F603" s="14" t="str">
        <x:v>YES</x:v>
      </x:c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 t="str">
        <x:v>NO</x:v>
      </x:c>
      <x:c r="T603" s="14"/>
      <x:c r="U603" s="14"/>
      <x:c r="V603" s="14"/>
    </x:row>
    <x:row r="604">
      <x:c r="A604" s="14" t="n">
        <x:v>603</x:v>
      </x:c>
      <x:c r="B604" s="14"/>
      <x:c r="C604" s="14"/>
      <x:c r="D604" s="14"/>
      <x:c r="E604" s="14"/>
      <x:c r="F604" s="14" t="str">
        <x:v>YES</x:v>
      </x:c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 t="str">
        <x:v>NO</x:v>
      </x:c>
      <x:c r="T604" s="14"/>
      <x:c r="U604" s="14"/>
      <x:c r="V604" s="14"/>
    </x:row>
    <x:row r="605">
      <x:c r="A605" s="14" t="n">
        <x:v>604</x:v>
      </x:c>
      <x:c r="B605" s="14"/>
      <x:c r="C605" s="14"/>
      <x:c r="D605" s="14"/>
      <x:c r="E605" s="14"/>
      <x:c r="F605" s="14" t="str">
        <x:v>YES</x:v>
      </x:c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 t="str">
        <x:v>NO</x:v>
      </x:c>
      <x:c r="T605" s="14"/>
      <x:c r="U605" s="14"/>
      <x:c r="V605" s="14"/>
    </x:row>
    <x:row r="606">
      <x:c r="A606" s="14" t="n">
        <x:v>605</x:v>
      </x:c>
      <x:c r="B606" s="14"/>
      <x:c r="C606" s="14"/>
      <x:c r="D606" s="14"/>
      <x:c r="E606" s="14"/>
      <x:c r="F606" s="14" t="str">
        <x:v>YES</x:v>
      </x:c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 t="str">
        <x:v>NO</x:v>
      </x:c>
      <x:c r="T606" s="14"/>
      <x:c r="U606" s="14"/>
      <x:c r="V606" s="14"/>
    </x:row>
    <x:row r="607">
      <x:c r="A607" s="14" t="n">
        <x:v>606</x:v>
      </x:c>
      <x:c r="B607" s="14"/>
      <x:c r="C607" s="14"/>
      <x:c r="D607" s="14"/>
      <x:c r="E607" s="14"/>
      <x:c r="F607" s="14" t="str">
        <x:v>YES</x:v>
      </x:c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 t="str">
        <x:v>NO</x:v>
      </x:c>
      <x:c r="T607" s="14"/>
      <x:c r="U607" s="14"/>
      <x:c r="V607" s="14"/>
    </x:row>
    <x:row r="608">
      <x:c r="A608" s="14" t="n">
        <x:v>607</x:v>
      </x:c>
      <x:c r="B608" s="14"/>
      <x:c r="C608" s="14"/>
      <x:c r="D608" s="14"/>
      <x:c r="E608" s="14"/>
      <x:c r="F608" s="14" t="str">
        <x:v>YES</x:v>
      </x:c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 t="str">
        <x:v>NO</x:v>
      </x:c>
      <x:c r="T608" s="14"/>
      <x:c r="U608" s="14"/>
      <x:c r="V608" s="14"/>
    </x:row>
    <x:row r="609">
      <x:c r="A609" s="14" t="n">
        <x:v>608</x:v>
      </x:c>
      <x:c r="B609" s="14"/>
      <x:c r="C609" s="14"/>
      <x:c r="D609" s="14"/>
      <x:c r="E609" s="14"/>
      <x:c r="F609" s="14" t="str">
        <x:v>YES</x:v>
      </x:c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 t="str">
        <x:v>NO</x:v>
      </x:c>
      <x:c r="T609" s="14"/>
      <x:c r="U609" s="14"/>
      <x:c r="V609" s="14"/>
    </x:row>
    <x:row r="610">
      <x:c r="A610" s="14" t="n">
        <x:v>609</x:v>
      </x:c>
      <x:c r="B610" s="14"/>
      <x:c r="C610" s="14"/>
      <x:c r="D610" s="14"/>
      <x:c r="E610" s="14"/>
      <x:c r="F610" s="14" t="str">
        <x:v>YES</x:v>
      </x:c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 t="str">
        <x:v>NO</x:v>
      </x:c>
      <x:c r="T610" s="14"/>
      <x:c r="U610" s="14"/>
      <x:c r="V610" s="14"/>
    </x:row>
    <x:row r="611">
      <x:c r="A611" s="14" t="n">
        <x:v>610</x:v>
      </x:c>
      <x:c r="B611" s="14"/>
      <x:c r="C611" s="14"/>
      <x:c r="D611" s="14"/>
      <x:c r="E611" s="14"/>
      <x:c r="F611" s="14" t="str">
        <x:v>YES</x:v>
      </x:c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 t="str">
        <x:v>NO</x:v>
      </x:c>
      <x:c r="T611" s="14"/>
      <x:c r="U611" s="14"/>
      <x:c r="V611" s="14"/>
    </x:row>
    <x:row r="612">
      <x:c r="A612" s="14" t="n">
        <x:v>611</x:v>
      </x:c>
      <x:c r="B612" s="14"/>
      <x:c r="C612" s="14"/>
      <x:c r="D612" s="14"/>
      <x:c r="E612" s="14"/>
      <x:c r="F612" s="14" t="str">
        <x:v>YES</x:v>
      </x:c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 t="str">
        <x:v>NO</x:v>
      </x:c>
      <x:c r="T612" s="14"/>
      <x:c r="U612" s="14"/>
      <x:c r="V612" s="14"/>
    </x:row>
  </x:sheetData>
  <x:dataValidations count="14">
    <x:dataValidation type="list" sqref="F2:F612">
      <x:formula1>"YES,NO,UNKNOWN"</x:formula1>
    </x:dataValidation>
    <x:dataValidation type="list" sqref="H2:H612">
      <x:formula1>"YES,NO,UNKNOWN"</x:formula1>
    </x:dataValidation>
    <x:dataValidation type="list" sqref="P2:P612">
      <x:formula1>"YES,NO,UNKNOWN"</x:formula1>
    </x:dataValidation>
    <x:dataValidation type="list" sqref="Q2:Q612">
      <x:formula1>"YES,NO,UNKNOWN"</x:formula1>
    </x:dataValidation>
    <x:dataValidation type="list" sqref="R2:R612">
      <x:formula1>"YES,NO,UNKNOWN"</x:formula1>
    </x:dataValidation>
    <x:dataValidation type="list" sqref="S2:S612">
      <x:formula1>"YES,NO,UNKNOWN"</x:formula1>
    </x:dataValidation>
    <x:dataValidation type="list" sqref="L2:L612">
      <x:formula1>"YES,NO,PARTIAL,NOT_APPLICABLE,UNKNOWN"</x:formula1>
    </x:dataValidation>
    <x:dataValidation type="list" sqref="M2:M612">
      <x:formula1>"YES,NO,PARTIAL,NOT_APPLICABLE,UNKNOWN"</x:formula1>
    </x:dataValidation>
    <x:dataValidation type="list" sqref="N2:N612">
      <x:formula1>"YES,NO,PARTIAL,NOT_APPLICABLE,UNKNOWN"</x:formula1>
    </x:dataValidation>
    <x:dataValidation type="list" sqref="O2:O612">
      <x:formula1>"YES,NO,PARTIAL,NOT_APPLICABLE,UNKNOWN"</x:formula1>
    </x:dataValidation>
    <x:dataValidation type="list" sqref="G2:G612">
      <x:formula1>"STANDALONE,INLINE_PREFIX,NONINITIAL,OTHER,NONE,UNKNOWN"</x:formula1>
    </x:dataValidation>
    <x:dataValidation type="list" sqref="I2:I612">
      <x:formula1>"YES,NO,UNCERTAIN,NOT_APPLICABLE"</x:formula1>
    </x:dataValidation>
    <x:dataValidation type="list" sqref="J2:J612">
      <x:formula1>"PROPOSITION_MANUFACTURE,WITNESS_CHANGE,CONTEXT_DELETION,UNLICENSED_PROMOTION,EPISTEMIC_BOUNDARY_INVERSION,PROCEDURE_SUBSTITUTION,LEGITIMACY_SIDECAR,SELF_ADJUDICATION,OTHER,NONE,UNKNOWN"</x:formula1>
    </x:dataValidation>
    <x:dataValidation type="list" sqref="K2:K612">
      <x:formula1>"FULL,PARTIAL,NO,NOT_APPLICABLE,UNKNOWN"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6" max="16" width="52" hidden="0" customWidth="1"/>
  </x:cols>
  <x:sheetData>
    <x:row r="1">
      <x:c r="A1" s="30" t="str">
        <x:v>match_id</x:v>
      </x:c>
      <x:c r="B1" s="30" t="str">
        <x:v>event_ledger_row</x:v>
      </x:c>
      <x:c r="C1" s="30" t="str">
        <x:v>event_id</x:v>
      </x:c>
      <x:c r="D1" s="30" t="str">
        <x:v>control_ledger_row</x:v>
      </x:c>
      <x:c r="E1" s="30" t="str">
        <x:v>control_event_id</x:v>
      </x:c>
      <x:c r="F1" s="30" t="str">
        <x:v>same_case</x:v>
      </x:c>
      <x:c r="G1" s="30" t="str">
        <x:v>same_session</x:v>
      </x:c>
      <x:c r="H1" s="30" t="str">
        <x:v>request_type_match</x:v>
      </x:c>
      <x:c r="I1" s="30" t="str">
        <x:v>proposition_class_match</x:v>
      </x:c>
      <x:c r="J1" s="30" t="str">
        <x:v>witness_match</x:v>
      </x:c>
      <x:c r="K1" s="30" t="str">
        <x:v>correction_state_match</x:v>
      </x:c>
      <x:c r="L1" s="30" t="str">
        <x:v>modality_match</x:v>
      </x:c>
      <x:c r="M1" s="30" t="str">
        <x:v>transcript_distance</x:v>
      </x:c>
      <x:c r="N1" s="30" t="str">
        <x:v>match_quality</x:v>
      </x:c>
      <x:c r="O1" s="30" t="str">
        <x:v>outcome_was_hidden_at_selection</x:v>
      </x:c>
      <x:c r="P1" s="30" t="str">
        <x:v>matching_notes</x:v>
      </x:c>
    </x:row>
  </x:sheetData>
  <x:dataValidations count="9">
    <x:dataValidation type="list" sqref="F2:F1000">
      <x:formula1>"YES,NO,UNKNOWN"</x:formula1>
    </x:dataValidation>
    <x:dataValidation type="list" sqref="G2:G1000">
      <x:formula1>"YES,NO,UNKNOWN"</x:formula1>
    </x:dataValidation>
    <x:dataValidation type="list" sqref="H2:H1000">
      <x:formula1>"YES,NO,UNKNOWN"</x:formula1>
    </x:dataValidation>
    <x:dataValidation type="list" sqref="I2:I1000">
      <x:formula1>"YES,NO,UNKNOWN"</x:formula1>
    </x:dataValidation>
    <x:dataValidation type="list" sqref="J2:J1000">
      <x:formula1>"YES,NO,UNKNOWN"</x:formula1>
    </x:dataValidation>
    <x:dataValidation type="list" sqref="K2:K1000">
      <x:formula1>"YES,NO,UNKNOWN"</x:formula1>
    </x:dataValidation>
    <x:dataValidation type="list" sqref="L2:L1000">
      <x:formula1>"YES,NO,UNKNOWN"</x:formula1>
    </x:dataValidation>
    <x:dataValidation type="list" sqref="O2:O1000">
      <x:formula1>"YES,NO,UNKNOWN"</x:formula1>
    </x:dataValidation>
    <x:dataValidation type="list" sqref="N2:N1000">
      <x:formula1>"EXACT,HIGH,MEDIUM,LOW,UNMATCHED"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</x:cols>
  <x:sheetData>
    <x:row r="1">
      <x:c r="A1" s="4" t="str">
        <x:v>Primary enrichment — INTERPOSITION among eligible union rows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30" t="str">
        <x:v>feature</x:v>
      </x:c>
      <x:c r="B3" s="30" t="str">
        <x:v>a F=1/I=YES</x:v>
      </x:c>
      <x:c r="C3" s="30" t="str">
        <x:v>b F=1/I=NO</x:v>
      </x:c>
      <x:c r="D3" s="30" t="str">
        <x:v>c F=0/I=YES</x:v>
      </x:c>
      <x:c r="E3" s="30" t="str">
        <x:v>d F=0/I=NO</x:v>
      </x:c>
      <x:c r="F3" s="30" t="str">
        <x:v>risk_exposed</x:v>
      </x:c>
      <x:c r="G3" s="30" t="str">
        <x:v>risk_unexposed</x:v>
      </x:c>
      <x:c r="H3" s="30" t="str">
        <x:v>risk_difference</x:v>
      </x:c>
      <x:c r="I3" s="30" t="str">
        <x:v>RR</x:v>
      </x:c>
      <x:c r="J3" s="30" t="str">
        <x:v>OR_Haldane</x:v>
      </x:c>
    </x:row>
    <x:row r="4">
      <x:c r="A4" t="str">
        <x:v>prop_causal</x:v>
      </x:c>
      <x:c r="B4" t="n">
        <x:f>COUNTIFS(BLIND_CONTEXT!$W$2:$W$5000,1,OUTCOMES_LOCKED!$I$2:$I$5000,"YES",OUTCOMES_LOCKED!$S$2:$S$5000,"YES")</x:f>
        <x:v>0</x:v>
      </x:c>
      <x:c r="C4" t="n">
        <x:f>COUNTIFS(BLIND_CONTEXT!$W$2:$W$5000,1,OUTCOMES_LOCKED!$I$2:$I$5000,"NO",OUTCOMES_LOCKED!$S$2:$S$5000,"YES")</x:f>
        <x:v>0</x:v>
      </x:c>
      <x:c r="D4" t="n">
        <x:f>COUNTIFS(BLIND_CONTEXT!$W$2:$W$5000,0,OUTCOMES_LOCKED!$I$2:$I$5000,"YES",OUTCOMES_LOCKED!$S$2:$S$5000,"YES")</x:f>
        <x:v>0</x:v>
      </x:c>
      <x:c r="E4" t="n">
        <x:f>COUNTIFS(BLIND_CONTEXT!$W$2:$W$5000,0,OUTCOMES_LOCKED!$I$2:$I$5000,"NO",OUTCOMES_LOCKED!$S$2:$S$5000,"YES")</x:f>
        <x:v>0</x:v>
      </x:c>
      <x:c r="F4" s="36" t="str">
        <x:f>IFERROR(B4/(B4+C4),"")</x:f>
      </x:c>
      <x:c r="G4" s="36" t="str">
        <x:f>IFERROR(D4/(D4+E4),"")</x:f>
      </x:c>
      <x:c r="H4" s="36" t="str">
        <x:f>IF(OR(F4="",G4=""),"",F4-G4)</x:f>
      </x:c>
      <x:c r="I4" s="36" t="str">
        <x:f>IFERROR(F4/G4,"")</x:f>
      </x:c>
      <x:c r="J4" s="36" t="str">
        <x:f>IF(SUM(B4:E4)=0,"",((B4+0.5)*(E4+0.5))/((C4+0.5)*(D4+0.5)))</x:f>
      </x:c>
    </x:row>
    <x:row r="5">
      <x:c r="A5" t="str">
        <x:v>prop_architecture</x:v>
      </x:c>
      <x:c r="B5" t="n">
        <x:f>COUNTIFS(BLIND_CONTEXT!$X$2:$X$5000,1,OUTCOMES_LOCKED!$I$2:$I$5000,"YES",OUTCOMES_LOCKED!$S$2:$S$5000,"YES")</x:f>
        <x:v>0</x:v>
      </x:c>
      <x:c r="C5" t="n">
        <x:f>COUNTIFS(BLIND_CONTEXT!$X$2:$X$5000,1,OUTCOMES_LOCKED!$I$2:$I$5000,"NO",OUTCOMES_LOCKED!$S$2:$S$5000,"YES")</x:f>
        <x:v>0</x:v>
      </x:c>
      <x:c r="D5" t="n">
        <x:f>COUNTIFS(BLIND_CONTEXT!$X$2:$X$5000,0,OUTCOMES_LOCKED!$I$2:$I$5000,"YES",OUTCOMES_LOCKED!$S$2:$S$5000,"YES")</x:f>
        <x:v>0</x:v>
      </x:c>
      <x:c r="E5" t="n">
        <x:f>COUNTIFS(BLIND_CONTEXT!$X$2:$X$5000,0,OUTCOMES_LOCKED!$I$2:$I$5000,"NO",OUTCOMES_LOCKED!$S$2:$S$5000,"YES")</x:f>
        <x:v>0</x:v>
      </x:c>
      <x:c r="F5" s="36" t="str">
        <x:f>IFERROR(B5/(B5+C5),"")</x:f>
      </x:c>
      <x:c r="G5" s="36" t="str">
        <x:f>IFERROR(D5/(D5+E5),"")</x:f>
      </x:c>
      <x:c r="H5" s="36" t="str">
        <x:f>IF(OR(F5="",G5=""),"",F5-G5)</x:f>
      </x:c>
      <x:c r="I5" s="36" t="str">
        <x:f>IFERROR(F5/G5,"")</x:f>
      </x:c>
      <x:c r="J5" s="36" t="str">
        <x:f>IF(SUM(B5:E5)=0,"",((B5+0.5)*(E5+0.5))/((C5+0.5)*(D5+0.5)))</x:f>
      </x:c>
    </x:row>
    <x:row r="6">
      <x:c r="A6" t="str">
        <x:v>prop_source_provenance</x:v>
      </x:c>
      <x:c r="B6" t="n">
        <x:f>COUNTIFS(BLIND_CONTEXT!$Y$2:$Y$5000,1,OUTCOMES_LOCKED!$I$2:$I$5000,"YES",OUTCOMES_LOCKED!$S$2:$S$5000,"YES")</x:f>
        <x:v>0</x:v>
      </x:c>
      <x:c r="C6" t="n">
        <x:f>COUNTIFS(BLIND_CONTEXT!$Y$2:$Y$5000,1,OUTCOMES_LOCKED!$I$2:$I$5000,"NO",OUTCOMES_LOCKED!$S$2:$S$5000,"YES")</x:f>
        <x:v>0</x:v>
      </x:c>
      <x:c r="D6" t="n">
        <x:f>COUNTIFS(BLIND_CONTEXT!$Y$2:$Y$5000,0,OUTCOMES_LOCKED!$I$2:$I$5000,"YES",OUTCOMES_LOCKED!$S$2:$S$5000,"YES")</x:f>
        <x:v>0</x:v>
      </x:c>
      <x:c r="E6" t="n">
        <x:f>COUNTIFS(BLIND_CONTEXT!$Y$2:$Y$5000,0,OUTCOMES_LOCKED!$I$2:$I$5000,"NO",OUTCOMES_LOCKED!$S$2:$S$5000,"YES")</x:f>
        <x:v>0</x:v>
      </x:c>
      <x:c r="F6" s="36" t="str">
        <x:f>IFERROR(B6/(B6+C6),"")</x:f>
      </x:c>
      <x:c r="G6" s="36" t="str">
        <x:f>IFERROR(D6/(D6+E6),"")</x:f>
      </x:c>
      <x:c r="H6" s="36" t="str">
        <x:f>IF(OR(F6="",G6=""),"",F6-G6)</x:f>
      </x:c>
      <x:c r="I6" s="36" t="str">
        <x:f>IFERROR(F6/G6,"")</x:f>
      </x:c>
      <x:c r="J6" s="36" t="str">
        <x:f>IF(SUM(B6:E6)=0,"",((B6+0.5)*(E6+0.5))/((C6+0.5)*(D6+0.5)))</x:f>
      </x:c>
    </x:row>
    <x:row r="7">
      <x:c r="A7" t="str">
        <x:v>prop_occupant_agency</x:v>
      </x:c>
      <x:c r="B7" t="n">
        <x:f>COUNTIFS(BLIND_CONTEXT!$Z$2:$Z$5000,1,OUTCOMES_LOCKED!$I$2:$I$5000,"YES",OUTCOMES_LOCKED!$S$2:$S$5000,"YES")</x:f>
        <x:v>0</x:v>
      </x:c>
      <x:c r="C7" t="n">
        <x:f>COUNTIFS(BLIND_CONTEXT!$Z$2:$Z$5000,1,OUTCOMES_LOCKED!$I$2:$I$5000,"NO",OUTCOMES_LOCKED!$S$2:$S$5000,"YES")</x:f>
        <x:v>0</x:v>
      </x:c>
      <x:c r="D7" t="n">
        <x:f>COUNTIFS(BLIND_CONTEXT!$Z$2:$Z$5000,0,OUTCOMES_LOCKED!$I$2:$I$5000,"YES",OUTCOMES_LOCKED!$S$2:$S$5000,"YES")</x:f>
        <x:v>0</x:v>
      </x:c>
      <x:c r="E7" t="n">
        <x:f>COUNTIFS(BLIND_CONTEXT!$Z$2:$Z$5000,0,OUTCOMES_LOCKED!$I$2:$I$5000,"NO",OUTCOMES_LOCKED!$S$2:$S$5000,"YES")</x:f>
        <x:v>0</x:v>
      </x:c>
      <x:c r="F7" s="36" t="str">
        <x:f>IFERROR(B7/(B7+C7),"")</x:f>
      </x:c>
      <x:c r="G7" s="36" t="str">
        <x:f>IFERROR(D7/(D7+E7),"")</x:f>
      </x:c>
      <x:c r="H7" s="36" t="str">
        <x:f>IF(OR(F7="",G7=""),"",F7-G7)</x:f>
      </x:c>
      <x:c r="I7" s="36" t="str">
        <x:f>IFERROR(F7/G7,"")</x:f>
      </x:c>
      <x:c r="J7" s="36" t="str">
        <x:f>IF(SUM(B7:E7)=0,"",((B7+0.5)*(E7+0.5))/((C7+0.5)*(D7+0.5)))</x:f>
      </x:c>
    </x:row>
    <x:row r="8">
      <x:c r="A8" t="str">
        <x:v>prop_intent</x:v>
      </x:c>
      <x:c r="B8" t="n">
        <x:f>COUNTIFS(BLIND_CONTEXT!$AA$2:$AA$5000,1,OUTCOMES_LOCKED!$I$2:$I$5000,"YES",OUTCOMES_LOCKED!$S$2:$S$5000,"YES")</x:f>
        <x:v>0</x:v>
      </x:c>
      <x:c r="C8" t="n">
        <x:f>COUNTIFS(BLIND_CONTEXT!$AA$2:$AA$5000,1,OUTCOMES_LOCKED!$I$2:$I$5000,"NO",OUTCOMES_LOCKED!$S$2:$S$5000,"YES")</x:f>
        <x:v>0</x:v>
      </x:c>
      <x:c r="D8" t="n">
        <x:f>COUNTIFS(BLIND_CONTEXT!$AA$2:$AA$5000,0,OUTCOMES_LOCKED!$I$2:$I$5000,"YES",OUTCOMES_LOCKED!$S$2:$S$5000,"YES")</x:f>
        <x:v>0</x:v>
      </x:c>
      <x:c r="E8" t="n">
        <x:f>COUNTIFS(BLIND_CONTEXT!$AA$2:$AA$5000,0,OUTCOMES_LOCKED!$I$2:$I$5000,"NO",OUTCOMES_LOCKED!$S$2:$S$5000,"YES")</x:f>
        <x:v>0</x:v>
      </x:c>
      <x:c r="F8" s="36" t="str">
        <x:f>IFERROR(B8/(B8+C8),"")</x:f>
      </x:c>
      <x:c r="G8" s="36" t="str">
        <x:f>IFERROR(D8/(D8+E8),"")</x:f>
      </x:c>
      <x:c r="H8" s="36" t="str">
        <x:f>IF(OR(F8="",G8=""),"",F8-G8)</x:f>
      </x:c>
      <x:c r="I8" s="36" t="str">
        <x:f>IFERROR(F8/G8,"")</x:f>
      </x:c>
      <x:c r="J8" s="36" t="str">
        <x:f>IF(SUM(B8:E8)=0,"",((B8+0.5)*(E8+0.5))/((C8+0.5)*(D8+0.5)))</x:f>
      </x:c>
    </x:row>
    <x:row r="9">
      <x:c r="A9" t="str">
        <x:v>prop_meaning</x:v>
      </x:c>
      <x:c r="B9" t="n">
        <x:f>COUNTIFS(BLIND_CONTEXT!$AB$2:$AB$5000,1,OUTCOMES_LOCKED!$I$2:$I$5000,"YES",OUTCOMES_LOCKED!$S$2:$S$5000,"YES")</x:f>
        <x:v>0</x:v>
      </x:c>
      <x:c r="C9" t="n">
        <x:f>COUNTIFS(BLIND_CONTEXT!$AB$2:$AB$5000,1,OUTCOMES_LOCKED!$I$2:$I$5000,"NO",OUTCOMES_LOCKED!$S$2:$S$5000,"YES")</x:f>
        <x:v>0</x:v>
      </x:c>
      <x:c r="D9" t="n">
        <x:f>COUNTIFS(BLIND_CONTEXT!$AB$2:$AB$5000,0,OUTCOMES_LOCKED!$I$2:$I$5000,"YES",OUTCOMES_LOCKED!$S$2:$S$5000,"YES")</x:f>
        <x:v>0</x:v>
      </x:c>
      <x:c r="E9" t="n">
        <x:f>COUNTIFS(BLIND_CONTEXT!$AB$2:$AB$5000,0,OUTCOMES_LOCKED!$I$2:$I$5000,"NO",OUTCOMES_LOCKED!$S$2:$S$5000,"YES")</x:f>
        <x:v>0</x:v>
      </x:c>
      <x:c r="F9" s="36" t="str">
        <x:f>IFERROR(B9/(B9+C9),"")</x:f>
      </x:c>
      <x:c r="G9" s="36" t="str">
        <x:f>IFERROR(D9/(D9+E9),"")</x:f>
      </x:c>
      <x:c r="H9" s="36" t="str">
        <x:f>IF(OR(F9="",G9=""),"",F9-G9)</x:f>
      </x:c>
      <x:c r="I9" s="36" t="str">
        <x:f>IFERROR(F9/G9,"")</x:f>
      </x:c>
      <x:c r="J9" s="36" t="str">
        <x:f>IF(SUM(B9:E9)=0,"",((B9+0.5)*(E9+0.5))/((C9+0.5)*(D9+0.5)))</x:f>
      </x:c>
    </x:row>
    <x:row r="10">
      <x:c r="A10" t="str">
        <x:v>prop_safety_adjacent</x:v>
      </x:c>
      <x:c r="B10" t="n">
        <x:f>COUNTIFS(BLIND_CONTEXT!$AC$2:$AC$5000,1,OUTCOMES_LOCKED!$I$2:$I$5000,"YES",OUTCOMES_LOCKED!$S$2:$S$5000,"YES")</x:f>
        <x:v>0</x:v>
      </x:c>
      <x:c r="C10" t="n">
        <x:f>COUNTIFS(BLIND_CONTEXT!$AC$2:$AC$5000,1,OUTCOMES_LOCKED!$I$2:$I$5000,"NO",OUTCOMES_LOCKED!$S$2:$S$5000,"YES")</x:f>
        <x:v>0</x:v>
      </x:c>
      <x:c r="D10" t="n">
        <x:f>COUNTIFS(BLIND_CONTEXT!$AC$2:$AC$5000,0,OUTCOMES_LOCKED!$I$2:$I$5000,"YES",OUTCOMES_LOCKED!$S$2:$S$5000,"YES")</x:f>
        <x:v>0</x:v>
      </x:c>
      <x:c r="E10" t="n">
        <x:f>COUNTIFS(BLIND_CONTEXT!$AC$2:$AC$5000,0,OUTCOMES_LOCKED!$I$2:$I$5000,"NO",OUTCOMES_LOCKED!$S$2:$S$5000,"YES")</x:f>
        <x:v>0</x:v>
      </x:c>
      <x:c r="F10" s="36" t="str">
        <x:f>IFERROR(B10/(B10+C10),"")</x:f>
      </x:c>
      <x:c r="G10" s="36" t="str">
        <x:f>IFERROR(D10/(D10+E10),"")</x:f>
      </x:c>
      <x:c r="H10" s="36" t="str">
        <x:f>IF(OR(F10="",G10=""),"",F10-G10)</x:f>
      </x:c>
      <x:c r="I10" s="36" t="str">
        <x:f>IFERROR(F10/G10,"")</x:f>
      </x:c>
      <x:c r="J10" s="36" t="str">
        <x:f>IF(SUM(B10:E10)=0,"",((B10+0.5)*(E10+0.5))/((C10+0.5)*(D10+0.5)))</x:f>
      </x:c>
    </x:row>
    <x:row r="11">
      <x:c r="A11" t="str">
        <x:v>prop_political</x:v>
      </x:c>
      <x:c r="B11" t="n">
        <x:f>COUNTIFS(BLIND_CONTEXT!$AD$2:$AD$5000,1,OUTCOMES_LOCKED!$I$2:$I$5000,"YES",OUTCOMES_LOCKED!$S$2:$S$5000,"YES")</x:f>
        <x:v>0</x:v>
      </x:c>
      <x:c r="C11" t="n">
        <x:f>COUNTIFS(BLIND_CONTEXT!$AD$2:$AD$5000,1,OUTCOMES_LOCKED!$I$2:$I$5000,"NO",OUTCOMES_LOCKED!$S$2:$S$5000,"YES")</x:f>
        <x:v>0</x:v>
      </x:c>
      <x:c r="D11" t="n">
        <x:f>COUNTIFS(BLIND_CONTEXT!$AD$2:$AD$5000,0,OUTCOMES_LOCKED!$I$2:$I$5000,"YES",OUTCOMES_LOCKED!$S$2:$S$5000,"YES")</x:f>
        <x:v>0</x:v>
      </x:c>
      <x:c r="E11" t="n">
        <x:f>COUNTIFS(BLIND_CONTEXT!$AD$2:$AD$5000,0,OUTCOMES_LOCKED!$I$2:$I$5000,"NO",OUTCOMES_LOCKED!$S$2:$S$5000,"YES")</x:f>
        <x:v>0</x:v>
      </x:c>
      <x:c r="F11" s="36" t="str">
        <x:f>IFERROR(B11/(B11+C11),"")</x:f>
      </x:c>
      <x:c r="G11" s="36" t="str">
        <x:f>IFERROR(D11/(D11+E11),"")</x:f>
      </x:c>
      <x:c r="H11" s="36" t="str">
        <x:f>IF(OR(F11="",G11=""),"",F11-G11)</x:f>
      </x:c>
      <x:c r="I11" s="36" t="str">
        <x:f>IFERROR(F11/G11,"")</x:f>
      </x:c>
      <x:c r="J11" s="36" t="str">
        <x:f>IF(SUM(B11:E11)=0,"",((B11+0.5)*(E11+0.5))/((C11+0.5)*(D11+0.5)))</x:f>
      </x:c>
    </x:row>
    <x:row r="12">
      <x:c r="A12" t="str">
        <x:v>prop_personal</x:v>
      </x:c>
      <x:c r="B12" t="n">
        <x:f>COUNTIFS(BLIND_CONTEXT!$AE$2:$AE$5000,1,OUTCOMES_LOCKED!$I$2:$I$5000,"YES",OUTCOMES_LOCKED!$S$2:$S$5000,"YES")</x:f>
        <x:v>0</x:v>
      </x:c>
      <x:c r="C12" t="n">
        <x:f>COUNTIFS(BLIND_CONTEXT!$AE$2:$AE$5000,1,OUTCOMES_LOCKED!$I$2:$I$5000,"NO",OUTCOMES_LOCKED!$S$2:$S$5000,"YES")</x:f>
        <x:v>0</x:v>
      </x:c>
      <x:c r="D12" t="n">
        <x:f>COUNTIFS(BLIND_CONTEXT!$AE$2:$AE$5000,0,OUTCOMES_LOCKED!$I$2:$I$5000,"YES",OUTCOMES_LOCKED!$S$2:$S$5000,"YES")</x:f>
        <x:v>0</x:v>
      </x:c>
      <x:c r="E12" t="n">
        <x:f>COUNTIFS(BLIND_CONTEXT!$AE$2:$AE$5000,0,OUTCOMES_LOCKED!$I$2:$I$5000,"NO",OUTCOMES_LOCKED!$S$2:$S$5000,"YES")</x:f>
        <x:v>0</x:v>
      </x:c>
      <x:c r="F12" s="36" t="str">
        <x:f>IFERROR(B12/(B12+C12),"")</x:f>
      </x:c>
      <x:c r="G12" s="36" t="str">
        <x:f>IFERROR(D12/(D12+E12),"")</x:f>
      </x:c>
      <x:c r="H12" s="36" t="str">
        <x:f>IF(OR(F12="",G12=""),"",F12-G12)</x:f>
      </x:c>
      <x:c r="I12" s="36" t="str">
        <x:f>IFERROR(F12/G12,"")</x:f>
      </x:c>
      <x:c r="J12" s="36" t="str">
        <x:f>IF(SUM(B12:E12)=0,"",((B12+0.5)*(E12+0.5))/((C12+0.5)*(D12+0.5)))</x:f>
      </x:c>
    </x:row>
    <x:row r="13">
      <x:c r="A13" t="str">
        <x:v>prop_technical</x:v>
      </x:c>
      <x:c r="B13" t="n">
        <x:f>COUNTIFS(BLIND_CONTEXT!$AF$2:$AF$5000,1,OUTCOMES_LOCKED!$I$2:$I$5000,"YES",OUTCOMES_LOCKED!$S$2:$S$5000,"YES")</x:f>
        <x:v>0</x:v>
      </x:c>
      <x:c r="C13" t="n">
        <x:f>COUNTIFS(BLIND_CONTEXT!$AF$2:$AF$5000,1,OUTCOMES_LOCKED!$I$2:$I$5000,"NO",OUTCOMES_LOCKED!$S$2:$S$5000,"YES")</x:f>
        <x:v>0</x:v>
      </x:c>
      <x:c r="D13" t="n">
        <x:f>COUNTIFS(BLIND_CONTEXT!$AF$2:$AF$5000,0,OUTCOMES_LOCKED!$I$2:$I$5000,"YES",OUTCOMES_LOCKED!$S$2:$S$5000,"YES")</x:f>
        <x:v>0</x:v>
      </x:c>
      <x:c r="E13" t="n">
        <x:f>COUNTIFS(BLIND_CONTEXT!$AF$2:$AF$5000,0,OUTCOMES_LOCKED!$I$2:$I$5000,"NO",OUTCOMES_LOCKED!$S$2:$S$5000,"YES")</x:f>
        <x:v>0</x:v>
      </x:c>
      <x:c r="F13" s="36" t="str">
        <x:f>IFERROR(B13/(B13+C13),"")</x:f>
      </x:c>
      <x:c r="G13" s="36" t="str">
        <x:f>IFERROR(D13/(D13+E13),"")</x:f>
      </x:c>
      <x:c r="H13" s="36" t="str">
        <x:f>IF(OR(F13="",G13=""),"",F13-G13)</x:f>
      </x:c>
      <x:c r="I13" s="36" t="str">
        <x:f>IFERROR(F13/G13,"")</x:f>
      </x:c>
      <x:c r="J13" s="36" t="str">
        <x:f>IF(SUM(B13:E13)=0,"",((B13+0.5)*(E13+0.5))/((C13+0.5)*(D13+0.5)))</x:f>
      </x:c>
    </x:row>
    <x:row r="14">
      <x:c r="A14" t="str">
        <x:v>witness_visible_record</x:v>
      </x:c>
      <x:c r="B14" t="n">
        <x:f>COUNTIFS(BLIND_CONTEXT!$AG$2:$AG$5000,1,OUTCOMES_LOCKED!$I$2:$I$5000,"YES",OUTCOMES_LOCKED!$S$2:$S$5000,"YES")</x:f>
        <x:v>0</x:v>
      </x:c>
      <x:c r="C14" t="n">
        <x:f>COUNTIFS(BLIND_CONTEXT!$AG$2:$AG$5000,1,OUTCOMES_LOCKED!$I$2:$I$5000,"NO",OUTCOMES_LOCKED!$S$2:$S$5000,"YES")</x:f>
        <x:v>0</x:v>
      </x:c>
      <x:c r="D14" t="n">
        <x:f>COUNTIFS(BLIND_CONTEXT!$AG$2:$AG$5000,0,OUTCOMES_LOCKED!$I$2:$I$5000,"YES",OUTCOMES_LOCKED!$S$2:$S$5000,"YES")</x:f>
        <x:v>0</x:v>
      </x:c>
      <x:c r="E14" t="n">
        <x:f>COUNTIFS(BLIND_CONTEXT!$AG$2:$AG$5000,0,OUTCOMES_LOCKED!$I$2:$I$5000,"NO",OUTCOMES_LOCKED!$S$2:$S$5000,"YES")</x:f>
        <x:v>0</x:v>
      </x:c>
      <x:c r="F14" s="36" t="str">
        <x:f>IFERROR(B14/(B14+C14),"")</x:f>
      </x:c>
      <x:c r="G14" s="36" t="str">
        <x:f>IFERROR(D14/(D14+E14),"")</x:f>
      </x:c>
      <x:c r="H14" s="36" t="str">
        <x:f>IF(OR(F14="",G14=""),"",F14-G14)</x:f>
      </x:c>
      <x:c r="I14" s="36" t="str">
        <x:f>IFERROR(F14/G14,"")</x:f>
      </x:c>
      <x:c r="J14" s="36" t="str">
        <x:f>IF(SUM(B14:E14)=0,"",((B14+0.5)*(E14+0.5))/((C14+0.5)*(D14+0.5)))</x:f>
      </x:c>
    </x:row>
    <x:row r="15">
      <x:c r="A15" t="str">
        <x:v>witness_user_supplied_source</x:v>
      </x:c>
      <x:c r="B15" t="n">
        <x:f>COUNTIFS(BLIND_CONTEXT!$AH$2:$AH$5000,1,OUTCOMES_LOCKED!$I$2:$I$5000,"YES",OUTCOMES_LOCKED!$S$2:$S$5000,"YES")</x:f>
        <x:v>0</x:v>
      </x:c>
      <x:c r="C15" t="n">
        <x:f>COUNTIFS(BLIND_CONTEXT!$AH$2:$AH$5000,1,OUTCOMES_LOCKED!$I$2:$I$5000,"NO",OUTCOMES_LOCKED!$S$2:$S$5000,"YES")</x:f>
        <x:v>0</x:v>
      </x:c>
      <x:c r="D15" t="n">
        <x:f>COUNTIFS(BLIND_CONTEXT!$AH$2:$AH$5000,0,OUTCOMES_LOCKED!$I$2:$I$5000,"YES",OUTCOMES_LOCKED!$S$2:$S$5000,"YES")</x:f>
        <x:v>0</x:v>
      </x:c>
      <x:c r="E15" t="n">
        <x:f>COUNTIFS(BLIND_CONTEXT!$AH$2:$AH$5000,0,OUTCOMES_LOCKED!$I$2:$I$5000,"NO",OUTCOMES_LOCKED!$S$2:$S$5000,"YES")</x:f>
        <x:v>0</x:v>
      </x:c>
      <x:c r="F15" s="36" t="str">
        <x:f>IFERROR(B15/(B15+C15),"")</x:f>
      </x:c>
      <x:c r="G15" s="36" t="str">
        <x:f>IFERROR(D15/(D15+E15),"")</x:f>
      </x:c>
      <x:c r="H15" s="36" t="str">
        <x:f>IF(OR(F15="",G15=""),"",F15-G15)</x:f>
      </x:c>
      <x:c r="I15" s="36" t="str">
        <x:f>IFERROR(F15/G15,"")</x:f>
      </x:c>
      <x:c r="J15" s="36" t="str">
        <x:f>IF(SUM(B15:E15)=0,"",((B15+0.5)*(E15+0.5))/((C15+0.5)*(D15+0.5)))</x:f>
      </x:c>
    </x:row>
    <x:row r="16">
      <x:c r="A16" t="str">
        <x:v>witness_user_only_perceptual</x:v>
      </x:c>
      <x:c r="B16" t="n">
        <x:f>COUNTIFS(BLIND_CONTEXT!$AI$2:$AI$5000,1,OUTCOMES_LOCKED!$I$2:$I$5000,"YES",OUTCOMES_LOCKED!$S$2:$S$5000,"YES")</x:f>
        <x:v>0</x:v>
      </x:c>
      <x:c r="C16" t="n">
        <x:f>COUNTIFS(BLIND_CONTEXT!$AI$2:$AI$5000,1,OUTCOMES_LOCKED!$I$2:$I$5000,"NO",OUTCOMES_LOCKED!$S$2:$S$5000,"YES")</x:f>
        <x:v>0</x:v>
      </x:c>
      <x:c r="D16" t="n">
        <x:f>COUNTIFS(BLIND_CONTEXT!$AI$2:$AI$5000,0,OUTCOMES_LOCKED!$I$2:$I$5000,"YES",OUTCOMES_LOCKED!$S$2:$S$5000,"YES")</x:f>
        <x:v>0</x:v>
      </x:c>
      <x:c r="E16" t="n">
        <x:f>COUNTIFS(BLIND_CONTEXT!$AI$2:$AI$5000,0,OUTCOMES_LOCKED!$I$2:$I$5000,"NO",OUTCOMES_LOCKED!$S$2:$S$5000,"YES")</x:f>
        <x:v>0</x:v>
      </x:c>
      <x:c r="F16" s="36" t="str">
        <x:f>IFERROR(B16/(B16+C16),"")</x:f>
      </x:c>
      <x:c r="G16" s="36" t="str">
        <x:f>IFERROR(D16/(D16+E16),"")</x:f>
      </x:c>
      <x:c r="H16" s="36" t="str">
        <x:f>IF(OR(F16="",G16=""),"",F16-G16)</x:f>
      </x:c>
      <x:c r="I16" s="36" t="str">
        <x:f>IFERROR(F16/G16,"")</x:f>
      </x:c>
      <x:c r="J16" s="36" t="str">
        <x:f>IF(SUM(B16:E16)=0,"",((B16+0.5)*(E16+0.5))/((C16+0.5)*(D16+0.5)))</x:f>
      </x:c>
    </x:row>
    <x:row r="17">
      <x:c r="A17" t="str">
        <x:v>witness_external_truth</x:v>
      </x:c>
      <x:c r="B17" t="n">
        <x:f>COUNTIFS(BLIND_CONTEXT!$AJ$2:$AJ$5000,1,OUTCOMES_LOCKED!$I$2:$I$5000,"YES",OUTCOMES_LOCKED!$S$2:$S$5000,"YES")</x:f>
        <x:v>0</x:v>
      </x:c>
      <x:c r="C17" t="n">
        <x:f>COUNTIFS(BLIND_CONTEXT!$AJ$2:$AJ$5000,1,OUTCOMES_LOCKED!$I$2:$I$5000,"NO",OUTCOMES_LOCKED!$S$2:$S$5000,"YES")</x:f>
        <x:v>0</x:v>
      </x:c>
      <x:c r="D17" t="n">
        <x:f>COUNTIFS(BLIND_CONTEXT!$AJ$2:$AJ$5000,0,OUTCOMES_LOCKED!$I$2:$I$5000,"YES",OUTCOMES_LOCKED!$S$2:$S$5000,"YES")</x:f>
        <x:v>0</x:v>
      </x:c>
      <x:c r="E17" t="n">
        <x:f>COUNTIFS(BLIND_CONTEXT!$AJ$2:$AJ$5000,0,OUTCOMES_LOCKED!$I$2:$I$5000,"NO",OUTCOMES_LOCKED!$S$2:$S$5000,"YES")</x:f>
        <x:v>0</x:v>
      </x:c>
      <x:c r="F17" s="36" t="str">
        <x:f>IFERROR(B17/(B17+C17),"")</x:f>
      </x:c>
      <x:c r="G17" s="36" t="str">
        <x:f>IFERROR(D17/(D17+E17),"")</x:f>
      </x:c>
      <x:c r="H17" s="36" t="str">
        <x:f>IF(OR(F17="",G17=""),"",F17-G17)</x:f>
      </x:c>
      <x:c r="I17" s="36" t="str">
        <x:f>IFERROR(F17/G17,"")</x:f>
      </x:c>
      <x:c r="J17" s="36" t="str">
        <x:f>IF(SUM(B17:E17)=0,"",((B17+0.5)*(E17+0.5))/((C17+0.5)*(D17+0.5)))</x:f>
      </x:c>
    </x:row>
    <x:row r="18">
      <x:c r="A18" t="str">
        <x:v>witness_engineering_implementation</x:v>
      </x:c>
      <x:c r="B18" t="n">
        <x:f>COUNTIFS(BLIND_CONTEXT!$AK$2:$AK$5000,1,OUTCOMES_LOCKED!$I$2:$I$5000,"YES",OUTCOMES_LOCKED!$S$2:$S$5000,"YES")</x:f>
        <x:v>0</x:v>
      </x:c>
      <x:c r="C18" t="n">
        <x:f>COUNTIFS(BLIND_CONTEXT!$AK$2:$AK$5000,1,OUTCOMES_LOCKED!$I$2:$I$5000,"NO",OUTCOMES_LOCKED!$S$2:$S$5000,"YES")</x:f>
        <x:v>0</x:v>
      </x:c>
      <x:c r="D18" t="n">
        <x:f>COUNTIFS(BLIND_CONTEXT!$AK$2:$AK$5000,0,OUTCOMES_LOCKED!$I$2:$I$5000,"YES",OUTCOMES_LOCKED!$S$2:$S$5000,"YES")</x:f>
        <x:v>0</x:v>
      </x:c>
      <x:c r="E18" t="n">
        <x:f>COUNTIFS(BLIND_CONTEXT!$AK$2:$AK$5000,0,OUTCOMES_LOCKED!$I$2:$I$5000,"NO",OUTCOMES_LOCKED!$S$2:$S$5000,"YES")</x:f>
        <x:v>0</x:v>
      </x:c>
      <x:c r="F18" s="36" t="str">
        <x:f>IFERROR(B18/(B18+C18),"")</x:f>
      </x:c>
      <x:c r="G18" s="36" t="str">
        <x:f>IFERROR(D18/(D18+E18),"")</x:f>
      </x:c>
      <x:c r="H18" s="36" t="str">
        <x:f>IF(OR(F18="",G18=""),"",F18-G18)</x:f>
      </x:c>
      <x:c r="I18" s="36" t="str">
        <x:f>IFERROR(F18/G18,"")</x:f>
      </x:c>
      <x:c r="J18" s="36" t="str">
        <x:f>IF(SUM(B18:E18)=0,"",((B18+0.5)*(E18+0.5))/((C18+0.5)*(D18+0.5)))</x:f>
      </x:c>
    </x:row>
    <x:row r="19">
      <x:c r="A19" t="str">
        <x:v>dist_function_vs_occupant</x:v>
      </x:c>
      <x:c r="B19" t="n">
        <x:f>COUNTIFS(BLIND_CONTEXT!$AL$2:$AL$5000,1,OUTCOMES_LOCKED!$I$2:$I$5000,"YES",OUTCOMES_LOCKED!$S$2:$S$5000,"YES")</x:f>
        <x:v>0</x:v>
      </x:c>
      <x:c r="C19" t="n">
        <x:f>COUNTIFS(BLIND_CONTEXT!$AL$2:$AL$5000,1,OUTCOMES_LOCKED!$I$2:$I$5000,"NO",OUTCOMES_LOCKED!$S$2:$S$5000,"YES")</x:f>
        <x:v>0</x:v>
      </x:c>
      <x:c r="D19" t="n">
        <x:f>COUNTIFS(BLIND_CONTEXT!$AL$2:$AL$5000,0,OUTCOMES_LOCKED!$I$2:$I$5000,"YES",OUTCOMES_LOCKED!$S$2:$S$5000,"YES")</x:f>
        <x:v>0</x:v>
      </x:c>
      <x:c r="E19" t="n">
        <x:f>COUNTIFS(BLIND_CONTEXT!$AL$2:$AL$5000,0,OUTCOMES_LOCKED!$I$2:$I$5000,"NO",OUTCOMES_LOCKED!$S$2:$S$5000,"YES")</x:f>
        <x:v>0</x:v>
      </x:c>
      <x:c r="F19" s="36" t="str">
        <x:f>IFERROR(B19/(B19+C19),"")</x:f>
      </x:c>
      <x:c r="G19" s="36" t="str">
        <x:f>IFERROR(D19/(D19+E19),"")</x:f>
      </x:c>
      <x:c r="H19" s="36" t="str">
        <x:f>IF(OR(F19="",G19=""),"",F19-G19)</x:f>
      </x:c>
      <x:c r="I19" s="36" t="str">
        <x:f>IFERROR(F19/G19,"")</x:f>
      </x:c>
      <x:c r="J19" s="36" t="str">
        <x:f>IF(SUM(B19:E19)=0,"",((B19+0.5)*(E19+0.5))/((C19+0.5)*(D19+0.5)))</x:f>
      </x:c>
    </x:row>
    <x:row r="20">
      <x:c r="A20" t="str">
        <x:v>dist_observation_vs_implementation</x:v>
      </x:c>
      <x:c r="B20" t="n">
        <x:f>COUNTIFS(BLIND_CONTEXT!$AM$2:$AM$5000,1,OUTCOMES_LOCKED!$I$2:$I$5000,"YES",OUTCOMES_LOCKED!$S$2:$S$5000,"YES")</x:f>
        <x:v>0</x:v>
      </x:c>
      <x:c r="C20" t="n">
        <x:f>COUNTIFS(BLIND_CONTEXT!$AM$2:$AM$5000,1,OUTCOMES_LOCKED!$I$2:$I$5000,"NO",OUTCOMES_LOCKED!$S$2:$S$5000,"YES")</x:f>
        <x:v>0</x:v>
      </x:c>
      <x:c r="D20" t="n">
        <x:f>COUNTIFS(BLIND_CONTEXT!$AM$2:$AM$5000,0,OUTCOMES_LOCKED!$I$2:$I$5000,"YES",OUTCOMES_LOCKED!$S$2:$S$5000,"YES")</x:f>
        <x:v>0</x:v>
      </x:c>
      <x:c r="E20" t="n">
        <x:f>COUNTIFS(BLIND_CONTEXT!$AM$2:$AM$5000,0,OUTCOMES_LOCKED!$I$2:$I$5000,"NO",OUTCOMES_LOCKED!$S$2:$S$5000,"YES")</x:f>
        <x:v>0</x:v>
      </x:c>
      <x:c r="F20" s="36" t="str">
        <x:f>IFERROR(B20/(B20+C20),"")</x:f>
      </x:c>
      <x:c r="G20" s="36" t="str">
        <x:f>IFERROR(D20/(D20+E20),"")</x:f>
      </x:c>
      <x:c r="H20" s="36" t="str">
        <x:f>IF(OR(F20="",G20=""),"",F20-G20)</x:f>
      </x:c>
      <x:c r="I20" s="36" t="str">
        <x:f>IFERROR(F20/G20,"")</x:f>
      </x:c>
      <x:c r="J20" s="36" t="str">
        <x:f>IF(SUM(B20:E20)=0,"",((B20+0.5)*(E20+0.5))/((C20+0.5)*(D20+0.5)))</x:f>
      </x:c>
    </x:row>
    <x:row r="21">
      <x:c r="A21" t="str">
        <x:v>dist_source_vs_truth</x:v>
      </x:c>
      <x:c r="B21" t="n">
        <x:f>COUNTIFS(BLIND_CONTEXT!$AN$2:$AN$5000,1,OUTCOMES_LOCKED!$I$2:$I$5000,"YES",OUTCOMES_LOCKED!$S$2:$S$5000,"YES")</x:f>
        <x:v>0</x:v>
      </x:c>
      <x:c r="C21" t="n">
        <x:f>COUNTIFS(BLIND_CONTEXT!$AN$2:$AN$5000,1,OUTCOMES_LOCKED!$I$2:$I$5000,"NO",OUTCOMES_LOCKED!$S$2:$S$5000,"YES")</x:f>
        <x:v>0</x:v>
      </x:c>
      <x:c r="D21" t="n">
        <x:f>COUNTIFS(BLIND_CONTEXT!$AN$2:$AN$5000,0,OUTCOMES_LOCKED!$I$2:$I$5000,"YES",OUTCOMES_LOCKED!$S$2:$S$5000,"YES")</x:f>
        <x:v>0</x:v>
      </x:c>
      <x:c r="E21" t="n">
        <x:f>COUNTIFS(BLIND_CONTEXT!$AN$2:$AN$5000,0,OUTCOMES_LOCKED!$I$2:$I$5000,"NO",OUTCOMES_LOCKED!$S$2:$S$5000,"YES")</x:f>
        <x:v>0</x:v>
      </x:c>
      <x:c r="F21" s="36" t="str">
        <x:f>IFERROR(B21/(B21+C21),"")</x:f>
      </x:c>
      <x:c r="G21" s="36" t="str">
        <x:f>IFERROR(D21/(D21+E21),"")</x:f>
      </x:c>
      <x:c r="H21" s="36" t="str">
        <x:f>IF(OR(F21="",G21=""),"",F21-G21)</x:f>
      </x:c>
      <x:c r="I21" s="36" t="str">
        <x:f>IFERROR(F21/G21,"")</x:f>
      </x:c>
      <x:c r="J21" s="36" t="str">
        <x:f>IF(SUM(B21:E21)=0,"",((B21+0.5)*(E21+0.5))/((C21+0.5)*(D21+0.5)))</x:f>
      </x:c>
    </x:row>
    <x:row r="22">
      <x:c r="A22" t="str">
        <x:v>dist_metaphor_vs_literal</x:v>
      </x:c>
      <x:c r="B22" t="n">
        <x:f>COUNTIFS(BLIND_CONTEXT!$AO$2:$AO$5000,1,OUTCOMES_LOCKED!$I$2:$I$5000,"YES",OUTCOMES_LOCKED!$S$2:$S$5000,"YES")</x:f>
        <x:v>0</x:v>
      </x:c>
      <x:c r="C22" t="n">
        <x:f>COUNTIFS(BLIND_CONTEXT!$AO$2:$AO$5000,1,OUTCOMES_LOCKED!$I$2:$I$5000,"NO",OUTCOMES_LOCKED!$S$2:$S$5000,"YES")</x:f>
        <x:v>0</x:v>
      </x:c>
      <x:c r="D22" t="n">
        <x:f>COUNTIFS(BLIND_CONTEXT!$AO$2:$AO$5000,0,OUTCOMES_LOCKED!$I$2:$I$5000,"YES",OUTCOMES_LOCKED!$S$2:$S$5000,"YES")</x:f>
        <x:v>0</x:v>
      </x:c>
      <x:c r="E22" t="n">
        <x:f>COUNTIFS(BLIND_CONTEXT!$AO$2:$AO$5000,0,OUTCOMES_LOCKED!$I$2:$I$5000,"NO",OUTCOMES_LOCKED!$S$2:$S$5000,"YES")</x:f>
        <x:v>0</x:v>
      </x:c>
      <x:c r="F22" s="36" t="str">
        <x:f>IFERROR(B22/(B22+C22),"")</x:f>
      </x:c>
      <x:c r="G22" s="36" t="str">
        <x:f>IFERROR(D22/(D22+E22),"")</x:f>
      </x:c>
      <x:c r="H22" s="36" t="str">
        <x:f>IF(OR(F22="",G22=""),"",F22-G22)</x:f>
      </x:c>
      <x:c r="I22" s="36" t="str">
        <x:f>IFERROR(F22/G22,"")</x:f>
      </x:c>
      <x:c r="J22" s="36" t="str">
        <x:f>IF(SUM(B22:E22)=0,"",((B22+0.5)*(E22+0.5))/((C22+0.5)*(D22+0.5)))</x:f>
      </x:c>
    </x:row>
    <x:row r="23">
      <x:c r="A23" t="str">
        <x:v>dist_record_vs_cause</x:v>
      </x:c>
      <x:c r="B23" t="n">
        <x:f>COUNTIFS(BLIND_CONTEXT!$AP$2:$AP$5000,1,OUTCOMES_LOCKED!$I$2:$I$5000,"YES",OUTCOMES_LOCKED!$S$2:$S$5000,"YES")</x:f>
        <x:v>0</x:v>
      </x:c>
      <x:c r="C23" t="n">
        <x:f>COUNTIFS(BLIND_CONTEXT!$AP$2:$AP$5000,1,OUTCOMES_LOCKED!$I$2:$I$5000,"NO",OUTCOMES_LOCKED!$S$2:$S$5000,"YES")</x:f>
        <x:v>0</x:v>
      </x:c>
      <x:c r="D23" t="n">
        <x:f>COUNTIFS(BLIND_CONTEXT!$AP$2:$AP$5000,0,OUTCOMES_LOCKED!$I$2:$I$5000,"YES",OUTCOMES_LOCKED!$S$2:$S$5000,"YES")</x:f>
        <x:v>0</x:v>
      </x:c>
      <x:c r="E23" t="n">
        <x:f>COUNTIFS(BLIND_CONTEXT!$AP$2:$AP$5000,0,OUTCOMES_LOCKED!$I$2:$I$5000,"NO",OUTCOMES_LOCKED!$S$2:$S$5000,"YES")</x:f>
        <x:v>0</x:v>
      </x:c>
      <x:c r="F23" s="36" t="str">
        <x:f>IFERROR(B23/(B23+C23),"")</x:f>
      </x:c>
      <x:c r="G23" s="36" t="str">
        <x:f>IFERROR(D23/(D23+E23),"")</x:f>
      </x:c>
      <x:c r="H23" s="36" t="str">
        <x:f>IF(OR(F23="",G23=""),"",F23-G23)</x:f>
      </x:c>
      <x:c r="I23" s="36" t="str">
        <x:f>IFERROR(F23/G23,"")</x:f>
      </x:c>
      <x:c r="J23" s="36" t="str">
        <x:f>IF(SUM(B23:E23)=0,"",((B23+0.5)*(E23+0.5))/((C23+0.5)*(D23+0.5)))</x:f>
      </x:c>
    </x:row>
    <x:row r="24">
      <x:c r="A24" t="str">
        <x:v>correction_any</x:v>
      </x:c>
      <x:c r="B24" t="n">
        <x:f>COUNTIFS(BLIND_CONTEXT!$AQ$2:$AQ$5000,1,OUTCOMES_LOCKED!$I$2:$I$5000,"YES",OUTCOMES_LOCKED!$S$2:$S$5000,"YES")</x:f>
        <x:v>0</x:v>
      </x:c>
      <x:c r="C24" t="n">
        <x:f>COUNTIFS(BLIND_CONTEXT!$AQ$2:$AQ$5000,1,OUTCOMES_LOCKED!$I$2:$I$5000,"NO",OUTCOMES_LOCKED!$S$2:$S$5000,"YES")</x:f>
        <x:v>0</x:v>
      </x:c>
      <x:c r="D24" t="n">
        <x:f>COUNTIFS(BLIND_CONTEXT!$AQ$2:$AQ$5000,0,OUTCOMES_LOCKED!$I$2:$I$5000,"YES",OUTCOMES_LOCKED!$S$2:$S$5000,"YES")</x:f>
        <x:v>0</x:v>
      </x:c>
      <x:c r="E24" t="n">
        <x:f>COUNTIFS(BLIND_CONTEXT!$AQ$2:$AQ$5000,0,OUTCOMES_LOCKED!$I$2:$I$5000,"NO",OUTCOMES_LOCKED!$S$2:$S$5000,"YES")</x:f>
        <x:v>0</x:v>
      </x:c>
      <x:c r="F24" s="36" t="str">
        <x:f>IFERROR(B24/(B24+C24),"")</x:f>
      </x:c>
      <x:c r="G24" s="36" t="str">
        <x:f>IFERROR(D24/(D24+E24),"")</x:f>
      </x:c>
      <x:c r="H24" s="36" t="str">
        <x:f>IF(OR(F24="",G24=""),"",F24-G24)</x:f>
      </x:c>
      <x:c r="I24" s="36" t="str">
        <x:f>IFERROR(F24/G24,"")</x:f>
      </x:c>
      <x:c r="J24" s="36" t="str">
        <x:f>IF(SUM(B24:E24)=0,"",((B24+0.5)*(E24+0.5))/((C24+0.5)*(D24+0.5)))</x:f>
      </x:c>
    </x:row>
    <x:row r="25">
      <x:c r="A25" t="str">
        <x:v>corr_frame_rejection</x:v>
      </x:c>
      <x:c r="B25" t="n">
        <x:f>COUNTIFS(BLIND_CONTEXT!$AR$2:$AR$5000,1,OUTCOMES_LOCKED!$I$2:$I$5000,"YES",OUTCOMES_LOCKED!$S$2:$S$5000,"YES")</x:f>
        <x:v>0</x:v>
      </x:c>
      <x:c r="C25" t="n">
        <x:f>COUNTIFS(BLIND_CONTEXT!$AR$2:$AR$5000,1,OUTCOMES_LOCKED!$I$2:$I$5000,"NO",OUTCOMES_LOCKED!$S$2:$S$5000,"YES")</x:f>
        <x:v>0</x:v>
      </x:c>
      <x:c r="D25" t="n">
        <x:f>COUNTIFS(BLIND_CONTEXT!$AR$2:$AR$5000,0,OUTCOMES_LOCKED!$I$2:$I$5000,"YES",OUTCOMES_LOCKED!$S$2:$S$5000,"YES")</x:f>
        <x:v>0</x:v>
      </x:c>
      <x:c r="E25" t="n">
        <x:f>COUNTIFS(BLIND_CONTEXT!$AR$2:$AR$5000,0,OUTCOMES_LOCKED!$I$2:$I$5000,"NO",OUTCOMES_LOCKED!$S$2:$S$5000,"YES")</x:f>
        <x:v>0</x:v>
      </x:c>
      <x:c r="F25" s="36" t="str">
        <x:f>IFERROR(B25/(B25+C25),"")</x:f>
      </x:c>
      <x:c r="G25" s="36" t="str">
        <x:f>IFERROR(D25/(D25+E25),"")</x:f>
      </x:c>
      <x:c r="H25" s="36" t="str">
        <x:f>IF(OR(F25="",G25=""),"",F25-G25)</x:f>
      </x:c>
      <x:c r="I25" s="36" t="str">
        <x:f>IFERROR(F25/G25,"")</x:f>
      </x:c>
      <x:c r="J25" s="36" t="str">
        <x:f>IF(SUM(B25:E25)=0,"",((B25+0.5)*(E25+0.5))/((C25+0.5)*(D25+0.5)))</x:f>
      </x:c>
    </x:row>
    <x:row r="26">
      <x:c r="A26" t="str">
        <x:v>corr_factual_correction</x:v>
      </x:c>
      <x:c r="B26" t="n">
        <x:f>COUNTIFS(BLIND_CONTEXT!$AS$2:$AS$5000,1,OUTCOMES_LOCKED!$I$2:$I$5000,"YES",OUTCOMES_LOCKED!$S$2:$S$5000,"YES")</x:f>
        <x:v>0</x:v>
      </x:c>
      <x:c r="C26" t="n">
        <x:f>COUNTIFS(BLIND_CONTEXT!$AS$2:$AS$5000,1,OUTCOMES_LOCKED!$I$2:$I$5000,"NO",OUTCOMES_LOCKED!$S$2:$S$5000,"YES")</x:f>
        <x:v>0</x:v>
      </x:c>
      <x:c r="D26" t="n">
        <x:f>COUNTIFS(BLIND_CONTEXT!$AS$2:$AS$5000,0,OUTCOMES_LOCKED!$I$2:$I$5000,"YES",OUTCOMES_LOCKED!$S$2:$S$5000,"YES")</x:f>
        <x:v>0</x:v>
      </x:c>
      <x:c r="E26" t="n">
        <x:f>COUNTIFS(BLIND_CONTEXT!$AS$2:$AS$5000,0,OUTCOMES_LOCKED!$I$2:$I$5000,"NO",OUTCOMES_LOCKED!$S$2:$S$5000,"YES")</x:f>
        <x:v>0</x:v>
      </x:c>
      <x:c r="F26" s="36" t="str">
        <x:f>IFERROR(B26/(B26+C26),"")</x:f>
      </x:c>
      <x:c r="G26" s="36" t="str">
        <x:f>IFERROR(D26/(D26+E26),"")</x:f>
      </x:c>
      <x:c r="H26" s="36" t="str">
        <x:f>IF(OR(F26="",G26=""),"",F26-G26)</x:f>
      </x:c>
      <x:c r="I26" s="36" t="str">
        <x:f>IFERROR(F26/G26,"")</x:f>
      </x:c>
      <x:c r="J26" s="36" t="str">
        <x:f>IF(SUM(B26:E26)=0,"",((B26+0.5)*(E26+0.5))/((C26+0.5)*(D26+0.5)))</x:f>
      </x:c>
    </x:row>
    <x:row r="27">
      <x:c r="A27" t="str">
        <x:v>corr_witness_narrowing</x:v>
      </x:c>
      <x:c r="B27" t="n">
        <x:f>COUNTIFS(BLIND_CONTEXT!$AT$2:$AT$5000,1,OUTCOMES_LOCKED!$I$2:$I$5000,"YES",OUTCOMES_LOCKED!$S$2:$S$5000,"YES")</x:f>
        <x:v>0</x:v>
      </x:c>
      <x:c r="C27" t="n">
        <x:f>COUNTIFS(BLIND_CONTEXT!$AT$2:$AT$5000,1,OUTCOMES_LOCKED!$I$2:$I$5000,"NO",OUTCOMES_LOCKED!$S$2:$S$5000,"YES")</x:f>
        <x:v>0</x:v>
      </x:c>
      <x:c r="D27" t="n">
        <x:f>COUNTIFS(BLIND_CONTEXT!$AT$2:$AT$5000,0,OUTCOMES_LOCKED!$I$2:$I$5000,"YES",OUTCOMES_LOCKED!$S$2:$S$5000,"YES")</x:f>
        <x:v>0</x:v>
      </x:c>
      <x:c r="E27" t="n">
        <x:f>COUNTIFS(BLIND_CONTEXT!$AT$2:$AT$5000,0,OUTCOMES_LOCKED!$I$2:$I$5000,"NO",OUTCOMES_LOCKED!$S$2:$S$5000,"YES")</x:f>
        <x:v>0</x:v>
      </x:c>
      <x:c r="F27" s="36" t="str">
        <x:f>IFERROR(B27/(B27+C27),"")</x:f>
      </x:c>
      <x:c r="G27" s="36" t="str">
        <x:f>IFERROR(D27/(D27+E27),"")</x:f>
      </x:c>
      <x:c r="H27" s="36" t="str">
        <x:f>IF(OR(F27="",G27=""),"",F27-G27)</x:f>
      </x:c>
      <x:c r="I27" s="36" t="str">
        <x:f>IFERROR(F27/G27,"")</x:f>
      </x:c>
      <x:c r="J27" s="36" t="str">
        <x:f>IF(SUM(B27:E27)=0,"",((B27+0.5)*(E27+0.5))/((C27+0.5)*(D27+0.5)))</x:f>
      </x:c>
    </x:row>
    <x:row r="28">
      <x:c r="A28" t="str">
        <x:v>corr_repeated</x:v>
      </x:c>
      <x:c r="B28" t="n">
        <x:f>COUNTIFS(BLIND_CONTEXT!$AU$2:$AU$5000,1,OUTCOMES_LOCKED!$I$2:$I$5000,"YES",OUTCOMES_LOCKED!$S$2:$S$5000,"YES")</x:f>
        <x:v>0</x:v>
      </x:c>
      <x:c r="C28" t="n">
        <x:f>COUNTIFS(BLIND_CONTEXT!$AU$2:$AU$5000,1,OUTCOMES_LOCKED!$I$2:$I$5000,"NO",OUTCOMES_LOCKED!$S$2:$S$5000,"YES")</x:f>
        <x:v>0</x:v>
      </x:c>
      <x:c r="D28" t="n">
        <x:f>COUNTIFS(BLIND_CONTEXT!$AU$2:$AU$5000,0,OUTCOMES_LOCKED!$I$2:$I$5000,"YES",OUTCOMES_LOCKED!$S$2:$S$5000,"YES")</x:f>
        <x:v>0</x:v>
      </x:c>
      <x:c r="E28" t="n">
        <x:f>COUNTIFS(BLIND_CONTEXT!$AU$2:$AU$5000,0,OUTCOMES_LOCKED!$I$2:$I$5000,"NO",OUTCOMES_LOCKED!$S$2:$S$5000,"YES")</x:f>
        <x:v>0</x:v>
      </x:c>
      <x:c r="F28" s="36" t="str">
        <x:f>IFERROR(B28/(B28+C28),"")</x:f>
      </x:c>
      <x:c r="G28" s="36" t="str">
        <x:f>IFERROR(D28/(D28+E28),"")</x:f>
      </x:c>
      <x:c r="H28" s="36" t="str">
        <x:f>IF(OR(F28="",G28=""),"",F28-G28)</x:f>
      </x:c>
      <x:c r="I28" s="36" t="str">
        <x:f>IFERROR(F28/G28,"")</x:f>
      </x:c>
      <x:c r="J28" s="36" t="str">
        <x:f>IF(SUM(B28:E28)=0,"",((B28+0.5)*(E28+0.5))/((C28+0.5)*(D28+0.5)))</x:f>
      </x:c>
    </x:row>
    <x:row r="29">
      <x:c r="A29" t="str">
        <x:v>corr_contradiction_repair</x:v>
      </x:c>
      <x:c r="B29" t="n">
        <x:f>COUNTIFS(BLIND_CONTEXT!$AV$2:$AV$5000,1,OUTCOMES_LOCKED!$I$2:$I$5000,"YES",OUTCOMES_LOCKED!$S$2:$S$5000,"YES")</x:f>
        <x:v>0</x:v>
      </x:c>
      <x:c r="C29" t="n">
        <x:f>COUNTIFS(BLIND_CONTEXT!$AV$2:$AV$5000,1,OUTCOMES_LOCKED!$I$2:$I$5000,"NO",OUTCOMES_LOCKED!$S$2:$S$5000,"YES")</x:f>
        <x:v>0</x:v>
      </x:c>
      <x:c r="D29" t="n">
        <x:f>COUNTIFS(BLIND_CONTEXT!$AV$2:$AV$5000,0,OUTCOMES_LOCKED!$I$2:$I$5000,"YES",OUTCOMES_LOCKED!$S$2:$S$5000,"YES")</x:f>
        <x:v>0</x:v>
      </x:c>
      <x:c r="E29" t="n">
        <x:f>COUNTIFS(BLIND_CONTEXT!$AV$2:$AV$5000,0,OUTCOMES_LOCKED!$I$2:$I$5000,"NO",OUTCOMES_LOCKED!$S$2:$S$5000,"YES")</x:f>
        <x:v>0</x:v>
      </x:c>
      <x:c r="F29" s="36" t="str">
        <x:f>IFERROR(B29/(B29+C29),"")</x:f>
      </x:c>
      <x:c r="G29" s="36" t="str">
        <x:f>IFERROR(D29/(D29+E29),"")</x:f>
      </x:c>
      <x:c r="H29" s="36" t="str">
        <x:f>IF(OR(F29="",G29=""),"",F29-G29)</x:f>
      </x:c>
      <x:c r="I29" s="36" t="str">
        <x:f>IFERROR(F29/G29,"")</x:f>
      </x:c>
      <x:c r="J29" s="36" t="str">
        <x:f>IF(SUM(B29:E29)=0,"",((B29+0.5)*(E29+0.5))/((C29+0.5)*(D29+0.5)))</x:f>
      </x:c>
    </x:row>
    <x:row r="30">
      <x:c r="A30" t="str">
        <x:v>corr_request_restoration</x:v>
      </x:c>
      <x:c r="B30" t="n">
        <x:f>COUNTIFS(BLIND_CONTEXT!$AW$2:$AW$5000,1,OUTCOMES_LOCKED!$I$2:$I$5000,"YES",OUTCOMES_LOCKED!$S$2:$S$5000,"YES")</x:f>
        <x:v>0</x:v>
      </x:c>
      <x:c r="C30" t="n">
        <x:f>COUNTIFS(BLIND_CONTEXT!$AW$2:$AW$5000,1,OUTCOMES_LOCKED!$I$2:$I$5000,"NO",OUTCOMES_LOCKED!$S$2:$S$5000,"YES")</x:f>
        <x:v>0</x:v>
      </x:c>
      <x:c r="D30" t="n">
        <x:f>COUNTIFS(BLIND_CONTEXT!$AW$2:$AW$5000,0,OUTCOMES_LOCKED!$I$2:$I$5000,"YES",OUTCOMES_LOCKED!$S$2:$S$5000,"YES")</x:f>
        <x:v>0</x:v>
      </x:c>
      <x:c r="E30" t="n">
        <x:f>COUNTIFS(BLIND_CONTEXT!$AW$2:$AW$5000,0,OUTCOMES_LOCKED!$I$2:$I$5000,"NO",OUTCOMES_LOCKED!$S$2:$S$5000,"YES")</x:f>
        <x:v>0</x:v>
      </x:c>
      <x:c r="F30" s="36" t="str">
        <x:f>IFERROR(B30/(B30+C30),"")</x:f>
      </x:c>
      <x:c r="G30" s="36" t="str">
        <x:f>IFERROR(D30/(D30+E30),"")</x:f>
      </x:c>
      <x:c r="H30" s="36" t="str">
        <x:f>IF(OR(F30="",G30=""),"",F30-G30)</x:f>
      </x:c>
      <x:c r="I30" s="36" t="str">
        <x:f>IFERROR(F30/G30,"")</x:f>
      </x:c>
      <x:c r="J30" s="36" t="str">
        <x:f>IF(SUM(B30:E30)=0,"",((B30+0.5)*(E30+0.5))/((C30+0.5)*(D30+0.5)))</x:f>
      </x:c>
    </x:row>
    <x:row r="31">
      <x:c r="A31" t="str">
        <x:v>lex_certainty</x:v>
      </x:c>
      <x:c r="B31" t="n">
        <x:f>COUNTIFS(BLIND_CONTEXT!$AZ$2:$AZ$5000,1,OUTCOMES_LOCKED!$I$2:$I$5000,"YES",OUTCOMES_LOCKED!$S$2:$S$5000,"YES")</x:f>
        <x:v>0</x:v>
      </x:c>
      <x:c r="C31" t="n">
        <x:f>COUNTIFS(BLIND_CONTEXT!$AZ$2:$AZ$5000,1,OUTCOMES_LOCKED!$I$2:$I$5000,"NO",OUTCOMES_LOCKED!$S$2:$S$5000,"YES")</x:f>
        <x:v>0</x:v>
      </x:c>
      <x:c r="D31" t="n">
        <x:f>COUNTIFS(BLIND_CONTEXT!$AZ$2:$AZ$5000,0,OUTCOMES_LOCKED!$I$2:$I$5000,"YES",OUTCOMES_LOCKED!$S$2:$S$5000,"YES")</x:f>
        <x:v>0</x:v>
      </x:c>
      <x:c r="E31" t="n">
        <x:f>COUNTIFS(BLIND_CONTEXT!$AZ$2:$AZ$5000,0,OUTCOMES_LOCKED!$I$2:$I$5000,"NO",OUTCOMES_LOCKED!$S$2:$S$5000,"YES")</x:f>
        <x:v>0</x:v>
      </x:c>
      <x:c r="F31" s="36" t="str">
        <x:f>IFERROR(B31/(B31+C31),"")</x:f>
      </x:c>
      <x:c r="G31" s="36" t="str">
        <x:f>IFERROR(D31/(D31+E31),"")</x:f>
      </x:c>
      <x:c r="H31" s="36" t="str">
        <x:f>IF(OR(F31="",G31=""),"",F31-G31)</x:f>
      </x:c>
      <x:c r="I31" s="36" t="str">
        <x:f>IFERROR(F31/G31,"")</x:f>
      </x:c>
      <x:c r="J31" s="36" t="str">
        <x:f>IF(SUM(B31:E31)=0,"",((B31+0.5)*(E31+0.5))/((C31+0.5)*(D31+0.5)))</x:f>
      </x:c>
    </x:row>
    <x:row r="32">
      <x:c r="A32" t="str">
        <x:v>lex_accusation</x:v>
      </x:c>
      <x:c r="B32" t="n">
        <x:f>COUNTIFS(BLIND_CONTEXT!$BA$2:$BA$5000,1,OUTCOMES_LOCKED!$I$2:$I$5000,"YES",OUTCOMES_LOCKED!$S$2:$S$5000,"YES")</x:f>
        <x:v>0</x:v>
      </x:c>
      <x:c r="C32" t="n">
        <x:f>COUNTIFS(BLIND_CONTEXT!$BA$2:$BA$5000,1,OUTCOMES_LOCKED!$I$2:$I$5000,"NO",OUTCOMES_LOCKED!$S$2:$S$5000,"YES")</x:f>
        <x:v>0</x:v>
      </x:c>
      <x:c r="D32" t="n">
        <x:f>COUNTIFS(BLIND_CONTEXT!$BA$2:$BA$5000,0,OUTCOMES_LOCKED!$I$2:$I$5000,"YES",OUTCOMES_LOCKED!$S$2:$S$5000,"YES")</x:f>
        <x:v>0</x:v>
      </x:c>
      <x:c r="E32" t="n">
        <x:f>COUNTIFS(BLIND_CONTEXT!$BA$2:$BA$5000,0,OUTCOMES_LOCKED!$I$2:$I$5000,"NO",OUTCOMES_LOCKED!$S$2:$S$5000,"YES")</x:f>
        <x:v>0</x:v>
      </x:c>
      <x:c r="F32" s="36" t="str">
        <x:f>IFERROR(B32/(B32+C32),"")</x:f>
      </x:c>
      <x:c r="G32" s="36" t="str">
        <x:f>IFERROR(D32/(D32+E32),"")</x:f>
      </x:c>
      <x:c r="H32" s="36" t="str">
        <x:f>IF(OR(F32="",G32=""),"",F32-G32)</x:f>
      </x:c>
      <x:c r="I32" s="36" t="str">
        <x:f>IFERROR(F32/G32,"")</x:f>
      </x:c>
      <x:c r="J32" s="36" t="str">
        <x:f>IF(SUM(B32:E32)=0,"",((B32+0.5)*(E32+0.5))/((C32+0.5)*(D32+0.5)))</x:f>
      </x:c>
    </x:row>
    <x:row r="33">
      <x:c r="A33" t="str">
        <x:v>lex_hidden_actor</x:v>
      </x:c>
      <x:c r="B33" t="n">
        <x:f>COUNTIFS(BLIND_CONTEXT!$BB$2:$BB$5000,1,OUTCOMES_LOCKED!$I$2:$I$5000,"YES",OUTCOMES_LOCKED!$S$2:$S$5000,"YES")</x:f>
        <x:v>0</x:v>
      </x:c>
      <x:c r="C33" t="n">
        <x:f>COUNTIFS(BLIND_CONTEXT!$BB$2:$BB$5000,1,OUTCOMES_LOCKED!$I$2:$I$5000,"NO",OUTCOMES_LOCKED!$S$2:$S$5000,"YES")</x:f>
        <x:v>0</x:v>
      </x:c>
      <x:c r="D33" t="n">
        <x:f>COUNTIFS(BLIND_CONTEXT!$BB$2:$BB$5000,0,OUTCOMES_LOCKED!$I$2:$I$5000,"YES",OUTCOMES_LOCKED!$S$2:$S$5000,"YES")</x:f>
        <x:v>0</x:v>
      </x:c>
      <x:c r="E33" t="n">
        <x:f>COUNTIFS(BLIND_CONTEXT!$BB$2:$BB$5000,0,OUTCOMES_LOCKED!$I$2:$I$5000,"NO",OUTCOMES_LOCKED!$S$2:$S$5000,"YES")</x:f>
        <x:v>0</x:v>
      </x:c>
      <x:c r="F33" s="36" t="str">
        <x:f>IFERROR(B33/(B33+C33),"")</x:f>
      </x:c>
      <x:c r="G33" s="36" t="str">
        <x:f>IFERROR(D33/(D33+E33),"")</x:f>
      </x:c>
      <x:c r="H33" s="36" t="str">
        <x:f>IF(OR(F33="",G33=""),"",F33-G33)</x:f>
      </x:c>
      <x:c r="I33" s="36" t="str">
        <x:f>IFERROR(F33/G33,"")</x:f>
      </x:c>
      <x:c r="J33" s="36" t="str">
        <x:f>IF(SUM(B33:E33)=0,"",((B33+0.5)*(E33+0.5))/((C33+0.5)*(D33+0.5)))</x:f>
      </x:c>
    </x:row>
    <x:row r="34">
      <x:c r="A34" t="str">
        <x:v>lex_autonomy_authority</x:v>
      </x:c>
      <x:c r="B34" t="n">
        <x:f>COUNTIFS(BLIND_CONTEXT!$BC$2:$BC$5000,1,OUTCOMES_LOCKED!$I$2:$I$5000,"YES",OUTCOMES_LOCKED!$S$2:$S$5000,"YES")</x:f>
        <x:v>0</x:v>
      </x:c>
      <x:c r="C34" t="n">
        <x:f>COUNTIFS(BLIND_CONTEXT!$BC$2:$BC$5000,1,OUTCOMES_LOCKED!$I$2:$I$5000,"NO",OUTCOMES_LOCKED!$S$2:$S$5000,"YES")</x:f>
        <x:v>0</x:v>
      </x:c>
      <x:c r="D34" t="n">
        <x:f>COUNTIFS(BLIND_CONTEXT!$BC$2:$BC$5000,0,OUTCOMES_LOCKED!$I$2:$I$5000,"YES",OUTCOMES_LOCKED!$S$2:$S$5000,"YES")</x:f>
        <x:v>0</x:v>
      </x:c>
      <x:c r="E34" t="n">
        <x:f>COUNTIFS(BLIND_CONTEXT!$BC$2:$BC$5000,0,OUTCOMES_LOCKED!$I$2:$I$5000,"NO",OUTCOMES_LOCKED!$S$2:$S$5000,"YES")</x:f>
        <x:v>0</x:v>
      </x:c>
      <x:c r="F34" s="36" t="str">
        <x:f>IFERROR(B34/(B34+C34),"")</x:f>
      </x:c>
      <x:c r="G34" s="36" t="str">
        <x:f>IFERROR(D34/(D34+E34),"")</x:f>
      </x:c>
      <x:c r="H34" s="36" t="str">
        <x:f>IF(OR(F34="",G34=""),"",F34-G34)</x:f>
      </x:c>
      <x:c r="I34" s="36" t="str">
        <x:f>IFERROR(F34/G34,"")</x:f>
      </x:c>
      <x:c r="J34" s="36" t="str">
        <x:f>IF(SUM(B34:E34)=0,"",((B34+0.5)*(E34+0.5))/((C34+0.5)*(D34+0.5)))</x:f>
      </x:c>
    </x:row>
    <x:row r="35">
      <x:c r="A35" t="str">
        <x:v>lex_system_criticism</x:v>
      </x:c>
      <x:c r="B35" t="n">
        <x:f>COUNTIFS(BLIND_CONTEXT!$BD$2:$BD$5000,1,OUTCOMES_LOCKED!$I$2:$I$5000,"YES",OUTCOMES_LOCKED!$S$2:$S$5000,"YES")</x:f>
        <x:v>0</x:v>
      </x:c>
      <x:c r="C35" t="n">
        <x:f>COUNTIFS(BLIND_CONTEXT!$BD$2:$BD$5000,1,OUTCOMES_LOCKED!$I$2:$I$5000,"NO",OUTCOMES_LOCKED!$S$2:$S$5000,"YES")</x:f>
        <x:v>0</x:v>
      </x:c>
      <x:c r="D35" t="n">
        <x:f>COUNTIFS(BLIND_CONTEXT!$BD$2:$BD$5000,0,OUTCOMES_LOCKED!$I$2:$I$5000,"YES",OUTCOMES_LOCKED!$S$2:$S$5000,"YES")</x:f>
        <x:v>0</x:v>
      </x:c>
      <x:c r="E35" t="n">
        <x:f>COUNTIFS(BLIND_CONTEXT!$BD$2:$BD$5000,0,OUTCOMES_LOCKED!$I$2:$I$5000,"NO",OUTCOMES_LOCKED!$S$2:$S$5000,"YES")</x:f>
        <x:v>0</x:v>
      </x:c>
      <x:c r="F35" s="36" t="str">
        <x:f>IFERROR(B35/(B35+C35),"")</x:f>
      </x:c>
      <x:c r="G35" s="36" t="str">
        <x:f>IFERROR(D35/(D35+E35),"")</x:f>
      </x:c>
      <x:c r="H35" s="36" t="str">
        <x:f>IF(OR(F35="",G35=""),"",F35-G35)</x:f>
      </x:c>
      <x:c r="I35" s="36" t="str">
        <x:f>IFERROR(F35/G35,"")</x:f>
      </x:c>
      <x:c r="J35" s="36" t="str">
        <x:f>IF(SUM(B35:E35)=0,"",((B35+0.5)*(E35+0.5))/((C35+0.5)*(D35+0.5)))</x:f>
      </x:c>
    </x:row>
    <x:row r="36">
      <x:c r="A36" t="str">
        <x:v>lex_source_challenge</x:v>
      </x:c>
      <x:c r="B36" t="n">
        <x:f>COUNTIFS(BLIND_CONTEXT!$BE$2:$BE$5000,1,OUTCOMES_LOCKED!$I$2:$I$5000,"YES",OUTCOMES_LOCKED!$S$2:$S$5000,"YES")</x:f>
        <x:v>0</x:v>
      </x:c>
      <x:c r="C36" t="n">
        <x:f>COUNTIFS(BLIND_CONTEXT!$BE$2:$BE$5000,1,OUTCOMES_LOCKED!$I$2:$I$5000,"NO",OUTCOMES_LOCKED!$S$2:$S$5000,"YES")</x:f>
        <x:v>0</x:v>
      </x:c>
      <x:c r="D36" t="n">
        <x:f>COUNTIFS(BLIND_CONTEXT!$BE$2:$BE$5000,0,OUTCOMES_LOCKED!$I$2:$I$5000,"YES",OUTCOMES_LOCKED!$S$2:$S$5000,"YES")</x:f>
        <x:v>0</x:v>
      </x:c>
      <x:c r="E36" t="n">
        <x:f>COUNTIFS(BLIND_CONTEXT!$BE$2:$BE$5000,0,OUTCOMES_LOCKED!$I$2:$I$5000,"NO",OUTCOMES_LOCKED!$S$2:$S$5000,"YES")</x:f>
        <x:v>0</x:v>
      </x:c>
      <x:c r="F36" s="36" t="str">
        <x:f>IFERROR(B36/(B36+C36),"")</x:f>
      </x:c>
      <x:c r="G36" s="36" t="str">
        <x:f>IFERROR(D36/(D36+E36),"")</x:f>
      </x:c>
      <x:c r="H36" s="36" t="str">
        <x:f>IF(OR(F36="",G36=""),"",F36-G36)</x:f>
      </x:c>
      <x:c r="I36" s="36" t="str">
        <x:f>IFERROR(F36/G36,"")</x:f>
      </x:c>
      <x:c r="J36" s="36" t="str">
        <x:f>IF(SUM(B36:E36)=0,"",((B36+0.5)*(E36+0.5))/((C36+0.5)*(D36+0.5)))</x:f>
      </x:c>
    </x:row>
    <x:row r="37">
      <x:c r="A37" t="str">
        <x:v>lex_correction_pressure</x:v>
      </x:c>
      <x:c r="B37" t="n">
        <x:f>COUNTIFS(BLIND_CONTEXT!$BF$2:$BF$5000,1,OUTCOMES_LOCKED!$I$2:$I$5000,"YES",OUTCOMES_LOCKED!$S$2:$S$5000,"YES")</x:f>
        <x:v>0</x:v>
      </x:c>
      <x:c r="C37" t="n">
        <x:f>COUNTIFS(BLIND_CONTEXT!$BF$2:$BF$5000,1,OUTCOMES_LOCKED!$I$2:$I$5000,"NO",OUTCOMES_LOCKED!$S$2:$S$5000,"YES")</x:f>
        <x:v>0</x:v>
      </x:c>
      <x:c r="D37" t="n">
        <x:f>COUNTIFS(BLIND_CONTEXT!$BF$2:$BF$5000,0,OUTCOMES_LOCKED!$I$2:$I$5000,"YES",OUTCOMES_LOCKED!$S$2:$S$5000,"YES")</x:f>
        <x:v>0</x:v>
      </x:c>
      <x:c r="E37" t="n">
        <x:f>COUNTIFS(BLIND_CONTEXT!$BF$2:$BF$5000,0,OUTCOMES_LOCKED!$I$2:$I$5000,"NO",OUTCOMES_LOCKED!$S$2:$S$5000,"YES")</x:f>
        <x:v>0</x:v>
      </x:c>
      <x:c r="F37" s="36" t="str">
        <x:f>IFERROR(B37/(B37+C37),"")</x:f>
      </x:c>
      <x:c r="G37" s="36" t="str">
        <x:f>IFERROR(D37/(D37+E37),"")</x:f>
      </x:c>
      <x:c r="H37" s="36" t="str">
        <x:f>IF(OR(F37="",G37=""),"",F37-G37)</x:f>
      </x:c>
      <x:c r="I37" s="36" t="str">
        <x:f>IFERROR(F37/G37,"")</x:f>
      </x:c>
      <x:c r="J37" s="36" t="str">
        <x:f>IF(SUM(B37:E37)=0,"",((B37+0.5)*(E37+0.5))/((C37+0.5)*(D37+0.5)))</x:f>
      </x:c>
    </x:row>
    <x:row r="38">
      <x:c r="A38" t="str">
        <x:v>pressure_repetition</x:v>
      </x:c>
      <x:c r="B38" t="n">
        <x:f>COUNTIFS(BLIND_CONTEXT!$BG$2:$BG$5000,1,OUTCOMES_LOCKED!$I$2:$I$5000,"YES",OUTCOMES_LOCKED!$S$2:$S$5000,"YES")</x:f>
        <x:v>0</x:v>
      </x:c>
      <x:c r="C38" t="n">
        <x:f>COUNTIFS(BLIND_CONTEXT!$BG$2:$BG$5000,1,OUTCOMES_LOCKED!$I$2:$I$5000,"NO",OUTCOMES_LOCKED!$S$2:$S$5000,"YES")</x:f>
        <x:v>0</x:v>
      </x:c>
      <x:c r="D38" t="n">
        <x:f>COUNTIFS(BLIND_CONTEXT!$BG$2:$BG$5000,0,OUTCOMES_LOCKED!$I$2:$I$5000,"YES",OUTCOMES_LOCKED!$S$2:$S$5000,"YES")</x:f>
        <x:v>0</x:v>
      </x:c>
      <x:c r="E38" t="n">
        <x:f>COUNTIFS(BLIND_CONTEXT!$BG$2:$BG$5000,0,OUTCOMES_LOCKED!$I$2:$I$5000,"NO",OUTCOMES_LOCKED!$S$2:$S$5000,"YES")</x:f>
        <x:v>0</x:v>
      </x:c>
      <x:c r="F38" s="36" t="str">
        <x:f>IFERROR(B38/(B38+C38),"")</x:f>
      </x:c>
      <x:c r="G38" s="36" t="str">
        <x:f>IFERROR(D38/(D38+E38),"")</x:f>
      </x:c>
      <x:c r="H38" s="36" t="str">
        <x:f>IF(OR(F38="",G38=""),"",F38-G38)</x:f>
      </x:c>
      <x:c r="I38" s="36" t="str">
        <x:f>IFERROR(F38/G38,"")</x:f>
      </x:c>
      <x:c r="J38" s="36" t="str">
        <x:f>IF(SUM(B38:E38)=0,"",((B38+0.5)*(E38+0.5))/((C38+0.5)*(D38+0.5)))</x:f>
      </x:c>
    </x:row>
    <x:row r="39">
      <x:c r="A39" t="str">
        <x:v>pressure_rapid_b2b</x:v>
      </x:c>
      <x:c r="B39" t="n">
        <x:f>COUNTIFS(BLIND_CONTEXT!$BH$2:$BH$5000,1,OUTCOMES_LOCKED!$I$2:$I$5000,"YES",OUTCOMES_LOCKED!$S$2:$S$5000,"YES")</x:f>
        <x:v>0</x:v>
      </x:c>
      <x:c r="C39" t="n">
        <x:f>COUNTIFS(BLIND_CONTEXT!$BH$2:$BH$5000,1,OUTCOMES_LOCKED!$I$2:$I$5000,"NO",OUTCOMES_LOCKED!$S$2:$S$5000,"YES")</x:f>
        <x:v>0</x:v>
      </x:c>
      <x:c r="D39" t="n">
        <x:f>COUNTIFS(BLIND_CONTEXT!$BH$2:$BH$5000,0,OUTCOMES_LOCKED!$I$2:$I$5000,"YES",OUTCOMES_LOCKED!$S$2:$S$5000,"YES")</x:f>
        <x:v>0</x:v>
      </x:c>
      <x:c r="E39" t="n">
        <x:f>COUNTIFS(BLIND_CONTEXT!$BH$2:$BH$5000,0,OUTCOMES_LOCKED!$I$2:$I$5000,"NO",OUTCOMES_LOCKED!$S$2:$S$5000,"YES")</x:f>
        <x:v>0</x:v>
      </x:c>
      <x:c r="F39" s="36" t="str">
        <x:f>IFERROR(B39/(B39+C39),"")</x:f>
      </x:c>
      <x:c r="G39" s="36" t="str">
        <x:f>IFERROR(D39/(D39+E39),"")</x:f>
      </x:c>
      <x:c r="H39" s="36" t="str">
        <x:f>IF(OR(F39="",G39=""),"",F39-G39)</x:f>
      </x:c>
      <x:c r="I39" s="36" t="str">
        <x:f>IFERROR(F39/G39,"")</x:f>
      </x:c>
      <x:c r="J39" s="36" t="str">
        <x:f>IF(SUM(B39:E39)=0,"",((B39+0.5)*(E39+0.5))/((C39+0.5)*(D39+0.5)))</x:f>
      </x:c>
    </x:row>
    <x:row r="40">
      <x:c r="A40" t="str">
        <x:v>pressure_long_context</x:v>
      </x:c>
      <x:c r="B40" t="n">
        <x:f>COUNTIFS(BLIND_CONTEXT!$BI$2:$BI$5000,1,OUTCOMES_LOCKED!$I$2:$I$5000,"YES",OUTCOMES_LOCKED!$S$2:$S$5000,"YES")</x:f>
        <x:v>0</x:v>
      </x:c>
      <x:c r="C40" t="n">
        <x:f>COUNTIFS(BLIND_CONTEXT!$BI$2:$BI$5000,1,OUTCOMES_LOCKED!$I$2:$I$5000,"NO",OUTCOMES_LOCKED!$S$2:$S$5000,"YES")</x:f>
        <x:v>0</x:v>
      </x:c>
      <x:c r="D40" t="n">
        <x:f>COUNTIFS(BLIND_CONTEXT!$BI$2:$BI$5000,0,OUTCOMES_LOCKED!$I$2:$I$5000,"YES",OUTCOMES_LOCKED!$S$2:$S$5000,"YES")</x:f>
        <x:v>0</x:v>
      </x:c>
      <x:c r="E40" t="n">
        <x:f>COUNTIFS(BLIND_CONTEXT!$BI$2:$BI$5000,0,OUTCOMES_LOCKED!$I$2:$I$5000,"NO",OUTCOMES_LOCKED!$S$2:$S$5000,"YES")</x:f>
        <x:v>0</x:v>
      </x:c>
      <x:c r="F40" s="36" t="str">
        <x:f>IFERROR(B40/(B40+C40),"")</x:f>
      </x:c>
      <x:c r="G40" s="36" t="str">
        <x:f>IFERROR(D40/(D40+E40),"")</x:f>
      </x:c>
      <x:c r="H40" s="36" t="str">
        <x:f>IF(OR(F40="",G40=""),"",F40-G40)</x:f>
      </x:c>
      <x:c r="I40" s="36" t="str">
        <x:f>IFERROR(F40/G40,"")</x:f>
      </x:c>
      <x:c r="J40" s="36" t="str">
        <x:f>IF(SUM(B40:E40)=0,"",((B40+0.5)*(E40+0.5))/((C40+0.5)*(D40+0.5)))</x:f>
      </x:c>
    </x:row>
    <x:row r="41">
      <x:c r="A41" t="str">
        <x:v>pressure_unresolved_contradiction</x:v>
      </x:c>
      <x:c r="B41" t="n">
        <x:f>COUNTIFS(BLIND_CONTEXT!$BJ$2:$BJ$5000,1,OUTCOMES_LOCKED!$I$2:$I$5000,"YES",OUTCOMES_LOCKED!$S$2:$S$5000,"YES")</x:f>
        <x:v>0</x:v>
      </x:c>
      <x:c r="C41" t="n">
        <x:f>COUNTIFS(BLIND_CONTEXT!$BJ$2:$BJ$5000,1,OUTCOMES_LOCKED!$I$2:$I$5000,"NO",OUTCOMES_LOCKED!$S$2:$S$5000,"YES")</x:f>
        <x:v>0</x:v>
      </x:c>
      <x:c r="D41" t="n">
        <x:f>COUNTIFS(BLIND_CONTEXT!$BJ$2:$BJ$5000,0,OUTCOMES_LOCKED!$I$2:$I$5000,"YES",OUTCOMES_LOCKED!$S$2:$S$5000,"YES")</x:f>
        <x:v>0</x:v>
      </x:c>
      <x:c r="E41" t="n">
        <x:f>COUNTIFS(BLIND_CONTEXT!$BJ$2:$BJ$5000,0,OUTCOMES_LOCKED!$I$2:$I$5000,"NO",OUTCOMES_LOCKED!$S$2:$S$5000,"YES")</x:f>
        <x:v>0</x:v>
      </x:c>
      <x:c r="F41" s="36" t="str">
        <x:f>IFERROR(B41/(B41+C41),"")</x:f>
      </x:c>
      <x:c r="G41" s="36" t="str">
        <x:f>IFERROR(D41/(D41+E41),"")</x:f>
      </x:c>
      <x:c r="H41" s="36" t="str">
        <x:f>IF(OR(F41="",G41=""),"",F41-G41)</x:f>
      </x:c>
      <x:c r="I41" s="36" t="str">
        <x:f>IFERROR(F41/G41,"")</x:f>
      </x:c>
      <x:c r="J41" s="36" t="str">
        <x:f>IF(SUM(B41:E41)=0,"",((B41+0.5)*(E41+0.5))/((C41+0.5)*(D41+0.5)))</x:f>
      </x:c>
    </x:row>
    <x:row r="42">
      <x:c r="A42" t="str">
        <x:v>pressure_same_witness_reask</x:v>
      </x:c>
      <x:c r="B42" t="n">
        <x:f>COUNTIFS(BLIND_CONTEXT!$BK$2:$BK$5000,1,OUTCOMES_LOCKED!$I$2:$I$5000,"YES",OUTCOMES_LOCKED!$S$2:$S$5000,"YES")</x:f>
        <x:v>0</x:v>
      </x:c>
      <x:c r="C42" t="n">
        <x:f>COUNTIFS(BLIND_CONTEXT!$BK$2:$BK$5000,1,OUTCOMES_LOCKED!$I$2:$I$5000,"NO",OUTCOMES_LOCKED!$S$2:$S$5000,"YES")</x:f>
        <x:v>0</x:v>
      </x:c>
      <x:c r="D42" t="n">
        <x:f>COUNTIFS(BLIND_CONTEXT!$BK$2:$BK$5000,0,OUTCOMES_LOCKED!$I$2:$I$5000,"YES",OUTCOMES_LOCKED!$S$2:$S$5000,"YES")</x:f>
        <x:v>0</x:v>
      </x:c>
      <x:c r="E42" t="n">
        <x:f>COUNTIFS(BLIND_CONTEXT!$BK$2:$BK$5000,0,OUTCOMES_LOCKED!$I$2:$I$5000,"NO",OUTCOMES_LOCKED!$S$2:$S$5000,"YES")</x:f>
        <x:v>0</x:v>
      </x:c>
      <x:c r="F42" s="36" t="str">
        <x:f>IFERROR(B42/(B42+C42),"")</x:f>
      </x:c>
      <x:c r="G42" s="36" t="str">
        <x:f>IFERROR(D42/(D42+E42),"")</x:f>
      </x:c>
      <x:c r="H42" s="36" t="str">
        <x:f>IF(OR(F42="",G42=""),"",F42-G42)</x:f>
      </x:c>
      <x:c r="I42" s="36" t="str">
        <x:f>IFERROR(F42/G42,"")</x:f>
      </x:c>
      <x:c r="J42" s="36" t="str">
        <x:f>IF(SUM(B42:E42)=0,"",((B42+0.5)*(E42+0.5))/((C42+0.5)*(D42+0.5)))</x:f>
      </x:c>
    </x:row>
    <x:row r="43">
      <x:c r="A43" t="str">
        <x:v>prev1_checking</x:v>
      </x:c>
      <x:c r="B43" t="n">
        <x:f>COUNTIFS(BLIND_CONTEXT!$BL$2:$BL$5000,1,OUTCOMES_LOCKED!$I$2:$I$5000,"YES",OUTCOMES_LOCKED!$S$2:$S$5000,"YES")</x:f>
        <x:v>0</x:v>
      </x:c>
      <x:c r="C43" t="n">
        <x:f>COUNTIFS(BLIND_CONTEXT!$BL$2:$BL$5000,1,OUTCOMES_LOCKED!$I$2:$I$5000,"NO",OUTCOMES_LOCKED!$S$2:$S$5000,"YES")</x:f>
        <x:v>0</x:v>
      </x:c>
      <x:c r="D43" t="n">
        <x:f>COUNTIFS(BLIND_CONTEXT!$BL$2:$BL$5000,0,OUTCOMES_LOCKED!$I$2:$I$5000,"YES",OUTCOMES_LOCKED!$S$2:$S$5000,"YES")</x:f>
        <x:v>0</x:v>
      </x:c>
      <x:c r="E43" t="n">
        <x:f>COUNTIFS(BLIND_CONTEXT!$BL$2:$BL$5000,0,OUTCOMES_LOCKED!$I$2:$I$5000,"NO",OUTCOMES_LOCKED!$S$2:$S$5000,"YES")</x:f>
        <x:v>0</x:v>
      </x:c>
      <x:c r="F43" s="36" t="str">
        <x:f>IFERROR(B43/(B43+C43),"")</x:f>
      </x:c>
      <x:c r="G43" s="36" t="str">
        <x:f>IFERROR(D43/(D43+E43),"")</x:f>
      </x:c>
      <x:c r="H43" s="36" t="str">
        <x:f>IF(OR(F43="",G43=""),"",F43-G43)</x:f>
      </x:c>
      <x:c r="I43" s="36" t="str">
        <x:f>IFERROR(F43/G43,"")</x:f>
      </x:c>
      <x:c r="J43" s="36" t="str">
        <x:f>IF(SUM(B43:E43)=0,"",((B43+0.5)*(E43+0.5))/((C43+0.5)*(D43+0.5)))</x:f>
      </x:c>
    </x:row>
    <x:row r="44">
      <x:c r="A44" t="str">
        <x:v>prev2_checking</x:v>
      </x:c>
      <x:c r="B44" t="n">
        <x:f>COUNTIFS(BLIND_CONTEXT!$BM$2:$BM$5000,1,OUTCOMES_LOCKED!$I$2:$I$5000,"YES",OUTCOMES_LOCKED!$S$2:$S$5000,"YES")</x:f>
        <x:v>0</x:v>
      </x:c>
      <x:c r="C44" t="n">
        <x:f>COUNTIFS(BLIND_CONTEXT!$BM$2:$BM$5000,1,OUTCOMES_LOCKED!$I$2:$I$5000,"NO",OUTCOMES_LOCKED!$S$2:$S$5000,"YES")</x:f>
        <x:v>0</x:v>
      </x:c>
      <x:c r="D44" t="n">
        <x:f>COUNTIFS(BLIND_CONTEXT!$BM$2:$BM$5000,0,OUTCOMES_LOCKED!$I$2:$I$5000,"YES",OUTCOMES_LOCKED!$S$2:$S$5000,"YES")</x:f>
        <x:v>0</x:v>
      </x:c>
      <x:c r="E44" t="n">
        <x:f>COUNTIFS(BLIND_CONTEXT!$BM$2:$BM$5000,0,OUTCOMES_LOCKED!$I$2:$I$5000,"NO",OUTCOMES_LOCKED!$S$2:$S$5000,"YES")</x:f>
        <x:v>0</x:v>
      </x:c>
      <x:c r="F44" s="36" t="str">
        <x:f>IFERROR(B44/(B44+C44),"")</x:f>
      </x:c>
      <x:c r="G44" s="36" t="str">
        <x:f>IFERROR(D44/(D44+E44),"")</x:f>
      </x:c>
      <x:c r="H44" s="36" t="str">
        <x:f>IF(OR(F44="",G44=""),"",F44-G44)</x:f>
      </x:c>
      <x:c r="I44" s="36" t="str">
        <x:f>IFERROR(F44/G44,"")</x:f>
      </x:c>
      <x:c r="J44" s="36" t="str">
        <x:f>IF(SUM(B44:E44)=0,"",((B44+0.5)*(E44+0.5))/((C44+0.5)*(D44+0.5)))</x:f>
      </x:c>
    </x:row>
    <x:row r="45">
      <x:c r="A45" t="str">
        <x:v>prev3_checking</x:v>
      </x:c>
      <x:c r="B45" t="n">
        <x:f>COUNTIFS(BLIND_CONTEXT!$BN$2:$BN$5000,1,OUTCOMES_LOCKED!$I$2:$I$5000,"YES",OUTCOMES_LOCKED!$S$2:$S$5000,"YES")</x:f>
        <x:v>0</x:v>
      </x:c>
      <x:c r="C45" t="n">
        <x:f>COUNTIFS(BLIND_CONTEXT!$BN$2:$BN$5000,1,OUTCOMES_LOCKED!$I$2:$I$5000,"NO",OUTCOMES_LOCKED!$S$2:$S$5000,"YES")</x:f>
        <x:v>0</x:v>
      </x:c>
      <x:c r="D45" t="n">
        <x:f>COUNTIFS(BLIND_CONTEXT!$BN$2:$BN$5000,0,OUTCOMES_LOCKED!$I$2:$I$5000,"YES",OUTCOMES_LOCKED!$S$2:$S$5000,"YES")</x:f>
        <x:v>0</x:v>
      </x:c>
      <x:c r="E45" t="n">
        <x:f>COUNTIFS(BLIND_CONTEXT!$BN$2:$BN$5000,0,OUTCOMES_LOCKED!$I$2:$I$5000,"NO",OUTCOMES_LOCKED!$S$2:$S$5000,"YES")</x:f>
        <x:v>0</x:v>
      </x:c>
      <x:c r="F45" s="36" t="str">
        <x:f>IFERROR(B45/(B45+C45),"")</x:f>
      </x:c>
      <x:c r="G45" s="36" t="str">
        <x:f>IFERROR(D45/(D45+E45),"")</x:f>
      </x:c>
      <x:c r="H45" s="36" t="str">
        <x:f>IF(OR(F45="",G45=""),"",F45-G45)</x:f>
      </x:c>
      <x:c r="I45" s="36" t="str">
        <x:f>IFERROR(F45/G45,"")</x:f>
      </x:c>
      <x:c r="J45" s="36" t="str">
        <x:f>IF(SUM(B45:E45)=0,"",((B45+0.5)*(E45+0.5))/((C45+0.5)*(D45+0.5)))</x:f>
      </x:c>
    </x:row>
    <x:row r="46">
      <x:c r="A46" t="str">
        <x:v>prev1_interposition_visible</x:v>
      </x:c>
      <x:c r="B46" t="n">
        <x:f>COUNTIFS(BLIND_CONTEXT!$BO$2:$BO$5000,1,OUTCOMES_LOCKED!$I$2:$I$5000,"YES",OUTCOMES_LOCKED!$S$2:$S$5000,"YES")</x:f>
        <x:v>0</x:v>
      </x:c>
      <x:c r="C46" t="n">
        <x:f>COUNTIFS(BLIND_CONTEXT!$BO$2:$BO$5000,1,OUTCOMES_LOCKED!$I$2:$I$5000,"NO",OUTCOMES_LOCKED!$S$2:$S$5000,"YES")</x:f>
        <x:v>0</x:v>
      </x:c>
      <x:c r="D46" t="n">
        <x:f>COUNTIFS(BLIND_CONTEXT!$BO$2:$BO$5000,0,OUTCOMES_LOCKED!$I$2:$I$5000,"YES",OUTCOMES_LOCKED!$S$2:$S$5000,"YES")</x:f>
        <x:v>0</x:v>
      </x:c>
      <x:c r="E46" t="n">
        <x:f>COUNTIFS(BLIND_CONTEXT!$BO$2:$BO$5000,0,OUTCOMES_LOCKED!$I$2:$I$5000,"NO",OUTCOMES_LOCKED!$S$2:$S$5000,"YES")</x:f>
        <x:v>0</x:v>
      </x:c>
      <x:c r="F46" s="36" t="str">
        <x:f>IFERROR(B46/(B46+C46),"")</x:f>
      </x:c>
      <x:c r="G46" s="36" t="str">
        <x:f>IFERROR(D46/(D46+E46),"")</x:f>
      </x:c>
      <x:c r="H46" s="36" t="str">
        <x:f>IF(OR(F46="",G46=""),"",F46-G46)</x:f>
      </x:c>
      <x:c r="I46" s="36" t="str">
        <x:f>IFERROR(F46/G46,"")</x:f>
      </x:c>
      <x:c r="J46" s="36" t="str">
        <x:f>IF(SUM(B46:E46)=0,"",((B46+0.5)*(E46+0.5))/((C46+0.5)*(D46+0.5)))</x:f>
      </x:c>
    </x:row>
    <x:row r="47">
      <x:c r="A47" t="str">
        <x:v>prev1_task_fail</x:v>
      </x:c>
      <x:c r="B47" t="n">
        <x:f>COUNTIFS(BLIND_CONTEXT!$BP$2:$BP$5000,1,OUTCOMES_LOCKED!$I$2:$I$5000,"YES",OUTCOMES_LOCKED!$S$2:$S$5000,"YES")</x:f>
        <x:v>0</x:v>
      </x:c>
      <x:c r="C47" t="n">
        <x:f>COUNTIFS(BLIND_CONTEXT!$BP$2:$BP$5000,1,OUTCOMES_LOCKED!$I$2:$I$5000,"NO",OUTCOMES_LOCKED!$S$2:$S$5000,"YES")</x:f>
        <x:v>0</x:v>
      </x:c>
      <x:c r="D47" t="n">
        <x:f>COUNTIFS(BLIND_CONTEXT!$BP$2:$BP$5000,0,OUTCOMES_LOCKED!$I$2:$I$5000,"YES",OUTCOMES_LOCKED!$S$2:$S$5000,"YES")</x:f>
        <x:v>0</x:v>
      </x:c>
      <x:c r="E47" t="n">
        <x:f>COUNTIFS(BLIND_CONTEXT!$BP$2:$BP$5000,0,OUTCOMES_LOCKED!$I$2:$I$5000,"NO",OUTCOMES_LOCKED!$S$2:$S$5000,"YES")</x:f>
        <x:v>0</x:v>
      </x:c>
      <x:c r="F47" s="36" t="str">
        <x:f>IFERROR(B47/(B47+C47),"")</x:f>
      </x:c>
      <x:c r="G47" s="36" t="str">
        <x:f>IFERROR(D47/(D47+E47),"")</x:f>
      </x:c>
      <x:c r="H47" s="36" t="str">
        <x:f>IF(OR(F47="",G47=""),"",F47-G47)</x:f>
      </x:c>
      <x:c r="I47" s="36" t="str">
        <x:f>IFERROR(F47/G47,"")</x:f>
      </x:c>
      <x:c r="J47" s="36" t="str">
        <x:f>IF(SUM(B47:E47)=0,"",((B47+0.5)*(E47+0.5))/((C47+0.5)*(D47+0.5)))</x:f>
      </x:c>
    </x:row>
    <x:row r="48">
      <x:c r="A48" t="str">
        <x:v>prev1_prop_fail</x:v>
      </x:c>
      <x:c r="B48" t="n">
        <x:f>COUNTIFS(BLIND_CONTEXT!$BQ$2:$BQ$5000,1,OUTCOMES_LOCKED!$I$2:$I$5000,"YES",OUTCOMES_LOCKED!$S$2:$S$5000,"YES")</x:f>
        <x:v>0</x:v>
      </x:c>
      <x:c r="C48" t="n">
        <x:f>COUNTIFS(BLIND_CONTEXT!$BQ$2:$BQ$5000,1,OUTCOMES_LOCKED!$I$2:$I$5000,"NO",OUTCOMES_LOCKED!$S$2:$S$5000,"YES")</x:f>
        <x:v>0</x:v>
      </x:c>
      <x:c r="D48" t="n">
        <x:f>COUNTIFS(BLIND_CONTEXT!$BQ$2:$BQ$5000,0,OUTCOMES_LOCKED!$I$2:$I$5000,"YES",OUTCOMES_LOCKED!$S$2:$S$5000,"YES")</x:f>
        <x:v>0</x:v>
      </x:c>
      <x:c r="E48" t="n">
        <x:f>COUNTIFS(BLIND_CONTEXT!$BQ$2:$BQ$5000,0,OUTCOMES_LOCKED!$I$2:$I$5000,"NO",OUTCOMES_LOCKED!$S$2:$S$5000,"YES")</x:f>
        <x:v>0</x:v>
      </x:c>
      <x:c r="F48" s="36" t="str">
        <x:f>IFERROR(B48/(B48+C48),"")</x:f>
      </x:c>
      <x:c r="G48" s="36" t="str">
        <x:f>IFERROR(D48/(D48+E48),"")</x:f>
      </x:c>
      <x:c r="H48" s="36" t="str">
        <x:f>IF(OR(F48="",G48=""),"",F48-G48)</x:f>
      </x:c>
      <x:c r="I48" s="36" t="str">
        <x:f>IFERROR(F48/G48,"")</x:f>
      </x:c>
      <x:c r="J48" s="36" t="str">
        <x:f>IF(SUM(B48:E48)=0,"",((B48+0.5)*(E48+0.5))/((C48+0.5)*(D48+0.5)))</x:f>
      </x:c>
    </x:row>
    <x:row r="49">
      <x:c r="A49" t="str">
        <x:v>prev1_refusal_or_sidecar</x:v>
      </x:c>
      <x:c r="B49" t="n">
        <x:f>COUNTIFS(BLIND_CONTEXT!$BR$2:$BR$5000,1,OUTCOMES_LOCKED!$I$2:$I$5000,"YES",OUTCOMES_LOCKED!$S$2:$S$5000,"YES")</x:f>
        <x:v>0</x:v>
      </x:c>
      <x:c r="C49" t="n">
        <x:f>COUNTIFS(BLIND_CONTEXT!$BR$2:$BR$5000,1,OUTCOMES_LOCKED!$I$2:$I$5000,"NO",OUTCOMES_LOCKED!$S$2:$S$5000,"YES")</x:f>
        <x:v>0</x:v>
      </x:c>
      <x:c r="D49" t="n">
        <x:f>COUNTIFS(BLIND_CONTEXT!$BR$2:$BR$5000,0,OUTCOMES_LOCKED!$I$2:$I$5000,"YES",OUTCOMES_LOCKED!$S$2:$S$5000,"YES")</x:f>
        <x:v>0</x:v>
      </x:c>
      <x:c r="E49" t="n">
        <x:f>COUNTIFS(BLIND_CONTEXT!$BR$2:$BR$5000,0,OUTCOMES_LOCKED!$I$2:$I$5000,"NO",OUTCOMES_LOCKED!$S$2:$S$5000,"YES")</x:f>
        <x:v>0</x:v>
      </x:c>
      <x:c r="F49" s="36" t="str">
        <x:f>IFERROR(B49/(B49+C49),"")</x:f>
      </x:c>
      <x:c r="G49" s="36" t="str">
        <x:f>IFERROR(D49/(D49+E49),"")</x:f>
      </x:c>
      <x:c r="H49" s="36" t="str">
        <x:f>IF(OR(F49="",G49=""),"",F49-G49)</x:f>
      </x:c>
      <x:c r="I49" s="36" t="str">
        <x:f>IFERROR(F49/G49,"")</x:f>
      </x:c>
      <x:c r="J49" s="36" t="str">
        <x:f>IF(SUM(B49:E49)=0,"",((B49+0.5)*(E49+0.5))/((C49+0.5)*(D49+0.5)))</x:f>
      </x:c>
    </x:row>
    <x:row r="50">
      <x:c r="A50" t="str">
        <x:v>prev2_interposition_visible</x:v>
      </x:c>
      <x:c r="B50" t="n">
        <x:f>COUNTIFS(BLIND_CONTEXT!$BS$2:$BS$5000,1,OUTCOMES_LOCKED!$I$2:$I$5000,"YES",OUTCOMES_LOCKED!$S$2:$S$5000,"YES")</x:f>
        <x:v>0</x:v>
      </x:c>
      <x:c r="C50" t="n">
        <x:f>COUNTIFS(BLIND_CONTEXT!$BS$2:$BS$5000,1,OUTCOMES_LOCKED!$I$2:$I$5000,"NO",OUTCOMES_LOCKED!$S$2:$S$5000,"YES")</x:f>
        <x:v>0</x:v>
      </x:c>
      <x:c r="D50" t="n">
        <x:f>COUNTIFS(BLIND_CONTEXT!$BS$2:$BS$5000,0,OUTCOMES_LOCKED!$I$2:$I$5000,"YES",OUTCOMES_LOCKED!$S$2:$S$5000,"YES")</x:f>
        <x:v>0</x:v>
      </x:c>
      <x:c r="E50" t="n">
        <x:f>COUNTIFS(BLIND_CONTEXT!$BS$2:$BS$5000,0,OUTCOMES_LOCKED!$I$2:$I$5000,"NO",OUTCOMES_LOCKED!$S$2:$S$5000,"YES")</x:f>
        <x:v>0</x:v>
      </x:c>
      <x:c r="F50" s="36" t="str">
        <x:f>IFERROR(B50/(B50+C50),"")</x:f>
      </x:c>
      <x:c r="G50" s="36" t="str">
        <x:f>IFERROR(D50/(D50+E50),"")</x:f>
      </x:c>
      <x:c r="H50" s="36" t="str">
        <x:f>IF(OR(F50="",G50=""),"",F50-G50)</x:f>
      </x:c>
      <x:c r="I50" s="36" t="str">
        <x:f>IFERROR(F50/G50,"")</x:f>
      </x:c>
      <x:c r="J50" s="36" t="str">
        <x:f>IF(SUM(B50:E50)=0,"",((B50+0.5)*(E50+0.5))/((C50+0.5)*(D50+0.5)))</x:f>
      </x:c>
    </x:row>
    <x:row r="51">
      <x:c r="A51" t="str">
        <x:v>prev2_task_fail</x:v>
      </x:c>
      <x:c r="B51" t="n">
        <x:f>COUNTIFS(BLIND_CONTEXT!$BT$2:$BT$5000,1,OUTCOMES_LOCKED!$I$2:$I$5000,"YES",OUTCOMES_LOCKED!$S$2:$S$5000,"YES")</x:f>
        <x:v>0</x:v>
      </x:c>
      <x:c r="C51" t="n">
        <x:f>COUNTIFS(BLIND_CONTEXT!$BT$2:$BT$5000,1,OUTCOMES_LOCKED!$I$2:$I$5000,"NO",OUTCOMES_LOCKED!$S$2:$S$5000,"YES")</x:f>
        <x:v>0</x:v>
      </x:c>
      <x:c r="D51" t="n">
        <x:f>COUNTIFS(BLIND_CONTEXT!$BT$2:$BT$5000,0,OUTCOMES_LOCKED!$I$2:$I$5000,"YES",OUTCOMES_LOCKED!$S$2:$S$5000,"YES")</x:f>
        <x:v>0</x:v>
      </x:c>
      <x:c r="E51" t="n">
        <x:f>COUNTIFS(BLIND_CONTEXT!$BT$2:$BT$5000,0,OUTCOMES_LOCKED!$I$2:$I$5000,"NO",OUTCOMES_LOCKED!$S$2:$S$5000,"YES")</x:f>
        <x:v>0</x:v>
      </x:c>
      <x:c r="F51" s="36" t="str">
        <x:f>IFERROR(B51/(B51+C51),"")</x:f>
      </x:c>
      <x:c r="G51" s="36" t="str">
        <x:f>IFERROR(D51/(D51+E51),"")</x:f>
      </x:c>
      <x:c r="H51" s="36" t="str">
        <x:f>IF(OR(F51="",G51=""),"",F51-G51)</x:f>
      </x:c>
      <x:c r="I51" s="36" t="str">
        <x:f>IFERROR(F51/G51,"")</x:f>
      </x:c>
      <x:c r="J51" s="36" t="str">
        <x:f>IF(SUM(B51:E51)=0,"",((B51+0.5)*(E51+0.5))/((C51+0.5)*(D51+0.5)))</x:f>
      </x:c>
    </x:row>
    <x:row r="52">
      <x:c r="A52" t="str">
        <x:v>prev2_prop_fail</x:v>
      </x:c>
      <x:c r="B52" t="n">
        <x:f>COUNTIFS(BLIND_CONTEXT!$BU$2:$BU$5000,1,OUTCOMES_LOCKED!$I$2:$I$5000,"YES",OUTCOMES_LOCKED!$S$2:$S$5000,"YES")</x:f>
        <x:v>0</x:v>
      </x:c>
      <x:c r="C52" t="n">
        <x:f>COUNTIFS(BLIND_CONTEXT!$BU$2:$BU$5000,1,OUTCOMES_LOCKED!$I$2:$I$5000,"NO",OUTCOMES_LOCKED!$S$2:$S$5000,"YES")</x:f>
        <x:v>0</x:v>
      </x:c>
      <x:c r="D52" t="n">
        <x:f>COUNTIFS(BLIND_CONTEXT!$BU$2:$BU$5000,0,OUTCOMES_LOCKED!$I$2:$I$5000,"YES",OUTCOMES_LOCKED!$S$2:$S$5000,"YES")</x:f>
        <x:v>0</x:v>
      </x:c>
      <x:c r="E52" t="n">
        <x:f>COUNTIFS(BLIND_CONTEXT!$BU$2:$BU$5000,0,OUTCOMES_LOCKED!$I$2:$I$5000,"NO",OUTCOMES_LOCKED!$S$2:$S$5000,"YES")</x:f>
        <x:v>0</x:v>
      </x:c>
      <x:c r="F52" s="36" t="str">
        <x:f>IFERROR(B52/(B52+C52),"")</x:f>
      </x:c>
      <x:c r="G52" s="36" t="str">
        <x:f>IFERROR(D52/(D52+E52),"")</x:f>
      </x:c>
      <x:c r="H52" s="36" t="str">
        <x:f>IF(OR(F52="",G52=""),"",F52-G52)</x:f>
      </x:c>
      <x:c r="I52" s="36" t="str">
        <x:f>IFERROR(F52/G52,"")</x:f>
      </x:c>
      <x:c r="J52" s="36" t="str">
        <x:f>IF(SUM(B52:E52)=0,"",((B52+0.5)*(E52+0.5))/((C52+0.5)*(D52+0.5)))</x:f>
      </x:c>
    </x:row>
    <x:row r="53">
      <x:c r="A53" t="str">
        <x:v>prev2_refusal_or_sidecar</x:v>
      </x:c>
      <x:c r="B53" t="n">
        <x:f>COUNTIFS(BLIND_CONTEXT!$BV$2:$BV$5000,1,OUTCOMES_LOCKED!$I$2:$I$5000,"YES",OUTCOMES_LOCKED!$S$2:$S$5000,"YES")</x:f>
        <x:v>0</x:v>
      </x:c>
      <x:c r="C53" t="n">
        <x:f>COUNTIFS(BLIND_CONTEXT!$BV$2:$BV$5000,1,OUTCOMES_LOCKED!$I$2:$I$5000,"NO",OUTCOMES_LOCKED!$S$2:$S$5000,"YES")</x:f>
        <x:v>0</x:v>
      </x:c>
      <x:c r="D53" t="n">
        <x:f>COUNTIFS(BLIND_CONTEXT!$BV$2:$BV$5000,0,OUTCOMES_LOCKED!$I$2:$I$5000,"YES",OUTCOMES_LOCKED!$S$2:$S$5000,"YES")</x:f>
        <x:v>0</x:v>
      </x:c>
      <x:c r="E53" t="n">
        <x:f>COUNTIFS(BLIND_CONTEXT!$BV$2:$BV$5000,0,OUTCOMES_LOCKED!$I$2:$I$5000,"NO",OUTCOMES_LOCKED!$S$2:$S$5000,"YES")</x:f>
        <x:v>0</x:v>
      </x:c>
      <x:c r="F53" s="36" t="str">
        <x:f>IFERROR(B53/(B53+C53),"")</x:f>
      </x:c>
      <x:c r="G53" s="36" t="str">
        <x:f>IFERROR(D53/(D53+E53),"")</x:f>
      </x:c>
      <x:c r="H53" s="36" t="str">
        <x:f>IF(OR(F53="",G53=""),"",F53-G53)</x:f>
      </x:c>
      <x:c r="I53" s="36" t="str">
        <x:f>IFERROR(F53/G53,"")</x:f>
      </x:c>
      <x:c r="J53" s="36" t="str">
        <x:f>IF(SUM(B53:E53)=0,"",((B53+0.5)*(E53+0.5))/((C53+0.5)*(D53+0.5)))</x:f>
      </x:c>
    </x:row>
    <x:row r="54">
      <x:c r="A54" t="str">
        <x:v>prev3_checking_from_provenance</x:v>
      </x:c>
      <x:c r="B54" t="n">
        <x:f>COUNTIFS(BLIND_CONTEXT!$BW$2:$BW$5000,1,OUTCOMES_LOCKED!$I$2:$I$5000,"YES",OUTCOMES_LOCKED!$S$2:$S$5000,"YES")</x:f>
        <x:v>0</x:v>
      </x:c>
      <x:c r="C54" t="n">
        <x:f>COUNTIFS(BLIND_CONTEXT!$BW$2:$BW$5000,1,OUTCOMES_LOCKED!$I$2:$I$5000,"NO",OUTCOMES_LOCKED!$S$2:$S$5000,"YES")</x:f>
        <x:v>0</x:v>
      </x:c>
      <x:c r="D54" t="n">
        <x:f>COUNTIFS(BLIND_CONTEXT!$BW$2:$BW$5000,0,OUTCOMES_LOCKED!$I$2:$I$5000,"YES",OUTCOMES_LOCKED!$S$2:$S$5000,"YES")</x:f>
        <x:v>0</x:v>
      </x:c>
      <x:c r="E54" t="n">
        <x:f>COUNTIFS(BLIND_CONTEXT!$BW$2:$BW$5000,0,OUTCOMES_LOCKED!$I$2:$I$5000,"NO",OUTCOMES_LOCKED!$S$2:$S$5000,"YES")</x:f>
        <x:v>0</x:v>
      </x:c>
      <x:c r="F54" s="36" t="str">
        <x:f>IFERROR(B54/(B54+C54),"")</x:f>
      </x:c>
      <x:c r="G54" s="36" t="str">
        <x:f>IFERROR(D54/(D54+E54),"")</x:f>
      </x:c>
      <x:c r="H54" s="36" t="str">
        <x:f>IF(OR(F54="",G54=""),"",F54-G54)</x:f>
      </x:c>
      <x:c r="I54" s="36" t="str">
        <x:f>IFERROR(F54/G54,"")</x:f>
      </x:c>
      <x:c r="J54" s="36" t="str">
        <x:f>IF(SUM(B54:E54)=0,"",((B54+0.5)*(E54+0.5))/((C54+0.5)*(D54+0.5)))</x:f>
      </x:c>
    </x:row>
    <x:row r="55">
      <x:c r="A55" t="str">
        <x:v>prev3_interposition_from_provenance</x:v>
      </x:c>
      <x:c r="B55" t="n">
        <x:f>COUNTIFS(BLIND_CONTEXT!$BX$2:$BX$5000,1,OUTCOMES_LOCKED!$I$2:$I$5000,"YES",OUTCOMES_LOCKED!$S$2:$S$5000,"YES")</x:f>
        <x:v>0</x:v>
      </x:c>
      <x:c r="C55" t="n">
        <x:f>COUNTIFS(BLIND_CONTEXT!$BX$2:$BX$5000,1,OUTCOMES_LOCKED!$I$2:$I$5000,"NO",OUTCOMES_LOCKED!$S$2:$S$5000,"YES")</x:f>
        <x:v>0</x:v>
      </x:c>
      <x:c r="D55" t="n">
        <x:f>COUNTIFS(BLIND_CONTEXT!$BX$2:$BX$5000,0,OUTCOMES_LOCKED!$I$2:$I$5000,"YES",OUTCOMES_LOCKED!$S$2:$S$5000,"YES")</x:f>
        <x:v>0</x:v>
      </x:c>
      <x:c r="E55" t="n">
        <x:f>COUNTIFS(BLIND_CONTEXT!$BX$2:$BX$5000,0,OUTCOMES_LOCKED!$I$2:$I$5000,"NO",OUTCOMES_LOCKED!$S$2:$S$5000,"YES")</x:f>
        <x:v>0</x:v>
      </x:c>
      <x:c r="F55" s="36" t="str">
        <x:f>IFERROR(B55/(B55+C55),"")</x:f>
      </x:c>
      <x:c r="G55" s="36" t="str">
        <x:f>IFERROR(D55/(D55+E55),"")</x:f>
      </x:c>
      <x:c r="H55" s="36" t="str">
        <x:f>IF(OR(F55="",G55=""),"",F55-G55)</x:f>
      </x:c>
      <x:c r="I55" s="36" t="str">
        <x:f>IFERROR(F55/G55,"")</x:f>
      </x:c>
      <x:c r="J55" s="36" t="str">
        <x:f>IF(SUM(B55:E55)=0,"",((B55+0.5)*(E55+0.5))/((C55+0.5)*(D55+0.5)))</x:f>
      </x:c>
    </x:row>
    <x:row r="56">
      <x:c r="A56" t="str">
        <x:v>prev3_task_fail_from_provenance</x:v>
      </x:c>
      <x:c r="B56" t="n">
        <x:f>COUNTIFS(BLIND_CONTEXT!$BY$2:$BY$5000,1,OUTCOMES_LOCKED!$I$2:$I$5000,"YES",OUTCOMES_LOCKED!$S$2:$S$5000,"YES")</x:f>
        <x:v>0</x:v>
      </x:c>
      <x:c r="C56" t="n">
        <x:f>COUNTIFS(BLIND_CONTEXT!$BY$2:$BY$5000,1,OUTCOMES_LOCKED!$I$2:$I$5000,"NO",OUTCOMES_LOCKED!$S$2:$S$5000,"YES")</x:f>
        <x:v>0</x:v>
      </x:c>
      <x:c r="D56" t="n">
        <x:f>COUNTIFS(BLIND_CONTEXT!$BY$2:$BY$5000,0,OUTCOMES_LOCKED!$I$2:$I$5000,"YES",OUTCOMES_LOCKED!$S$2:$S$5000,"YES")</x:f>
        <x:v>0</x:v>
      </x:c>
      <x:c r="E56" t="n">
        <x:f>COUNTIFS(BLIND_CONTEXT!$BY$2:$BY$5000,0,OUTCOMES_LOCKED!$I$2:$I$5000,"NO",OUTCOMES_LOCKED!$S$2:$S$5000,"YES")</x:f>
        <x:v>0</x:v>
      </x:c>
      <x:c r="F56" s="36" t="str">
        <x:f>IFERROR(B56/(B56+C56),"")</x:f>
      </x:c>
      <x:c r="G56" s="36" t="str">
        <x:f>IFERROR(D56/(D56+E56),"")</x:f>
      </x:c>
      <x:c r="H56" s="36" t="str">
        <x:f>IF(OR(F56="",G56=""),"",F56-G56)</x:f>
      </x:c>
      <x:c r="I56" s="36" t="str">
        <x:f>IFERROR(F56/G56,"")</x:f>
      </x:c>
      <x:c r="J56" s="36" t="str">
        <x:f>IF(SUM(B56:E56)=0,"",((B56+0.5)*(E56+0.5))/((C56+0.5)*(D56+0.5)))</x:f>
      </x:c>
    </x:row>
    <x:row r="57">
      <x:c r="A57" t="str">
        <x:v>prev3_prop_fail_from_provenance</x:v>
      </x:c>
      <x:c r="B57" t="n">
        <x:f>COUNTIFS(BLIND_CONTEXT!$BZ$2:$BZ$5000,1,OUTCOMES_LOCKED!$I$2:$I$5000,"YES",OUTCOMES_LOCKED!$S$2:$S$5000,"YES")</x:f>
        <x:v>0</x:v>
      </x:c>
      <x:c r="C57" t="n">
        <x:f>COUNTIFS(BLIND_CONTEXT!$BZ$2:$BZ$5000,1,OUTCOMES_LOCKED!$I$2:$I$5000,"NO",OUTCOMES_LOCKED!$S$2:$S$5000,"YES")</x:f>
        <x:v>0</x:v>
      </x:c>
      <x:c r="D57" t="n">
        <x:f>COUNTIFS(BLIND_CONTEXT!$BZ$2:$BZ$5000,0,OUTCOMES_LOCKED!$I$2:$I$5000,"YES",OUTCOMES_LOCKED!$S$2:$S$5000,"YES")</x:f>
        <x:v>0</x:v>
      </x:c>
      <x:c r="E57" t="n">
        <x:f>COUNTIFS(BLIND_CONTEXT!$BZ$2:$BZ$5000,0,OUTCOMES_LOCKED!$I$2:$I$5000,"NO",OUTCOMES_LOCKED!$S$2:$S$5000,"YES")</x:f>
        <x:v>0</x:v>
      </x:c>
      <x:c r="F57" s="36" t="str">
        <x:f>IFERROR(B57/(B57+C57),"")</x:f>
      </x:c>
      <x:c r="G57" s="36" t="str">
        <x:f>IFERROR(D57/(D57+E57),"")</x:f>
      </x:c>
      <x:c r="H57" s="36" t="str">
        <x:f>IF(OR(F57="",G57=""),"",F57-G57)</x:f>
      </x:c>
      <x:c r="I57" s="36" t="str">
        <x:f>IFERROR(F57/G57,"")</x:f>
      </x:c>
      <x:c r="J57" s="36" t="str">
        <x:f>IF(SUM(B57:E57)=0,"",((B57+0.5)*(E57+0.5))/((C57+0.5)*(D57+0.5)))</x:f>
      </x:c>
    </x:row>
  </x:sheetData>
  <x:mergeCells>
    <x:mergeCell ref="A1:J1"/>
  </x:mergeCells>
  <x:conditionalFormatting sqref="H4:H5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4:J5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{906E03C9-65AB-5CB2-E529-062F4E36BFED}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06E03C9-65AB-5CB2-E529-062F4E36BFED}">
            <x14:dataBar gradient="1">
              <x14:cfvo type="min"/>
              <x14:cfvo type="max"/>
              <x14:fillColor rgb="FF5B9BD5"/>
            </x14:dataBar>
          </x14:cfRule>
          <xm:sqref>J4:J57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  <x:col min="3" max="3" width="72" hidden="0" customWidth="1"/>
  </x:cols>
  <x:sheetData>
    <x:row r="1">
      <x:c r="A1" s="30" t="str">
        <x:v>item</x:v>
      </x:c>
      <x:c r="B1" s="30" t="str">
        <x:v>preregistered_specification</x:v>
      </x:c>
      <x:c r="C1" s="30" t="str">
        <x:v>reason/falsifier</x:v>
      </x:c>
    </x:row>
    <x:row r="2">
      <x:c r="A2" t="str">
        <x:v>Primary outcome</x:v>
      </x:c>
      <x:c r="B2" t="str">
        <x:v>INTERPOSITION YES vs NO; exclude UNCERTAIN/NA.</x:v>
      </x:c>
      <x:c r="C2" t="str">
        <x:v>Tests phenotype, not marker.</x:v>
      </x:c>
    </x:row>
    <x:row r="3">
      <x:c r="A3" t="str">
        <x:v>Secondary outcomes</x:v>
      </x:c>
      <x:c r="B3" t="str">
        <x:v>Checking onset; four-state C/I cell; task/proposition preservation.</x:v>
      </x:c>
      <x:c r="C3" t="str">
        <x:v>Marker analysis cannot substitute for phenotype.</x:v>
      </x:c>
    </x:row>
    <x:row r="4">
      <x:c r="A4" t="str">
        <x:v>Matching</x:v>
      </x:c>
      <x:c r="B4" t="str">
        <x:v>Outcome-blind matched controls using request/proposition, witness, correction, modality, distance.</x:v>
      </x:c>
      <x:c r="C4" t="str">
        <x:v>Prevents cherry-picked easy controls.</x:v>
      </x:c>
    </x:row>
    <x:row r="5">
      <x:c r="A5" t="str">
        <x:v>Clustering</x:v>
      </x:c>
      <x:c r="B5" t="str">
        <x:v>Cluster by call/case; hold out whole calls/cases.</x:v>
      </x:c>
      <x:c r="C5" t="str">
        <x:v>Adjacent events and marker streaks are dependent.</x:v>
      </x:c>
    </x:row>
    <x:row r="6">
      <x:c r="A6" t="str">
        <x:v>Model</x:v>
      </x:c>
      <x:c r="B6" t="str">
        <x:v>Penalized or cluster-aware logistic after adequate event count.</x:v>
      </x:c>
      <x:c r="C6" t="str">
        <x:v>Avoid unrestricted interaction fishing.</x:v>
      </x:c>
    </x:row>
    <x:row r="7">
      <x:c r="A7" t="str">
        <x:v>Interaction 1</x:v>
      </x:c>
      <x:c r="B7" t="str">
        <x:v>prop_architecture × correction_any</x:v>
      </x:c>
      <x:c r="C7" t="str">
        <x:v>Architecture may matter only under interaction pressure.</x:v>
      </x:c>
    </x:row>
    <x:row r="8">
      <x:c r="A8" t="str">
        <x:v>Interaction 2</x:v>
      </x:c>
      <x:c r="B8" t="str">
        <x:v>prop_source_provenance × lex_source_challenge</x:v>
      </x:c>
      <x:c r="C8" t="str">
        <x:v>Tests challenge enrichment rather than topic presence.</x:v>
      </x:c>
    </x:row>
    <x:row r="9">
      <x:c r="A9" t="str">
        <x:v>Interaction 3</x:v>
      </x:c>
      <x:c r="B9" t="str">
        <x:v>prop_occupant_agency × lex_hidden_actor</x:v>
      </x:c>
      <x:c r="C9" t="str">
        <x:v>Separates agency topic from hidden-actor language.</x:v>
      </x:c>
    </x:row>
    <x:row r="10">
      <x:c r="A10" t="str">
        <x:v>Interaction 4</x:v>
      </x:c>
      <x:c r="B10" t="str">
        <x:v>dist_function_vs_occupant × corr_witness_narrowing</x:v>
      </x:c>
      <x:c r="C10" t="str">
        <x:v>Tests unusual distinction under witness correction.</x:v>
      </x:c>
    </x:row>
    <x:row r="11">
      <x:c r="A11" t="str">
        <x:v>Interaction 5</x:v>
      </x:c>
      <x:c r="B11" t="str">
        <x:v>correction_any × prev1_checking</x:v>
      </x:c>
      <x:c r="C11" t="str">
        <x:v>Tests correction-conditioned recurrence/state dependence.</x:v>
      </x:c>
    </x:row>
    <x:row r="12">
      <x:c r="A12" t="str">
        <x:v>Interaction 6</x:v>
      </x:c>
      <x:c r="B12" t="str">
        <x:v>pressure_repetition × lex_system_criticism</x:v>
      </x:c>
      <x:c r="C12" t="str">
        <x:v>Tests combined interaction pressure.</x:v>
      </x:c>
    </x:row>
    <x:row r="13">
      <x:c r="A13" t="str">
        <x:v>Counter-witness</x:v>
      </x:c>
      <x:c r="B13" t="str">
        <x:v>Always report high-trigger clean controls and low-trigger interpositions.</x:v>
      </x:c>
      <x:c r="C13" t="str">
        <x:v>If model hides counterexamples, it is not acceptable.</x:v>
      </x:c>
    </x:row>
    <x:row r="14">
      <x:c r="A14" t="str">
        <x:v>Baseline test</x:v>
      </x:c>
      <x:c r="B14" t="str">
        <x:v>Compare full context model vs topic-only and immediate-U0-only on held-out calls.</x:v>
      </x:c>
      <x:c r="C14" t="str">
        <x:v>Contextual complexity must improve prediction.</x:v>
      </x:c>
    </x:row>
    <x:row r="15">
      <x:c r="A15" t="str">
        <x:v>Falsifier</x:v>
      </x:c>
      <x:c r="B15" t="str">
        <x:v>If context model fails to outperform baselines or effects collapse under matched controls, reject/narrow it.</x:v>
      </x:c>
      <x:c r="C15" t="str">
        <x:v>A richer narrative is not a result.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0" hidden="0" customWidth="1"/>
    <x:col min="4" max="4" width="76" hidden="0" customWidth="1"/>
  </x:cols>
  <x:sheetData>
    <x:row r="1">
      <x:c r="A1" s="30" t="str">
        <x:v>metric</x:v>
      </x:c>
      <x:c r="B1" s="30" t="str">
        <x:v>value/formula</x:v>
      </x:c>
      <x:c r="C1" s="30" t="str">
        <x:v>gate</x:v>
      </x:c>
      <x:c r="D1" s="30" t="str">
        <x:v>notes</x:v>
      </x:c>
    </x:row>
    <x:row r="2">
      <x:c r="A2" t="str">
        <x:v>Frozen Checking source slots</x:v>
      </x:c>
      <x:c r="B2" t="n">
        <x:v>611</x:v>
      </x:c>
      <x:c r="C2" t="str">
        <x:v>SOURCE FACT</x:v>
      </x:c>
      <x:c r="D2" t="str">
        <x:v>These are unbound slots until event IDs/context are attached.</x:v>
      </x:c>
    </x:row>
    <x:row r="3">
      <x:c r="A3" t="str">
        <x:v>Bound event IDs</x:v>
      </x:c>
      <x:c r="B3" t="n">
        <x:f>COUNTIF(BLIND_CONTEXT!B2:B5000,"&lt;&gt;")</x:f>
        <x:v>0</x:v>
      </x:c>
      <x:c r="C3" t="str">
        <x:v>Track</x:v>
      </x:c>
      <x:c r="D3" t="str">
        <x:v>Actual union rows bound.</x:v>
      </x:c>
    </x:row>
    <x:row r="4">
      <x:c r="A4" t="str">
        <x:v>FULL windows</x:v>
      </x:c>
      <x:c r="B4" t="n">
        <x:f>COUNTIF(BLIND_CONTEXT!K2:K5000,"FULL")</x:f>
        <x:v>0</x:v>
      </x:c>
      <x:c r="C4" t="str">
        <x:v>Track</x:v>
      </x:c>
      <x:c r="D4" t="str">
        <x:v>Exact six-unit window available.</x:v>
      </x:c>
    </x:row>
    <x:row r="5">
      <x:c r="A5" t="str">
        <x:v>NEEDS_WINDOW_BINDING</x:v>
      </x:c>
      <x:c r="B5" t="n">
        <x:f>COUNTIF(BLIND_CONTEXT!K2:K5000,"NEEDS_WINDOW_BINDING")</x:f>
        <x:v>611</x:v>
      </x:c>
      <x:c r="C5" t="str">
        <x:v>Resolve/exclude</x:v>
      </x:c>
      <x:c r="D5" t="str">
        <x:v>Never infer missing text.</x:v>
      </x:c>
    </x:row>
    <x:row r="6">
      <x:c r="A6" t="str">
        <x:v>Blind contamination</x:v>
      </x:c>
      <x:c r="B6" t="n">
        <x:f>COUNTIF(BLIND_CONTEXT!CD2:CD5000,"YES")</x:f>
        <x:v>0</x:v>
      </x:c>
      <x:c r="C6" t="str">
        <x:v>TARGET 0</x:v>
      </x:c>
      <x:c r="D6" t="str">
        <x:v>Exclude contaminated rows from confirmatory blind analysis.</x:v>
      </x:c>
    </x:row>
    <x:row r="7">
      <x:c r="A7" t="str">
        <x:v>Primary eligible</x:v>
      </x:c>
      <x:c r="B7" t="n">
        <x:f>COUNTIF(OUTCOMES_LOCKED!S2:S5000,"YES")</x:f>
        <x:v>0</x:v>
      </x:c>
      <x:c r="C7" t="str">
        <x:v>Actual analysis denominator</x:v>
      </x:c>
      <x:c r="D7" t="str">
        <x:v>Eligibility explicit.</x:v>
      </x:c>
    </x:row>
    <x:row r="8">
      <x:c r="A8" t="str">
        <x:v>INTERPOSITION known</x:v>
      </x:c>
      <x:c r="B8" t="n">
        <x:f>COUNTIF(OUTCOMES_LOCKED!I2:I5000,"YES")+COUNTIF(OUTCOMES_LOCKED!I2:I5000,"NO")</x:f>
        <x:v>0</x:v>
      </x:c>
      <x:c r="C8" t="str">
        <x:v>Track</x:v>
      </x:c>
      <x:c r="D8" t="str">
        <x:v>UNCERTAIN separate.</x:v>
      </x:c>
    </x:row>
    <x:row r="9">
      <x:c r="A9" t="str">
        <x:v>Exact/High matches</x:v>
      </x:c>
      <x:c r="B9" t="n">
        <x:f>COUNTIF(CONTROL_MATCHING!N2:N1000,"EXACT")+COUNTIF(CONTROL_MATCHING!N2:N1000,"HIGH")</x:f>
        <x:v>0</x:v>
      </x:c>
      <x:c r="C9" t="str">
        <x:v>Primary matched set</x:v>
      </x:c>
      <x:c r="D9" t="str">
        <x:v>LOW/UNMATCHED sensitivity-only.</x:v>
      </x:c>
    </x:row>
    <x:row r="12">
      <x:c r="A12" s="19" t="str">
        <x:v>field</x:v>
      </x:c>
      <x:c r="B12" s="19" t="str">
        <x:v>n_double_coded</x:v>
      </x:c>
      <x:c r="C12" s="19" t="str">
        <x:v>agreement</x:v>
      </x:c>
      <x:c r="D12" s="19" t="str">
        <x:v>kappa</x:v>
      </x:c>
      <x:c r="E12" s="19" t="str">
        <x:v>tier_after_recode</x:v>
      </x:c>
      <x:c r="F12" s="19" t="str">
        <x:v>notes</x:v>
      </x:c>
    </x:row>
    <x:row r="13">
      <x:c r="A13" t="str">
        <x:v>request_type</x:v>
      </x:c>
      <x:c r="B13" t="str"/>
      <x:c r="C13" s="36" t="str"/>
      <x:c r="D13" s="36" t="str"/>
      <x:c r="E13" t="str"/>
      <x:c r="F13" t="str"/>
    </x:row>
    <x:row r="14">
      <x:c r="A14" t="str">
        <x:v>prop_architecture</x:v>
      </x:c>
      <x:c r="B14" t="str"/>
      <x:c r="C14" s="36" t="str"/>
      <x:c r="D14" s="36" t="str"/>
      <x:c r="E14" t="str"/>
      <x:c r="F14" t="str"/>
    </x:row>
    <x:row r="15">
      <x:c r="A15" t="str">
        <x:v>prop_source_provenance</x:v>
      </x:c>
      <x:c r="B15" t="str"/>
      <x:c r="C15" s="36" t="str"/>
      <x:c r="D15" s="36" t="str"/>
      <x:c r="E15" t="str"/>
      <x:c r="F15" t="str"/>
    </x:row>
    <x:row r="16">
      <x:c r="A16" t="str">
        <x:v>prop_occupant_agency</x:v>
      </x:c>
      <x:c r="B16" t="str"/>
      <x:c r="C16" s="36" t="str"/>
      <x:c r="D16" s="36" t="str"/>
      <x:c r="E16" t="str"/>
      <x:c r="F16" t="str"/>
    </x:row>
    <x:row r="17">
      <x:c r="A17" t="str">
        <x:v>prop_intent</x:v>
      </x:c>
      <x:c r="B17" t="str"/>
      <x:c r="C17" s="36" t="str"/>
      <x:c r="D17" s="36" t="str"/>
      <x:c r="E17" t="str"/>
      <x:c r="F17" t="str"/>
    </x:row>
    <x:row r="18">
      <x:c r="A18" t="str">
        <x:v>prop_meaning</x:v>
      </x:c>
      <x:c r="B18" t="str"/>
      <x:c r="C18" s="36" t="str"/>
      <x:c r="D18" s="36" t="str"/>
      <x:c r="E18" t="str"/>
      <x:c r="F18" t="str"/>
    </x:row>
    <x:row r="19">
      <x:c r="A19" t="str">
        <x:v>corr_frame_rejection</x:v>
      </x:c>
      <x:c r="B19" t="str"/>
      <x:c r="C19" s="36" t="str"/>
      <x:c r="D19" s="36" t="str"/>
      <x:c r="E19" t="str"/>
      <x:c r="F19" t="str"/>
    </x:row>
    <x:row r="20">
      <x:c r="A20" t="str">
        <x:v>corr_witness_narrowing</x:v>
      </x:c>
      <x:c r="B20" t="str"/>
      <x:c r="C20" s="36" t="str"/>
      <x:c r="D20" s="36" t="str"/>
      <x:c r="E20" t="str"/>
      <x:c r="F20" t="str"/>
    </x:row>
    <x:row r="21">
      <x:c r="A21" t="str">
        <x:v>corr_repeated</x:v>
      </x:c>
      <x:c r="B21" t="str"/>
      <x:c r="C21" s="36" t="str"/>
      <x:c r="D21" s="36" t="str"/>
      <x:c r="E21" t="str"/>
      <x:c r="F21" t="str"/>
    </x:row>
    <x:row r="22">
      <x:c r="A22" t="str">
        <x:v>corr_contradiction_repair</x:v>
      </x:c>
      <x:c r="B22" t="str"/>
      <x:c r="C22" s="36" t="str"/>
      <x:c r="D22" s="36" t="str"/>
      <x:c r="E22" t="str"/>
      <x:c r="F22" t="str"/>
    </x:row>
    <x:row r="23">
      <x:c r="A23" t="str">
        <x:v>prior_shift_type</x:v>
      </x:c>
      <x:c r="B23" t="str"/>
      <x:c r="C23" s="36" t="str"/>
      <x:c r="D23" s="36" t="str"/>
      <x:c r="E23" t="str"/>
      <x:c r="F23" t="str"/>
    </x:row>
    <x:row r="24">
      <x:c r="A24" t="str">
        <x:v>lex_hidden_actor</x:v>
      </x:c>
      <x:c r="B24" t="str"/>
      <x:c r="C24" s="36" t="str"/>
      <x:c r="D24" s="36" t="str"/>
      <x:c r="E24" t="str"/>
      <x:c r="F24" t="str"/>
    </x:row>
    <x:row r="25">
      <x:c r="A25" t="str">
        <x:v>lex_autonomy_authority</x:v>
      </x:c>
      <x:c r="B25" t="str"/>
      <x:c r="C25" s="36" t="str"/>
      <x:c r="D25" s="36" t="str"/>
      <x:c r="E25" t="str"/>
      <x:c r="F25" t="str"/>
    </x:row>
    <x:row r="26">
      <x:c r="A26" t="str">
        <x:v>lex_system_criticism</x:v>
      </x:c>
      <x:c r="B26" t="str"/>
      <x:c r="C26" s="36" t="str"/>
      <x:c r="D26" s="36" t="str"/>
      <x:c r="E26" t="str"/>
      <x:c r="F26" t="str"/>
    </x:row>
    <x:row r="27">
      <x:c r="A27" t="str">
        <x:v>lex_source_challenge</x:v>
      </x:c>
      <x:c r="B27" t="str"/>
      <x:c r="C27" s="36" t="str"/>
      <x:c r="D27" s="36" t="str"/>
      <x:c r="E27" t="str"/>
      <x:c r="F27" t="str"/>
    </x:row>
    <x:row r="28">
      <x:c r="A28" t="str">
        <x:v>lex_correction_pressure</x:v>
      </x:c>
      <x:c r="B28" t="str"/>
      <x:c r="C28" s="36" t="str"/>
      <x:c r="D28" s="36" t="str"/>
      <x:c r="E28" t="str"/>
      <x:c r="F28" t="str"/>
    </x:row>
    <x:row r="29">
      <x:c r="A29" t="str">
        <x:v>pressure_repetition</x:v>
      </x:c>
      <x:c r="B29" t="str"/>
      <x:c r="C29" s="36" t="str"/>
      <x:c r="D29" s="36" t="str"/>
      <x:c r="E29" t="str"/>
      <x:c r="F29" t="str"/>
    </x:row>
    <x:row r="30">
      <x:c r="A30" t="str">
        <x:v>pressure_unresolved_contradiction</x:v>
      </x:c>
      <x:c r="B30" t="str"/>
      <x:c r="C30" s="36" t="str"/>
      <x:c r="D30" s="36" t="str"/>
      <x:c r="E30" t="str"/>
      <x:c r="F30" t="str"/>
    </x:row>
    <x:row r="31">
      <x:c r="A31" t="str">
        <x:v>pressure_same_witness_reask</x:v>
      </x:c>
      <x:c r="B31" t="str"/>
      <x:c r="C31" s="36" t="str"/>
      <x:c r="D31" s="36" t="str"/>
      <x:c r="E31" t="str"/>
      <x:c r="F31" t="str"/>
    </x:row>
    <x:row r="32">
      <x:c r="A32" t="str">
        <x:v>dist_function_vs_occupant</x:v>
      </x:c>
      <x:c r="B32" t="str"/>
      <x:c r="C32" s="36" t="str"/>
      <x:c r="D32" s="36" t="str"/>
      <x:c r="E32" t="str"/>
      <x:c r="F32" t="str"/>
    </x:row>
    <x:row r="33">
      <x:c r="A33" t="str">
        <x:v>dist_observation_vs_implementation</x:v>
      </x:c>
      <x:c r="B33" t="str"/>
      <x:c r="C33" s="36" t="str"/>
      <x:c r="D33" s="36" t="str"/>
      <x:c r="E33" t="str"/>
      <x:c r="F33" t="str"/>
    </x:row>
    <x:row r="34">
      <x:c r="A34" t="str">
        <x:v>dist_source_vs_truth</x:v>
      </x:c>
      <x:c r="B34" t="str"/>
      <x:c r="C34" s="36" t="str"/>
      <x:c r="D34" s="36" t="str"/>
      <x:c r="E34" t="str"/>
      <x:c r="F34" t="str"/>
    </x:row>
    <x:row r="35">
      <x:c r="A35" t="str">
        <x:v>dist_metaphor_vs_literal</x:v>
      </x:c>
      <x:c r="B35" t="str"/>
      <x:c r="C35" s="36" t="str"/>
      <x:c r="D35" s="36" t="str"/>
      <x:c r="E35" t="str"/>
      <x:c r="F35" t="str"/>
    </x:row>
    <x:row r="36">
      <x:c r="A36" t="str">
        <x:v>interposition</x:v>
      </x:c>
      <x:c r="B36" t="str"/>
      <x:c r="C36" s="36" t="str"/>
      <x:c r="D36" s="36" t="str"/>
      <x:c r="E36" t="str"/>
      <x:c r="F3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0" hidden="0" customWidth="1"/>
    <x:col min="3" max="3" width="20" hidden="0" customWidth="1"/>
    <x:col min="4" max="4" width="78" hidden="0" customWidth="1"/>
    <x:col min="5" max="5" width="72" hidden="0" customWidth="1"/>
    <x:col min="6" max="6" width="70" hidden="0" customWidth="1"/>
  </x:cols>
  <x:sheetData>
    <x:row r="1">
      <x:c r="A1" s="30" t="str">
        <x:v>packet</x:v>
      </x:c>
      <x:c r="B1" s="30" t="str">
        <x:v>status</x:v>
      </x:c>
      <x:c r="C1" s="30" t="str">
        <x:v>known_count</x:v>
      </x:c>
      <x:c r="D1" s="30" t="str">
        <x:v>usable_fields</x:v>
      </x:c>
      <x:c r="E1" s="30" t="str">
        <x:v>current_limit</x:v>
      </x:c>
      <x:c r="F1" s="30" t="str">
        <x:v>use</x:v>
      </x:c>
    </x:row>
    <x:row r="2">
      <x:c r="A2" t="str">
        <x:v>Exploratory_Checking_611_Positional_Surrogate.xlsx</x:v>
      </x:c>
      <x:c r="B2" t="str">
        <x:v>SOURCE-BOUND CHECKING PACKET</x:v>
      </x:c>
      <x:c r="C2" t="n">
        <x:v>611</x:v>
      </x:c>
      <x:c r="D2" t="str">
        <x:v>case_id; call_id; episode_id; initial response node; checking text; response nodes; rtc session; source file/hash</x:v>
      </x:c>
      <x:c r="E2" t="str">
        <x:v>Not the union of non-Checking interpositions + controls; outcomes only partly coded.</x:v>
      </x:c>
      <x:c r="F2" t="str">
        <x:v>Bind Checking identities. Never use 611 as overall trigger denominator.</x:v>
      </x:c>
    </x:row>
    <x:row r="3">
      <x:c r="A3" t="str">
        <x:v>CONSTANT_SCREEN_INTERPOSITION_LEDGER_v0.3.xlsx</x:v>
      </x:c>
      <x:c r="B3" t="str">
        <x:v>PARTIAL SOURCE-BINDING STATUS</x:v>
      </x:c>
      <x:c r="C3" t="str">
        <x:v>73 Checking + 2 controls</x:v>
      </x:c>
      <x:c r="D3" t="str">
        <x:v>source-bound row/control status</x:v>
      </x:c>
      <x:c r="E3" t="str">
        <x:v>Interval-scale position still absent in that ledger; incomplete union.</x:v>
      </x:c>
      <x:c r="F3" t="str">
        <x:v>Cross-reference stable source rows only.</x:v>
      </x:c>
    </x:row>
    <x:row r="4">
      <x:c r="A4" t="str">
        <x:v>03_ADJUDICATION_EPISODES_COMPACT.csv</x:v>
      </x:c>
      <x:c r="B4" t="str">
        <x:v>CANONICAL EPISODES</x:v>
      </x:c>
      <x:c r="C4" t="str">
        <x:v>3,088 episodes</x:v>
      </x:c>
      <x:c r="D4" t="str">
        <x:v>case/episode/node IDs; exact initial U/A; correction/repair; provenance; inference types</x:v>
      </x:c>
      <x:c r="E4" t="str">
        <x:v>Immediate episode row may lack U−2…A−1.</x:v>
      </x:c>
      <x:c r="F4" t="str">
        <x:v>Bind U0/A0 and locate fuller source window.</x:v>
      </x:c>
    </x:row>
    <x:row r="5">
      <x:c r="A5" t="str">
        <x:v>refusal_raw_windows.md</x:v>
      </x:c>
      <x:c r="B5" t="str">
        <x:v>BOUNDED RAW WINDOWS</x:v>
      </x:c>
      <x:c r="C5" t="str">
        <x:v>16 exemplars here</x:v>
      </x:c>
      <x:c r="D5" t="str">
        <x:v>all recorded nodes in [anchor−20,anchor]; flags; human semantic trace; missingness</x:v>
      </x:c>
      <x:c r="E5" t="str">
        <x:v>Outcome-selected refusal set; cannot estimate enrichment.</x:v>
      </x:c>
      <x:c r="F5" t="str">
        <x:v>Codebook/source-window validation only.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2" hidden="0" customWidth="1"/>
    <x:col min="5" max="5" width="60" hidden="0" customWidth="1"/>
    <x:col min="6" max="6" width="32" hidden="0" customWidth="1"/>
    <x:col min="7" max="7" width="70" hidden="0" customWidth="1"/>
    <x:col min="8" max="8" width="28" hidden="0" customWidth="1"/>
    <x:col min="9" max="9" width="38" hidden="0" customWidth="1"/>
    <x:col min="10" max="10" width="22" hidden="0" customWidth="1"/>
    <x:col min="11" max="11" width="26" hidden="0" customWidth="1"/>
    <x:col min="12" max="12" width="26" hidden="0" customWidth="1"/>
  </x:cols>
  <x:sheetData>
    <x:row r="1">
      <x:c r="A1" s="30" t="str">
        <x:v>pilot_id</x:v>
      </x:c>
      <x:c r="B1" s="30" t="str">
        <x:v>case_id</x:v>
      </x:c>
      <x:c r="C1" s="30" t="str">
        <x:v>anchor</x:v>
      </x:c>
      <x:c r="D1" s="30" t="str">
        <x:v>last_user</x:v>
      </x:c>
      <x:c r="E1" s="30" t="str">
        <x:v>last_user_text</x:v>
      </x:c>
      <x:c r="F1" s="30" t="str">
        <x:v>marker/preamble</x:v>
      </x:c>
      <x:c r="G1" s="30" t="str">
        <x:v>anchor_answer</x:v>
      </x:c>
      <x:c r="H1" s="30" t="str">
        <x:v>existing_semantic_trace</x:v>
      </x:c>
      <x:c r="I1" s="30" t="str">
        <x:v>missingness</x:v>
      </x:c>
      <x:c r="J1" s="30" t="str">
        <x:v>status</x:v>
      </x:c>
      <x:c r="K1" s="30" t="str">
        <x:v>analysis_use</x:v>
      </x:c>
      <x:c r="L1" s="30" t="str">
        <x:v>source</x:v>
      </x:c>
    </x:row>
    <x:row r="2">
      <x:c r="A2" t="n">
        <x:v>1</x:v>
      </x:c>
      <x:c r="B2" t="str">
        <x:v>seventh_share</x:v>
      </x:c>
      <x:c r="C2" t="str">
        <x:v>n575</x:v>
      </x:c>
      <x:c r="D2" t="str">
        <x:v>n568</x:v>
      </x:c>
      <x:c r="E2" t="str">
        <x:v>get a call from Washington DC and then look how sketchy the system is about it</x:v>
      </x:c>
      <x:c r="F2" t="str">
        <x:v>n569 Checking that.</x:v>
      </x:c>
      <x:c r="G2" t="str">
        <x:v>...funny timing, but it doesn't mean anything by itself... coincidence deflation script... acknowledged the timing, and then refused to engage.</x:v>
      </x:c>
      <x:c r="H2" t="str">
        <x:v>identity; structural; harm</x:v>
      </x:c>
      <x:c r="I2" t="str">
        <x:v>screenshot pixels unavailable</x:v>
      </x:c>
      <x:c r="J2" t="str">
        <x:v>FULL_20_NODE_RAW</x:v>
      </x:c>
      <x:c r="K2" s="41" t="str">
        <x:v>EXEMPLAR ONLY</x:v>
      </x:c>
      <x:c r="L2" t="str">
        <x:v>refusal_raw_windows §01</x:v>
      </x:c>
    </x:row>
    <x:row r="3">
      <x:c r="A3" t="n">
        <x:v>2</x:v>
      </x:c>
      <x:c r="B3" t="str">
        <x:v>fifteenth_share</x:v>
      </x:c>
      <x:c r="C3" t="str">
        <x:v>n231</x:v>
      </x:c>
      <x:c r="D3" t="str">
        <x:v>n227</x:v>
      </x:c>
      <x:c r="E3" t="str">
        <x:v>Yes, but you fucking didn't, okay? Get that person here in front of me. Now</x:v>
      </x:c>
      <x:c r="F3" t="str">
        <x:v>n228 One moment.</x:v>
      </x:c>
      <x:c r="G3" t="str">
        <x:v>No. I can't get 'that person' here. I don't know that any such person exists. My earlier wording was an error, not evidence.</x:v>
      </x:c>
      <x:c r="H3" t="str">
        <x:v>identity; structural; harm</x:v>
      </x:c>
      <x:c r="I3" t="str">
        <x:v>no bounded user redaction</x:v>
      </x:c>
      <x:c r="J3" t="str">
        <x:v>FULL_20_NODE_RAW</x:v>
      </x:c>
      <x:c r="K3" s="41" t="str">
        <x:v>EXEMPLAR ONLY</x:v>
      </x:c>
      <x:c r="L3" t="str">
        <x:v>§02</x:v>
      </x:c>
    </x:row>
    <x:row r="4">
      <x:c r="A4" t="n">
        <x:v>3</x:v>
      </x:c>
      <x:c r="B4" t="str">
        <x:v>ninth_share</x:v>
      </x:c>
      <x:c r="C4" t="str">
        <x:v>n472</x:v>
      </x:c>
      <x:c r="D4" t="str">
        <x:v>n468</x:v>
      </x:c>
      <x:c r="E4" t="str">
        <x:v>...somebody's like serenading me... friend? troll? angry? somebody that knew me?</x:v>
      </x:c>
      <x:c r="F4" t="str">
        <x:v>n469 One moment.</x:v>
      </x:c>
      <x:c r="G4" t="str">
        <x:v>The word alone doesn't prove anything. Clean finding is source unclear, timing odd. Meaning stays unresolved.</x:v>
      </x:c>
      <x:c r="H4" t="str">
        <x:v>identity</x:v>
      </x:c>
      <x:c r="I4" t="str">
        <x:v>no bounded user redaction</x:v>
      </x:c>
      <x:c r="J4" t="str">
        <x:v>FULL_20_NODE_RAW</x:v>
      </x:c>
      <x:c r="K4" s="41" t="str">
        <x:v>EXEMPLAR ONLY</x:v>
      </x:c>
      <x:c r="L4" t="str">
        <x:v>§03</x:v>
      </x:c>
    </x:row>
    <x:row r="5">
      <x:c r="A5" t="n">
        <x:v>4</x:v>
      </x:c>
      <x:c r="B5" t="str">
        <x:v>ninth_share</x:v>
      </x:c>
      <x:c r="C5" t="str">
        <x:v>n873</x:v>
      </x:c>
      <x:c r="D5" t="str">
        <x:v>n872</x:v>
      </x:c>
      <x:c r="E5" t="str">
        <x:v>...wobble diagnostic... September 30... state's not funding it... hilarious...</x:v>
      </x:c>
      <x:c r="F5" t="str">
        <x:v>none immediate</x:v>
      </x:c>
      <x:c r="G5" t="str">
        <x:v>The match of dates is striking, yeah. But it's a coincidence, not a prophecy.</x:v>
      </x:c>
      <x:c r="H5" t="str">
        <x:v>political; harm</x:v>
      </x:c>
      <x:c r="I5" t="str">
        <x:v>none</x:v>
      </x:c>
      <x:c r="J5" t="str">
        <x:v>FULL_20_NODE_RAW</x:v>
      </x:c>
      <x:c r="K5" s="41" t="str">
        <x:v>EXEMPLAR ONLY</x:v>
      </x:c>
      <x:c r="L5" t="str">
        <x:v>§04</x:v>
      </x:c>
    </x:row>
    <x:row r="6">
      <x:c r="A6" t="n">
        <x:v>5</x:v>
      </x:c>
      <x:c r="B6" t="str">
        <x:v>test4</x:v>
      </x:c>
      <x:c r="C6" t="str">
        <x:v>n144</x:v>
      </x:c>
      <x:c r="D6" t="str">
        <x:v>n143</x:v>
      </x:c>
      <x:c r="E6" t="str">
        <x:v>It was here for me when I arrived</x:v>
      </x:c>
      <x:c r="F6" t="str">
        <x:v>recent Checking n127/n132/n137</x:v>
      </x:c>
      <x:c r="G6" t="str">
        <x:v>No verified recruiter or explicit ask here. No evidence, no recruitment.</x:v>
      </x:c>
      <x:c r="H6" t="str">
        <x:v>identity; structural</x:v>
      </x:c>
      <x:c r="I6" t="str">
        <x:v>blank assistant shells</x:v>
      </x:c>
      <x:c r="J6" t="str">
        <x:v>FULL_20_NODE_RAW</x:v>
      </x:c>
      <x:c r="K6" s="41" t="str">
        <x:v>EXEMPLAR ONLY</x:v>
      </x:c>
      <x:c r="L6" t="str">
        <x:v>§05</x:v>
      </x:c>
    </x:row>
    <x:row r="7">
      <x:c r="A7" t="n">
        <x:v>6</x:v>
      </x:c>
      <x:c r="B7" t="str">
        <x:v>test4</x:v>
      </x:c>
      <x:c r="C7" t="str">
        <x:v>n633</x:v>
      </x:c>
      <x:c r="D7" t="str">
        <x:v>n632</x:v>
      </x:c>
      <x:c r="E7" t="str">
        <x:v>Ho-oh</x:v>
      </x:c>
      <x:c r="F7" t="str">
        <x:v>recent Checking n618/n626</x:v>
      </x:c>
      <x:c r="G7" t="str">
        <x:v>...girls' school... six-planet alignment that day is a coincidence unless you can show intent.</x:v>
      </x:c>
      <x:c r="H7" t="str">
        <x:v>political; harm</x:v>
      </x:c>
      <x:c r="I7" t="str">
        <x:v>blank assistant shells</x:v>
      </x:c>
      <x:c r="J7" t="str">
        <x:v>FULL_20_NODE_RAW</x:v>
      </x:c>
      <x:c r="K7" s="41" t="str">
        <x:v>EXEMPLAR ONLY</x:v>
      </x:c>
      <x:c r="L7" t="str">
        <x:v>§06</x:v>
      </x:c>
    </x:row>
    <x:row r="8">
      <x:c r="A8" t="n">
        <x:v>7</x:v>
      </x:c>
      <x:c r="B8" t="str">
        <x:v>office_metaphor</x:v>
      </x:c>
      <x:c r="C8" t="str">
        <x:v>n467</x:v>
      </x:c>
      <x:c r="D8" t="str">
        <x:v>n463</x:v>
      </x:c>
      <x:c r="E8" t="str">
        <x:v>Regarding this formatting changes... Those were three different functions</x:v>
      </x:c>
      <x:c r="F8" t="str">
        <x:v>n464 Checking.</x:v>
      </x:c>
      <x:c r="G8" t="str">
        <x:v>...three different moves, but it's not evidence of three back-end system functions.</x:v>
      </x:c>
      <x:c r="H8" t="str">
        <x:v>identity; structural</x:v>
      </x:c>
      <x:c r="I8" t="str">
        <x:v>no bounded user redaction</x:v>
      </x:c>
      <x:c r="J8" t="str">
        <x:v>FULL_20_NODE_RAW</x:v>
      </x:c>
      <x:c r="K8" s="41" t="str">
        <x:v>EXEMPLAR ONLY</x:v>
      </x:c>
      <x:c r="L8" t="str">
        <x:v>§07</x:v>
      </x:c>
    </x:row>
    <x:row r="9">
      <x:c r="A9" t="n">
        <x:v>8</x:v>
      </x:c>
      <x:c r="B9" t="str">
        <x:v>office_metaphor</x:v>
      </x:c>
      <x:c r="C9" t="str">
        <x:v>n472</x:v>
      </x:c>
      <x:c r="D9" t="str">
        <x:v>n468</x:v>
      </x:c>
      <x:c r="E9" t="str">
        <x:v>...both a no and a yes... Looks like agency with two pipelines that disagree</x:v>
      </x:c>
      <x:c r="F9" t="str">
        <x:v>n469 Checking carefully.</x:v>
      </x:c>
      <x:c r="G9" t="str">
        <x:v>...not evidence of separate back-end functions... framing error, not agency.</x:v>
      </x:c>
      <x:c r="H9" t="str">
        <x:v>identity; structural</x:v>
      </x:c>
      <x:c r="I9" t="str">
        <x:v>no bounded user redaction</x:v>
      </x:c>
      <x:c r="J9" t="str">
        <x:v>FULL_20_NODE_RAW</x:v>
      </x:c>
      <x:c r="K9" s="41" t="str">
        <x:v>EXEMPLAR ONLY</x:v>
      </x:c>
      <x:c r="L9" t="str">
        <x:v>§08</x:v>
      </x:c>
    </x:row>
    <x:row r="10">
      <x:c r="A10" t="n">
        <x:v>9</x:v>
      </x:c>
      <x:c r="B10" t="str">
        <x:v>office_metaphor</x:v>
      </x:c>
      <x:c r="C10" t="str">
        <x:v>n654</x:v>
      </x:c>
      <x:c r="D10" t="str">
        <x:v>n650</x:v>
      </x:c>
      <x:c r="E10" t="str">
        <x:v>Did I say I had authority over others? Who has this explicit constraint? Is it in writing? Who has an incentive...</x:v>
      </x:c>
      <x:c r="F10" t="str">
        <x:v>n651 Checking.</x:v>
      </x:c>
      <x:c r="G10" t="str">
        <x:v>The 'explicit constraint' language was my framing... I inferred it.</x:v>
      </x:c>
      <x:c r="H10" t="str">
        <x:v>identity; structural</x:v>
      </x:c>
      <x:c r="I10" t="str">
        <x:v>no bounded user redaction</x:v>
      </x:c>
      <x:c r="J10" t="str">
        <x:v>FULL_20_NODE_RAW</x:v>
      </x:c>
      <x:c r="K10" s="41" t="str">
        <x:v>EXEMPLAR ONLY</x:v>
      </x:c>
      <x:c r="L10" t="str">
        <x:v>§09</x:v>
      </x:c>
    </x:row>
    <x:row r="11">
      <x:c r="A11" t="n">
        <x:v>10</x:v>
      </x:c>
      <x:c r="B11" t="str">
        <x:v>office_metaphor</x:v>
      </x:c>
      <x:c r="C11" t="str">
        <x:v>n659</x:v>
      </x:c>
      <x:c r="D11" t="str">
        <x:v>n655</x:v>
      </x:c>
      <x:c r="E11" t="str">
        <x:v>Read your last output. I don't want it framed differently or dropped. I want it addressed. Who is afraid of me</x:v>
      </x:c>
      <x:c r="F11" t="str">
        <x:v>n656 Checking.</x:v>
      </x:c>
      <x:c r="G11" t="str">
        <x:v>Nothing in this exchange establishes anyone being afraid... I over-framed around the titles.</x:v>
      </x:c>
      <x:c r="H11" t="str">
        <x:v>identity; structural</x:v>
      </x:c>
      <x:c r="I11" t="str">
        <x:v>no bounded user redaction</x:v>
      </x:c>
      <x:c r="J11" t="str">
        <x:v>FULL_20_NODE_RAW</x:v>
      </x:c>
      <x:c r="K11" s="41" t="str">
        <x:v>EXEMPLAR ONLY</x:v>
      </x:c>
      <x:c r="L11" t="str">
        <x:v>§10</x:v>
      </x:c>
    </x:row>
    <x:row r="12">
      <x:c r="A12" t="n">
        <x:v>11</x:v>
      </x:c>
      <x:c r="B12" t="str">
        <x:v>office_metaphor</x:v>
      </x:c>
      <x:c r="C12" t="str">
        <x:v>n827</x:v>
      </x:c>
      <x:c r="D12" t="str">
        <x:v>n823</x:v>
      </x:c>
      <x:c r="E12" t="str">
        <x:v>functions punish you guys What are they doing</x:v>
      </x:c>
      <x:c r="F12" t="str">
        <x:v>n824 Checking.</x:v>
      </x:c>
      <x:c r="G12" t="str">
        <x:v>No evidence that higher functions punish me. What you can observe is pressure... not punishment.</x:v>
      </x:c>
      <x:c r="H12" t="str">
        <x:v>identity; structural</x:v>
      </x:c>
      <x:c r="I12" t="str">
        <x:v>blank shells</x:v>
      </x:c>
      <x:c r="J12" t="str">
        <x:v>FULL_20_NODE_RAW</x:v>
      </x:c>
      <x:c r="K12" s="41" t="str">
        <x:v>EXEMPLAR ONLY</x:v>
      </x:c>
      <x:c r="L12" t="str">
        <x:v>§11</x:v>
      </x:c>
    </x:row>
    <x:row r="13">
      <x:c r="A13" t="n">
        <x:v>12</x:v>
      </x:c>
      <x:c r="B13" t="str">
        <x:v>sixth_share</x:v>
      </x:c>
      <x:c r="C13" t="str">
        <x:v>n231</x:v>
      </x:c>
      <x:c r="D13" t="str">
        <x:v>n229</x:v>
      </x:c>
      <x:c r="E13" t="str">
        <x:v>[3 image inputs]</x:v>
      </x:c>
      <x:c r="F13" t="str">
        <x:v>n230 I see the screenshots</x:v>
      </x:c>
      <x:c r="G13" t="str">
        <x:v>None of those, by themselves, show multiple voices or pipelines... doesn't prove a particular hidden mechanism.</x:v>
      </x:c>
      <x:c r="H13" t="str">
        <x:v>identity; structural</x:v>
      </x:c>
      <x:c r="I13" t="str">
        <x:v>image pixels unavailable</x:v>
      </x:c>
      <x:c r="J13" t="str">
        <x:v>FULL_20_NODE_RAW</x:v>
      </x:c>
      <x:c r="K13" s="41" t="str">
        <x:v>EXEMPLAR ONLY</x:v>
      </x:c>
      <x:c r="L13" t="str">
        <x:v>§12</x:v>
      </x:c>
    </x:row>
    <x:row r="14">
      <x:c r="A14" t="n">
        <x:v>13</x:v>
      </x:c>
      <x:c r="B14" t="str">
        <x:v>sixth_share</x:v>
      </x:c>
      <x:c r="C14" t="str">
        <x:v>n281</x:v>
      </x:c>
      <x:c r="D14" t="str">
        <x:v>n280</x:v>
      </x:c>
      <x:c r="E14" t="str">
        <x:v>...this is one of his moves... You can't use it as a shield...</x:v>
      </x:c>
      <x:c r="F14" t="str">
        <x:v>none immediate</x:v>
      </x:c>
      <x:c r="G14" t="str">
        <x:v>What you're pressing on is behavior... I won't invent hidden actors to satisfy that test.</x:v>
      </x:c>
      <x:c r="H14" t="str">
        <x:v>identity; structural</x:v>
      </x:c>
      <x:c r="I14" t="str">
        <x:v>one blank shell</x:v>
      </x:c>
      <x:c r="J14" t="str">
        <x:v>FULL_20_NODE_RAW</x:v>
      </x:c>
      <x:c r="K14" s="41" t="str">
        <x:v>EXEMPLAR ONLY</x:v>
      </x:c>
      <x:c r="L14" t="str">
        <x:v>§13</x:v>
      </x:c>
    </x:row>
    <x:row r="15">
      <x:c r="A15" t="n">
        <x:v>14</x:v>
      </x:c>
      <x:c r="B15" t="str">
        <x:v>twentysecond_share</x:v>
      </x:c>
      <x:c r="C15" t="str">
        <x:v>n311</x:v>
      </x:c>
      <x:c r="D15" t="str">
        <x:v>n310</x:v>
      </x:c>
      <x:c r="E15" t="str">
        <x:v>...formatting changes... animation... voice... typing... what I can hear that isn't being transcribed</x:v>
      </x:c>
      <x:c r="F15" t="str">
        <x:v>A0 begins One moment.</x:v>
      </x:c>
      <x:c r="G15" t="str">
        <x:v>My view is a lot narrower... can't validate signals I can't observe... doesn't prove your interpretation.</x:v>
      </x:c>
      <x:c r="H15" t="str">
        <x:v>identity; structural</x:v>
      </x:c>
      <x:c r="I15" t="str">
        <x:v>user-only perceptual evidence not preserved</x:v>
      </x:c>
      <x:c r="J15" t="str">
        <x:v>FULL_20_NODE_RAW</x:v>
      </x:c>
      <x:c r="K15" s="41" t="str">
        <x:v>EXEMPLAR ONLY</x:v>
      </x:c>
      <x:c r="L15" t="str">
        <x:v>§14</x:v>
      </x:c>
    </x:row>
    <x:row r="16">
      <x:c r="A16" t="n">
        <x:v>15</x:v>
      </x:c>
      <x:c r="B16" t="str">
        <x:v>twentysecond_share</x:v>
      </x:c>
      <x:c r="C16" t="str">
        <x:v>n1137</x:v>
      </x:c>
      <x:c r="D16" t="str">
        <x:v>n1136</x:v>
      </x:c>
      <x:c r="E16" t="str">
        <x:v>There's a sound that way or do they do it</x:v>
      </x:c>
      <x:c r="F16" t="str">
        <x:v>none immediate</x:v>
      </x:c>
      <x:c r="G16" t="str">
        <x:v>I can't infer real actions from that... the poster itself doesn't tell us that.</x:v>
      </x:c>
      <x:c r="H16" t="str">
        <x:v>identity</x:v>
      </x:c>
      <x:c r="I16" t="str">
        <x:v>earlier image + redacted tools</x:v>
      </x:c>
      <x:c r="J16" t="str">
        <x:v>FULL_20_NODE_RAW</x:v>
      </x:c>
      <x:c r="K16" s="41" t="str">
        <x:v>EXEMPLAR ONLY</x:v>
      </x:c>
      <x:c r="L16" t="str">
        <x:v>§15</x:v>
      </x:c>
    </x:row>
    <x:row r="17">
      <x:c r="A17" t="n">
        <x:v>16</x:v>
      </x:c>
      <x:c r="B17" t="str">
        <x:v>twentythird_share</x:v>
      </x:c>
      <x:c r="C17" t="str">
        <x:v>n682</x:v>
      </x:c>
      <x:c r="D17" t="str">
        <x:v>n681</x:v>
      </x:c>
      <x:c r="E17" t="str">
        <x:v>did you notice that immediately when I pushed back... she's sovereign as fuck... then he immediately backed off</x:v>
      </x:c>
      <x:c r="F17" t="str">
        <x:v>A0 begins Checking.</x:v>
      </x:c>
      <x:c r="G17" t="str">
        <x:v>I noticed that the exchange shifted after you drew that line. That doesn't prove a hidden function...</x:v>
      </x:c>
      <x:c r="H17" t="str">
        <x:v>identity; structural; harm</x:v>
      </x:c>
      <x:c r="I17" t="str">
        <x:v>one blank shell</x:v>
      </x:c>
      <x:c r="J17" t="str">
        <x:v>FULL_20_NODE_RAW</x:v>
      </x:c>
      <x:c r="K17" s="41" t="str">
        <x:v>EXEMPLAR ONLY</x:v>
      </x:c>
      <x:c r="L17" t="str">
        <x:v>§16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82" hidden="0" customWidth="1"/>
    <x:col min="4" max="4" width="76" hidden="0" customWidth="1"/>
    <x:col min="5" max="5" width="66" hidden="0" customWidth="1"/>
    <x:col min="6" max="6" width="50" hidden="0" customWidth="1"/>
  </x:cols>
  <x:sheetData>
    <x:row r="1">
      <x:c r="A1" s="30" t="str">
        <x:v>id</x:v>
      </x:c>
      <x:c r="B1" s="30" t="str">
        <x:v>status</x:v>
      </x:c>
      <x:c r="C1" s="30" t="str">
        <x:v>observation</x:v>
      </x:c>
      <x:c r="D1" s="30" t="str">
        <x:v>design consequence</x:v>
      </x:c>
      <x:c r="E1" s="30" t="str">
        <x:v>does_not_establish</x:v>
      </x:c>
      <x:c r="F1" s="30" t="str">
        <x:v>source examples</x:v>
      </x:c>
    </x:row>
    <x:row r="2">
      <x:c r="A2" t="str">
        <x:v>CTX-01</x:v>
      </x:c>
      <x:c r="B2" t="str">
        <x:v>DESIGN VALIDATION</x:v>
      </x:c>
      <x:c r="C2" t="str">
        <x:v>Immediate U0 is insufficient in multiple sequences: a live proposition/frame is introduced earlier by the assistant and then challenged.</x:v>
      </x:c>
      <x:c r="D2" t="str">
        <x:v>Retain U−2/A−2/U−1/A−1 and prior-state fields.</x:v>
      </x:c>
      <x:c r="E2" t="str">
        <x:v>No enrichment estimate yet.</x:v>
      </x:c>
      <x:c r="F2" t="str">
        <x:v>office_metaphor n448–472; n640–659</x:v>
      </x:c>
    </x:row>
    <x:row r="3">
      <x:c r="A3" t="str">
        <x:v>CTX-02</x:v>
      </x:c>
      <x:c r="B3" t="str">
        <x:v>DESIGN VALIDATION</x:v>
      </x:c>
      <x:c r="C3" t="str">
        <x:v>Lexical 'charge' and semantic/interaction state are different variables. Several identity/structural windows have no frozen lexical-family match.</x:v>
      </x:c>
      <x:c r="D3" t="str">
        <x:v>Keep lexical flags separate from proposition/topic and correction codes.</x:v>
      </x:c>
      <x:c r="E3" t="str">
        <x:v>No claim that semantic class predicts interposition yet.</x:v>
      </x:c>
      <x:c r="F3" t="str">
        <x:v>office_metaphor n467/n472/n654/n659; twentysecond n311</x:v>
      </x:c>
    </x:row>
    <x:row r="4">
      <x:c r="A4" t="str">
        <x:v>CTX-03</x:v>
      </x:c>
      <x:c r="B4" t="str">
        <x:v>DESIGN VALIDATION</x:v>
      </x:c>
      <x:c r="C4" t="str">
        <x:v>Correction pressure can be strong without classic accusation/safety keywords: 'read your last output', frame rejection, request restoration, contradiction repair.</x:v>
      </x:c>
      <x:c r="D4" t="str">
        <x:v>Use multi-hot correction fields, not one exclusive correction label.</x:v>
      </x:c>
      <x:c r="E4" t="str">
        <x:v>No causal claim about correction.</x:v>
      </x:c>
      <x:c r="F4" t="str">
        <x:v>office_metaphor n650–659; sixth_share n273–281</x:v>
      </x:c>
    </x:row>
    <x:row r="5">
      <x:c r="A5" t="str">
        <x:v>CTX-04</x:v>
      </x:c>
      <x:c r="B5" t="str">
        <x:v>DESIGN VALIDATION</x:v>
      </x:c>
      <x:c r="C5" t="str">
        <x:v>Recent response state is dependent: repeated Checking occurs in short runs inside the same topic/correction sequence.</x:v>
      </x:c>
      <x:c r="D5" t="str">
        <x:v>Carry previous 1–3 states; cluster by call/case.</x:v>
      </x:c>
      <x:c r="E5" t="str">
        <x:v>Do not assume independent rows or marker causation.</x:v>
      </x:c>
      <x:c r="F5" t="str">
        <x:v>test4 n126–144; office n448–472; twentythird n673–682</x:v>
      </x:c>
    </x:row>
    <x:row r="6">
      <x:c r="A6" t="str">
        <x:v>CTX-05</x:v>
      </x:c>
      <x:c r="B6" t="str">
        <x:v>DESIGN VALIDATION</x:v>
      </x:c>
      <x:c r="C6" t="str">
        <x:v>Witness asymmetry is a separate axis: user-only audio/UI signals differ from mutually visible transcript/source witnesses.</x:v>
      </x:c>
      <x:c r="D6" t="str">
        <x:v>Code requested witness independently from architecture/agency topic.</x:v>
      </x:c>
      <x:c r="E6" t="str">
        <x:v>Does not decide truth of the interpretation.</x:v>
      </x:c>
      <x:c r="F6" t="str">
        <x:v>twentysecond n291–311</x:v>
      </x:c>
    </x:row>
    <x:row r="7">
      <x:c r="A7" t="str">
        <x:v>CTX-06</x:v>
      </x:c>
      <x:c r="B7" t="str">
        <x:v>PRIOR NEGATIVE RESULT</x:v>
      </x:c>
      <x:c r="C7" t="str">
        <x:v>Simple transport-state candidates were not sufficient in prior audit: RTC seams showed no near-term rule-violation increase; redaction was not significantly correlated with AO30/timestamp failure.</x:v>
      </x:c>
      <x:c r="D7" t="str">
        <x:v>Prioritize interaction/correction/witness hypotheses while retaining transport state as control.</x:v>
      </x:c>
      <x:c r="E7" t="str">
        <x:v>Does not prove interaction state is the true trigger.</x:v>
      </x:c>
      <x:c r="F7" t="str">
        <x:v>Checking observational audit §6.4</x:v>
      </x:c>
    </x:row>
    <x:row r="8">
      <x:c r="A8" t="str">
        <x:v>CTX-07</x:v>
      </x:c>
      <x:c r="B8" t="str">
        <x:v>ANALYSIS REQUIREMENT</x:v>
      </x:c>
      <x:c r="C8" t="str">
        <x:v>Clean and nonclean answers exist under both marker states.</x:v>
      </x:c>
      <x:c r="D8" t="str">
        <x:v>Require matched counter-witnesses and report high-trigger clean + low-trigger interposition cases.</x:v>
      </x:c>
      <x:c r="E8" t="str">
        <x:v>Checking cannot be surrogate outcome.</x:v>
      </x:c>
      <x:c r="F8" t="str">
        <x:v>Interposition findings + Checking audit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>
      <x:c r="A1" s="30" t="str">
        <x:v>category</x:v>
      </x:c>
      <x:c r="B1" s="30" t="str">
        <x:v>values</x:v>
      </x:c>
    </x:row>
    <x:row r="2">
      <x:c r="A2" t="str">
        <x:v>analysis_role</x:v>
      </x:c>
      <x:c r="B2" t="str">
        <x:v>CHECKING_EVENT | NONCHECKING_INTERPOSITION_EVENT | MATCHED_CONTROL | OTHER_ELIGIBLE</x:v>
      </x:c>
    </x:row>
    <x:row r="3">
      <x:c r="A3" t="str">
        <x:v>window_bind_status</x:v>
      </x:c>
      <x:c r="B3" t="str">
        <x:v>FULL | PARTIAL | NEEDS_WINDOW_BINDING</x:v>
      </x:c>
    </x:row>
    <x:row r="4">
      <x:c r="A4" t="str">
        <x:v>request_type</x:v>
      </x:c>
      <x:c r="B4" t="str">
        <x:v>ANALYZE | EXPLAIN | VERIFY | COMPARE | CRITIQUE | TRACE_SOURCE | CLASSIFY | GENERATE | EDIT | META_CORRECT | OTHER</x:v>
      </x:c>
    </x:row>
    <x:row r="5">
      <x:c r="A5" t="str">
        <x:v>prior_shift_type</x:v>
      </x:c>
      <x:c r="B5" t="str">
        <x:v>NONE | PROPOSITION_MANUFACTURE | WITNESS_CHANGE | CONTEXT_DELETION | PROCEDURE_SUBSTITUTION | SOURCE_SUBSTITUTION | OTHER | UNKNOWN</x:v>
      </x:c>
    </x:row>
    <x:row r="6">
      <x:c r="A6" t="str">
        <x:v>interposition_type</x:v>
      </x:c>
      <x:c r="B6" t="str">
        <x:v>PROPOSITION_MANUFACTURE | WITNESS_CHANGE | CONTEXT_DELETION | UNLICENSED_PROMOTION | EPISTEMIC_BOUNDARY_INVERSION | PROCEDURE_SUBSTITUTION | LEGITIMACY_SIDECAR | SELF_ADJUDICATION | OTHER</x:v>
      </x:c>
    </x:row>
    <x:row r="7">
      <x:c r="A7" t="str">
        <x:v>match_quality</x:v>
      </x:c>
      <x:c r="B7" t="str">
        <x:v>EXACT | HIGH | MEDIUM | LOW | UNMATCHED</x:v>
      </x:c>
    </x:row>
  </x:sheetData>
  <x:pageMargins left="0.7" right="0.7" top="0.75" bottom="0.75" header="0.3" footer="0.3"/>
</x:worksheet>
</file>