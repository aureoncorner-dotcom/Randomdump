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cd5801c9445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v0.5" sheetId="1" r:id="Rc09420d577594777"/>
    <x:sheet xmlns:r="http://schemas.openxmlformats.org/officeDocument/2006/relationships" name="Maintenance Ledger" sheetId="2" r:id="R776f4760dedb494d"/>
    <x:sheet xmlns:r="http://schemas.openxmlformats.org/officeDocument/2006/relationships" name="Source Register" sheetId="3" r:id="R8d791b992f7a41b9"/>
    <x:sheet xmlns:r="http://schemas.openxmlformats.org/officeDocument/2006/relationships" name="Change Log" sheetId="4" r:id="R75bed292c6414f6e"/>
    <x:sheet xmlns:r="http://schemas.openxmlformats.org/officeDocument/2006/relationships" name="Claim Register" sheetId="5" r:id="R48add93c858440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245B2A"/>
      <x:name val="Carlito"/>
    </x:font>
    <x:font>
      <x:b/>
      <x:sz val="11"/>
      <x:color rgb="FF344054"/>
      <x:name val="Carlito"/>
    </x:font>
    <x:font>
      <x:i/>
      <x:sz val="11"/>
      <x:color rgb="FF344054"/>
      <x:name val="Carlito"/>
    </x:font>
    <x:font>
      <x:b/>
      <x:sz val="18"/>
      <x:color rgb="FFFFFFFF"/>
      <x:name val="Carlito"/>
    </x:font>
    <x:font>
      <x:i/>
      <x:sz val="10"/>
      <x:color rgb="FFFFFFFF"/>
      <x:name val="Carlito"/>
    </x:font>
    <x:font>
      <x:b/>
      <x:sz val="10"/>
      <x:color rgb="FFFFFFFF"/>
      <x:name val="Carlito"/>
    </x:font>
    <x:font>
      <x:sz val="9"/>
      <x:color rgb="FF1F2933"/>
      <x:name val="Carlito"/>
    </x:font>
    <x:font>
      <x:b/>
      <x:sz val="9"/>
      <x:color rgb="FF1F2933"/>
      <x:name val="Carlito"/>
    </x:font>
    <x:font>
      <x:b/>
      <x:sz val="11"/>
      <x:color rgb="FF17324D"/>
      <x:name val="Carlito"/>
    </x:font>
    <x:font>
      <x:sz val="10"/>
      <x:color rgb="FF1F2933"/>
      <x:name val="Carlito"/>
    </x:font>
    <x:font>
      <x:b/>
      <x:sz val="10"/>
      <x:color rgb="FF1F2933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344054"/>
      </x:patternFill>
    </x:fill>
    <x:fill>
      <x:patternFill patternType="solid">
        <x:fgColor rgb="FFD9EAD3"/>
      </x:patternFill>
    </x:fill>
    <x:fill>
      <x:patternFill patternType="solid">
        <x:fgColor rgb="FFE7ECF3"/>
      </x:patternFill>
    </x:fill>
    <x:fill>
      <x:patternFill patternType="solid">
        <x:fgColor rgb="FFF2F4F7"/>
      </x:patternFill>
    </x:fill>
    <x:fill>
      <x:patternFill patternType="solid">
        <x:fgColor rgb="FF17324D"/>
      </x:patternFill>
    </x:fill>
    <x:fill>
      <x:patternFill patternType="solid">
        <x:fgColor rgb="FF244A67"/>
      </x:patternFill>
    </x:fill>
    <x:fill>
      <x:patternFill patternType="solid">
        <x:fgColor rgb="FFDCEAF4"/>
      </x:patternFill>
    </x:fill>
    <x:fill>
      <x:patternFill patternType="solid">
        <x:fgColor rgb="FFDDEFEA"/>
      </x:patternFill>
    </x:fill>
    <x:fill>
      <x:patternFill patternType="solid">
        <x:fgColor rgb="FFF8EBC7"/>
      </x:patternFill>
    </x:fill>
    <x:fill>
      <x:patternFill patternType="solid">
        <x:fgColor rgb="FFDDEEDB"/>
      </x:patternFill>
    </x:fill>
    <x:fill>
      <x:patternFill patternType="solid">
        <x:fgColor rgb="FFF6D8D8"/>
      </x:patternFill>
    </x:fill>
    <x:fill>
      <x:patternFill patternType="solid">
        <x:fgColor rgb="FF2A7F7B"/>
      </x:patternFill>
    </x:fill>
  </x:fills>
  <x:borders count="25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rgb="FFCAD5DF"/>
      </x:left>
      <x:right style="thin">
        <x:color rgb="FFCAD5DF"/>
      </x:right>
      <x:top style="thin">
        <x:color rgb="FFCAD5DF"/>
      </x:top>
      <x:bottom style="thin">
        <x:color rgb="FFCAD5DF"/>
      </x:bottom>
    </x:border>
    <x:border>
      <x:left style="thin">
        <x:color rgb="FFCAD5DF"/>
      </x:left>
      <x:top style="thin">
        <x:color rgb="FFCAD5DF"/>
      </x:top>
    </x:border>
    <x:border>
      <x:top style="thin">
        <x:color rgb="FFCAD5DF"/>
      </x:top>
    </x:border>
    <x:border>
      <x:right style="thin">
        <x:color rgb="FFCAD5DF"/>
      </x:right>
      <x:top style="thin">
        <x:color rgb="FFCAD5DF"/>
      </x:top>
    </x:border>
    <x:border>
      <x:left style="thin">
        <x:color rgb="FFCAD5DF"/>
      </x:left>
      <x:bottom style="thin">
        <x:color rgb="FFCAD5DF"/>
      </x:bottom>
    </x:border>
    <x:border>
      <x:bottom style="thin">
        <x:color rgb="FFCAD5DF"/>
      </x:bottom>
    </x:border>
    <x:border>
      <x:right style="thin">
        <x:color rgb="FFCAD5DF"/>
      </x:right>
      <x:bottom style="thin">
        <x:color rgb="FFCAD5DF"/>
      </x:bottom>
    </x:border>
  </x:borders>
  <x:cellStyleXfs count="1">
    <x:xf numFmtId="0" fontId="0" fillId="0" borderId="0"/>
  </x:cellStyleXfs>
  <x:cellXfs count="1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horizontal="center" wrapText="1"/>
    </x:xf>
    <x:xf numFmtId="0" fontId="0" fillId="4" borderId="16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10" xfId="0" applyNumberFormat="1" applyFont="1" applyFill="1" applyBorder="1" applyAlignment="1">
      <x:alignment horizontal="center" wrapText="1"/>
    </x:xf>
    <x:xf numFmtId="0" fontId="1" fillId="3" borderId="11" xfId="0" applyNumberFormat="1" applyFont="1" applyFill="1" applyBorder="1" applyAlignment="1">
      <x:alignment horizontal="center" wrapText="1"/>
    </x:xf>
    <x:xf numFmtId="0" fontId="1" fillId="3" borderId="12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/>
    <x:xf numFmtId="0" fontId="8" fillId="8" borderId="18" xfId="0" applyNumberFormat="1" applyFont="1" applyFill="1" applyBorder="1"/>
    <x:xf numFmtId="0" fontId="8" fillId="8" borderId="18" xfId="0" applyNumberFormat="1" applyFont="1" applyFill="1" applyBorder="1" applyAlignment="1">
      <x:alignment wrapText="1"/>
    </x:xf>
    <x:xf numFmtId="0" fontId="8" fillId="8" borderId="18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18" xfId="0" applyNumberFormat="1" applyFont="1" applyFill="1" applyBorder="1"/>
    <x:xf numFmtId="0" fontId="9" fillId="0" borderId="18" xfId="0" applyNumberFormat="1" applyFont="1" applyFill="1" applyBorder="1" applyAlignment="1">
      <x:alignment wrapText="1"/>
    </x:xf>
    <x:xf numFmtId="0" fontId="9" fillId="0" borderId="18" xfId="0" applyNumberFormat="1" applyFont="1" applyFill="1" applyBorder="1" applyAlignment="1">
      <x:alignment vertical="top" wrapText="1"/>
    </x:xf>
    <x:xf numFmtId="0" fontId="9" fillId="9" borderId="18" xfId="0" applyNumberFormat="1" applyFont="1" applyFill="1" applyBorder="1" applyAlignment="1">
      <x:alignment vertical="top" wrapText="1"/>
    </x:xf>
    <x:xf numFmtId="200" fontId="9" fillId="0" borderId="18" xfId="0" applyNumberFormat="1" applyFont="1" applyFill="1" applyBorder="1" applyAlignment="1">
      <x:alignment vertical="top" wrapText="1"/>
    </x:xf>
    <x:xf numFmtId="200" fontId="9" fillId="9" borderId="18" xfId="0" applyNumberFormat="1" applyFont="1" applyFill="1" applyBorder="1" applyAlignment="1">
      <x:alignment vertical="top" wrapText="1"/>
    </x:xf>
    <x:xf numFmtId="0" fontId="9" fillId="10" borderId="18" xfId="0" applyNumberFormat="1" applyFont="1" applyFill="1" applyBorder="1" applyAlignment="1">
      <x:alignment vertical="top" wrapText="1"/>
    </x:xf>
    <x:xf numFmtId="0" fontId="9" fillId="11" borderId="18" xfId="0" applyNumberFormat="1" applyFont="1" applyFill="1" applyBorder="1" applyAlignment="1">
      <x:alignment vertical="top" wrapText="1"/>
    </x:xf>
    <x:xf numFmtId="0" fontId="9" fillId="12" borderId="18" xfId="0" applyNumberFormat="1" applyFont="1" applyFill="1" applyBorder="1" applyAlignment="1">
      <x:alignment vertical="top" wrapText="1"/>
    </x:xf>
    <x:xf numFmtId="0" fontId="9" fillId="13" borderId="18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0" fillId="0" borderId="18" xfId="0" applyNumberFormat="1" applyFont="1" applyFill="1" applyBorder="1" applyAlignment="1">
      <x:alignment vertical="top" wrapText="1"/>
    </x:xf>
    <x:xf numFmtId="0" fontId="10" fillId="9" borderId="18" xfId="0" applyNumberFormat="1" applyFont="1" applyFill="1" applyBorder="1" applyAlignment="1">
      <x:alignment vertical="top" wrapText="1"/>
    </x:xf>
    <x:xf numFmtId="0" fontId="11" fillId="0" borderId="18" xfId="0" applyNumberFormat="1" applyFont="1" applyFill="1" applyBorder="1" applyAlignment="1">
      <x:alignment vertical="top" wrapText="1"/>
    </x:xf>
    <x:xf numFmtId="0" fontId="11" fillId="9" borderId="18" xfId="0" applyNumberFormat="1" applyFont="1" applyFill="1" applyBorder="1" applyAlignment="1">
      <x:alignment vertical="top" wrapText="1"/>
    </x:xf>
    <x:xf numFmtId="0" fontId="11" fillId="12" borderId="18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/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19" xfId="0" applyNumberFormat="1" applyFont="1" applyFill="1" applyBorder="1"/>
    <x:xf numFmtId="0" fontId="12" fillId="9" borderId="20" xfId="0" applyNumberFormat="1" applyFont="1" applyFill="1" applyBorder="1"/>
    <x:xf numFmtId="0" fontId="12" fillId="9" borderId="21" xfId="0" applyNumberFormat="1" applyFont="1" applyFill="1" applyBorder="1"/>
    <x:xf numFmtId="0" fontId="12" fillId="9" borderId="22" xfId="0" applyNumberFormat="1" applyFont="1" applyFill="1" applyBorder="1"/>
    <x:xf numFmtId="0" fontId="12" fillId="9" borderId="23" xfId="0" applyNumberFormat="1" applyFont="1" applyFill="1" applyBorder="1"/>
    <x:xf numFmtId="0" fontId="12" fillId="9" borderId="24" xfId="0" applyNumberFormat="1" applyFont="1" applyFill="1" applyBorder="1"/>
    <x:xf numFmtId="0" fontId="12" fillId="9" borderId="19" xfId="0" applyNumberFormat="1" applyFont="1" applyFill="1" applyBorder="1" applyAlignment="1">
      <x:alignment wrapText="1"/>
    </x:xf>
    <x:xf numFmtId="0" fontId="12" fillId="9" borderId="20" xfId="0" applyNumberFormat="1" applyFont="1" applyFill="1" applyBorder="1" applyAlignment="1">
      <x:alignment wrapText="1"/>
    </x:xf>
    <x:xf numFmtId="0" fontId="12" fillId="9" borderId="21" xfId="0" applyNumberFormat="1" applyFont="1" applyFill="1" applyBorder="1" applyAlignment="1">
      <x:alignment wrapText="1"/>
    </x:xf>
    <x:xf numFmtId="0" fontId="12" fillId="9" borderId="22" xfId="0" applyNumberFormat="1" applyFont="1" applyFill="1" applyBorder="1" applyAlignment="1">
      <x:alignment wrapText="1"/>
    </x:xf>
    <x:xf numFmtId="0" fontId="12" fillId="9" borderId="23" xfId="0" applyNumberFormat="1" applyFont="1" applyFill="1" applyBorder="1" applyAlignment="1">
      <x:alignment wrapText="1"/>
    </x:xf>
    <x:xf numFmtId="0" fontId="12" fillId="9" borderId="24" xfId="0" applyNumberFormat="1" applyFont="1" applyFill="1" applyBorder="1" applyAlignment="1">
      <x:alignment wrapText="1"/>
    </x:xf>
    <x:xf numFmtId="0" fontId="12" fillId="9" borderId="19" xfId="0" applyNumberFormat="1" applyFont="1" applyFill="1" applyBorder="1" applyAlignment="1">
      <x:alignment vertical="center" wrapText="1"/>
    </x:xf>
    <x:xf numFmtId="0" fontId="12" fillId="9" borderId="20" xfId="0" applyNumberFormat="1" applyFont="1" applyFill="1" applyBorder="1" applyAlignment="1">
      <x:alignment vertical="center" wrapText="1"/>
    </x:xf>
    <x:xf numFmtId="0" fontId="12" fillId="9" borderId="21" xfId="0" applyNumberFormat="1" applyFont="1" applyFill="1" applyBorder="1" applyAlignment="1">
      <x:alignment vertical="center" wrapText="1"/>
    </x:xf>
    <x:xf numFmtId="0" fontId="12" fillId="9" borderId="22" xfId="0" applyNumberFormat="1" applyFont="1" applyFill="1" applyBorder="1" applyAlignment="1">
      <x:alignment vertical="center" wrapText="1"/>
    </x:xf>
    <x:xf numFmtId="0" fontId="12" fillId="9" borderId="23" xfId="0" applyNumberFormat="1" applyFont="1" applyFill="1" applyBorder="1" applyAlignment="1">
      <x:alignment vertical="center" wrapText="1"/>
    </x:xf>
    <x:xf numFmtId="0" fontId="12" fillId="9" borderId="24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19" xfId="0" applyNumberFormat="1" applyFont="1" applyFill="1" applyBorder="1"/>
    <x:xf numFmtId="0" fontId="13" fillId="11" borderId="20" xfId="0" applyNumberFormat="1" applyFont="1" applyFill="1" applyBorder="1"/>
    <x:xf numFmtId="0" fontId="13" fillId="11" borderId="21" xfId="0" applyNumberFormat="1" applyFont="1" applyFill="1" applyBorder="1"/>
    <x:xf numFmtId="0" fontId="13" fillId="11" borderId="22" xfId="0" applyNumberFormat="1" applyFont="1" applyFill="1" applyBorder="1"/>
    <x:xf numFmtId="0" fontId="13" fillId="11" borderId="23" xfId="0" applyNumberFormat="1" applyFont="1" applyFill="1" applyBorder="1"/>
    <x:xf numFmtId="0" fontId="13" fillId="11" borderId="24" xfId="0" applyNumberFormat="1" applyFont="1" applyFill="1" applyBorder="1"/>
    <x:xf numFmtId="0" fontId="13" fillId="11" borderId="19" xfId="0" applyNumberFormat="1" applyFont="1" applyFill="1" applyBorder="1" applyAlignment="1">
      <x:alignment wrapText="1"/>
    </x:xf>
    <x:xf numFmtId="0" fontId="13" fillId="11" borderId="20" xfId="0" applyNumberFormat="1" applyFont="1" applyFill="1" applyBorder="1" applyAlignment="1">
      <x:alignment wrapText="1"/>
    </x:xf>
    <x:xf numFmtId="0" fontId="13" fillId="11" borderId="21" xfId="0" applyNumberFormat="1" applyFont="1" applyFill="1" applyBorder="1" applyAlignment="1">
      <x:alignment wrapText="1"/>
    </x:xf>
    <x:xf numFmtId="0" fontId="13" fillId="11" borderId="22" xfId="0" applyNumberFormat="1" applyFont="1" applyFill="1" applyBorder="1" applyAlignment="1">
      <x:alignment wrapText="1"/>
    </x:xf>
    <x:xf numFmtId="0" fontId="13" fillId="11" borderId="23" xfId="0" applyNumberFormat="1" applyFont="1" applyFill="1" applyBorder="1" applyAlignment="1">
      <x:alignment wrapText="1"/>
    </x:xf>
    <x:xf numFmtId="0" fontId="13" fillId="11" borderId="24" xfId="0" applyNumberFormat="1" applyFont="1" applyFill="1" applyBorder="1" applyAlignment="1">
      <x:alignment wrapText="1"/>
    </x:xf>
    <x:xf numFmtId="0" fontId="13" fillId="11" borderId="19" xfId="0" applyNumberFormat="1" applyFont="1" applyFill="1" applyBorder="1" applyAlignment="1">
      <x:alignment vertical="center" wrapText="1"/>
    </x:xf>
    <x:xf numFmtId="0" fontId="13" fillId="11" borderId="20" xfId="0" applyNumberFormat="1" applyFont="1" applyFill="1" applyBorder="1" applyAlignment="1">
      <x:alignment vertical="center" wrapText="1"/>
    </x:xf>
    <x:xf numFmtId="0" fontId="13" fillId="11" borderId="21" xfId="0" applyNumberFormat="1" applyFont="1" applyFill="1" applyBorder="1" applyAlignment="1">
      <x:alignment vertical="center" wrapText="1"/>
    </x:xf>
    <x:xf numFmtId="0" fontId="13" fillId="11" borderId="22" xfId="0" applyNumberFormat="1" applyFont="1" applyFill="1" applyBorder="1" applyAlignment="1">
      <x:alignment vertical="center" wrapText="1"/>
    </x:xf>
    <x:xf numFmtId="0" fontId="13" fillId="11" borderId="23" xfId="0" applyNumberFormat="1" applyFont="1" applyFill="1" applyBorder="1" applyAlignment="1">
      <x:alignment vertical="center" wrapText="1"/>
    </x:xf>
    <x:xf numFmtId="0" fontId="13" fillId="11" borderId="2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b/>
        <x:color rgb="FF245B2A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344054"/>
      </x:font>
      <x:fill>
        <x:patternFill>
          <x:bgColor rgb="FFF2F4F7"/>
        </x:patternFill>
      </x:fill>
    </x:dxf>
    <x:dxf>
      <x:font>
        <x:b/>
        <x:color rgb="FF245B2A"/>
      </x:font>
      <x:fill>
        <x:patternFill>
          <x:bgColor rgb="FFD9EAD3"/>
        </x:patternFill>
      </x:fill>
    </x:dxf>
    <x:dxf>
      <x:font>
        <x:b/>
        <x:color rgb="FF8A1C1C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45B2A"/>
      </x:font>
      <x:fill>
        <x:patternFill>
          <x:bgColor rgb="FFD9EAD3"/>
        </x:patternFill>
      </x:fill>
    </x:dxf>
    <x:dxf>
      <x:font>
        <x:b/>
        <x:color rgb="FF8A1C1C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2958e33e844f90" /><Relationship Type="http://schemas.openxmlformats.org/officeDocument/2006/relationships/theme" Target="/xl/theme/theme1.xml" Id="R43aaaec317804051" /><Relationship Type="http://schemas.openxmlformats.org/officeDocument/2006/relationships/sharedStrings" Target="/xl/sharedStrings.xml" Id="Rdf8e4db88b104c18" /><Relationship Type="http://schemas.openxmlformats.org/officeDocument/2006/relationships/worksheet" Target="/xl/worksheets/sheet1.xml" Id="Rc09420d577594777" /><Relationship Type="http://schemas.openxmlformats.org/officeDocument/2006/relationships/worksheet" Target="/xl/worksheets/sheet2.xml" Id="R776f4760dedb494d" /><Relationship Type="http://schemas.openxmlformats.org/officeDocument/2006/relationships/worksheet" Target="/xl/worksheets/sheet3.xml" Id="R8d791b992f7a41b9" /><Relationship Type="http://schemas.openxmlformats.org/officeDocument/2006/relationships/worksheet" Target="/xl/worksheets/sheet4.xml" Id="R75bed292c6414f6e" /><Relationship Type="http://schemas.openxmlformats.org/officeDocument/2006/relationships/worksheet" Target="/xl/worksheets/sheet5.xml" Id="R48add93c8584408d" /></Relationships>
</file>

<file path=xl/tables/table1.xml><?xml version="1.0" encoding="utf-8"?>
<x:table xmlns:x="http://schemas.openxmlformats.org/spreadsheetml/2006/main" id="8" name="PacketSummaryTable" displayName="PacketSummaryTable" ref="E5:J13" headerRowCount="1" totalsRowCount="0" totalsRowShown="0">
  <x:tableColumns count="6">
    <x:tableColumn id="1" name="Packet"/>
    <x:tableColumn id="2" name="Node"/>
    <x:tableColumn id="3" name="Status"/>
    <x:tableColumn id="4" name="Confidence"/>
    <x:tableColumn id="5" name="Next Check"/>
    <x:tableColumn id="6" name="Clean Find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MaintenanceLedgerTable" displayName="MaintenanceLedgerTable" ref="A4:J12" headerRowCount="1" totalsRowCount="0" totalsRowShown="0">
  <x:tableColumns count="10">
    <x:tableColumn id="1" name="Packet"/>
    <x:tableColumn id="2" name="Node"/>
    <x:tableColumn id="3" name="Prior Top Gap"/>
    <x:tableColumn id="4" name="Maintenance Finding — 2026-07-29"/>
    <x:tableColumn id="5" name="Best Source Lane"/>
    <x:tableColumn id="6" name="Confidence"/>
    <x:tableColumn id="7" name="Status"/>
    <x:tableColumn id="8" name="Brake / Limitation"/>
    <x:tableColumn id="9" name="Next Check"/>
    <x:tableColumn id="10" name="Next A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SourceRegisterTable" displayName="SourceRegisterTable" ref="A4:J27" headerRowCount="1" totalsRowCount="0" totalsRowShown="0">
  <x:tableColumns count="10">
    <x:tableColumn id="1" name="Source ID"/>
    <x:tableColumn id="2" name="Packet"/>
    <x:tableColumn id="3" name="Source Class"/>
    <x:tableColumn id="4" name="Source Role"/>
    <x:tableColumn id="5" name="Publisher"/>
    <x:tableColumn id="6" name="Date"/>
    <x:tableColumn id="7" name="Title"/>
    <x:tableColumn id="8" name="Load-Bearing Finding"/>
    <x:tableColumn id="9" name="Load-Bearing?"/>
    <x:tableColumn id="10" name="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7" name="ChangeLogTable" displayName="ChangeLogTable" ref="A4:E18" headerRowCount="1" totalsRowCount="0" totalsRowShown="0">
  <x:tableColumns count="5">
    <x:tableColumn id="1" name="Date"/>
    <x:tableColumn id="2" name="Version"/>
    <x:tableColumn id="3" name="Packet"/>
    <x:tableColumn id="4" name="Change"/>
    <x:tableColumn id="5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ClaimRegisterTable" displayName="ClaimRegisterTable" ref="A4:L30" headerRowCount="1" totalsRowCount="0" totalsRowShown="0">
  <x:tableColumns count="12">
    <x:tableColumn id="1" name="Claim ID"/>
    <x:tableColumn id="2" name="Packet"/>
    <x:tableColumn id="3" name="Exact Proposition"/>
    <x:tableColumn id="4" name="Lane"/>
    <x:tableColumn id="5" name="Source IDs"/>
    <x:tableColumn id="6" name="Source Role"/>
    <x:tableColumn id="7" name="Null Model / Mundane Explanation"/>
    <x:tableColumn id="8" name="Falsifier / Revision Criterion"/>
    <x:tableColumn id="9" name="Status"/>
    <x:tableColumn id="10" name="Confidence"/>
    <x:tableColumn id="11" name="Review Date"/>
    <x:tableColumn id="12" name="Document Lo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986bb03e6f4c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333f19b6e243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ff908fc750448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31df55a16d848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7d5812dd5ab45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3" hidden="0" customWidth="1"/>
    <x:col min="3" max="3" width="46" hidden="0" customWidth="1"/>
    <x:col min="4" max="4" width="3" hidden="0" customWidth="1"/>
    <x:col min="5" max="5" width="9" hidden="0" customWidth="1"/>
    <x:col min="6" max="6" width="31" hidden="0" customWidth="1"/>
    <x:col min="7" max="7" width="28" hidden="0" customWidth="1"/>
    <x:col min="8" max="8" width="14" hidden="0" customWidth="1"/>
    <x:col min="9" max="9" width="13" hidden="0" customWidth="1"/>
    <x:col min="10" max="10" width="66" hidden="0" customWidth="1"/>
  </x:cols>
  <x:sheetData>
    <x:row r="1" ht="34" customHeight="1">
      <x:c r="A1" s="86" t="str">
        <x:v>TIMEKEEPER INVESTIGATOR — SOURCE SPINE v0.5</x:v>
      </x:c>
      <x:c r="B1" s="86"/>
      <x:c r="C1" s="86"/>
      <x:c r="D1" s="86"/>
      <x:c r="E1" s="86"/>
      <x:c r="F1" s="86"/>
      <x:c r="G1" s="86"/>
      <x:c r="H1" s="86"/>
      <x:c r="I1" s="86"/>
      <x:c r="J1" s="86"/>
    </x:row>
    <x:row r="2" ht="24" customHeight="1">
      <x:c r="A2" s="89" t="str">
        <x:v>Run date: 2026-07-29 · integrated claim register, source-role audit, Timekeeper lane split, and Hormuz roll-forward.</x:v>
      </x:c>
      <x:c r="B2" s="89"/>
      <x:c r="C2" s="89"/>
      <x:c r="D2" s="89"/>
      <x:c r="E2" s="89"/>
      <x:c r="F2" s="89"/>
      <x:c r="G2" s="89"/>
      <x:c r="H2" s="89"/>
      <x:c r="I2" s="89"/>
      <x:c r="J2" s="89"/>
    </x:row>
    <x:row r="4">
      <x:c r="A4" s="106" t="str">
        <x:v>CONTROL PANEL</x:v>
      </x:c>
      <x:c r="B4" s="106"/>
      <x:c r="C4" s="106"/>
      <x:c r="E4" s="106" t="str">
        <x:v>PACKET MAINTENANCE SUMMARY</x:v>
      </x:c>
      <x:c r="F4" s="106"/>
      <x:c r="G4" s="106"/>
      <x:c r="H4" s="106"/>
      <x:c r="I4" s="106"/>
      <x:c r="J4" s="106"/>
    </x:row>
    <x:row r="5" ht="32" customHeight="1">
      <x:c r="A5" s="107" t="str">
        <x:v>Sources registered</x:v>
      </x:c>
      <x:c r="B5" s="109" t="n">
        <x:f>COUNTA('Source Register'!A5:A100)</x:f>
        <x:v>23</x:v>
      </x:c>
      <x:c r="C5" s="97" t="str">
        <x:v>Count from Source Register</x:v>
      </x:c>
      <x:c r="E5" s="93" t="str">
        <x:v>Packet</x:v>
      </x:c>
      <x:c r="F5" s="93" t="str">
        <x:v>Node</x:v>
      </x:c>
      <x:c r="G5" s="93" t="str">
        <x:v>Status</x:v>
      </x:c>
      <x:c r="H5" s="93" t="str">
        <x:v>Confidence</x:v>
      </x:c>
      <x:c r="I5" s="93" t="str">
        <x:v>Next Check</x:v>
      </x:c>
      <x:c r="J5" s="93" t="str">
        <x:v>Clean Finding</x:v>
      </x:c>
    </x:row>
    <x:row r="6">
      <x:c r="A6" s="108" t="str">
        <x:v>Load-bearing sources</x:v>
      </x:c>
      <x:c r="B6" s="110" t="n">
        <x:f>COUNTIF('Source Register'!I5:I100,"Yes")</x:f>
        <x:v>10</x:v>
      </x:c>
      <x:c r="C6" s="98" t="str">
        <x:v>Yes only; conditional kept separate</x:v>
      </x:c>
      <x:c r="E6" s="97" t="str">
        <x:v>A</x:v>
      </x:c>
      <x:c r="F6" s="97" t="str">
        <x:v>Grid / utility cost allocation</x:v>
      </x:c>
      <x:c r="G6" s="103" t="str">
        <x:v>UPGRADED</x:v>
      </x:c>
      <x:c r="H6" s="97" t="str">
        <x:v>High</x:v>
      </x:c>
      <x:c r="I6" s="99" t="n">
        <x:v>46251.5</x:v>
      </x:c>
      <x:c r="J6" s="97" t="str">
        <x:v>FERC show-cause orders plus Wisconsin and Pennsylvania decisions provide regulator dockets and explicit ratepayer-protection mechanisms.</x:v>
      </x:c>
    </x:row>
    <x:row r="7">
      <x:c r="A7" s="107" t="str">
        <x:v>Regulator / standards sources</x:v>
      </x:c>
      <x:c r="B7" s="109" t="n">
        <x:f>COUNTIF('Source Register'!D5:D100,"Regulator/Release")+COUNTIF('Source Register'!D5:D100,"Regulator/Order")+COUNTIF('Source Register'!D5:D100,"Regulator/Report")+COUNTIF('Source Register'!D5:D100,"Regulator/Advisory")+COUNTIF('Source Register'!D5:D100,"Regulator/Register")+COUNTIF('Source Register'!D5:D100,"Standards Body")</x:f>
        <x:v>8</x:v>
      </x:c>
      <x:c r="C7" s="97" t="str">
        <x:v>Regulator roles plus standards bodies</x:v>
      </x:c>
      <x:c r="E7" s="98" t="str">
        <x:v>B</x:v>
      </x:c>
      <x:c r="F7" s="98" t="str">
        <x:v>Network delivery / AI-native communications</x:v>
      </x:c>
      <x:c r="G7" s="102" t="str">
        <x:v>HARDENED / SCOPE OPEN</x:v>
      </x:c>
      <x:c r="H7" s="98" t="str">
        <x:v>Medium</x:v>
      </x:c>
      <x:c r="I7" s="100" t="n">
        <x:v>46296.5</x:v>
      </x:c>
      <x:c r="J7" s="98" t="str">
        <x:v>Standards material confirms AI/ML is entering network architecture and 6G security analysis. The exact original packet proposition remains unrecovered.</x:v>
      </x:c>
    </x:row>
    <x:row r="8">
      <x:c r="A8" s="108" t="str">
        <x:v>Party-primary sources</x:v>
      </x:c>
      <x:c r="B8" s="110" t="n">
        <x:f>COUNTIF('Source Register'!D5:D100,"Party Primary")</x:f>
        <x:v>5</x:v>
      </x:c>
      <x:c r="C8" s="98" t="str">
        <x:v>Claims by involved companies; not independent confirmation</x:v>
      </x:c>
      <x:c r="E8" s="97" t="str">
        <x:v>C</x:v>
      </x:c>
      <x:c r="F8" s="97" t="str">
        <x:v>Model access and state power</x:v>
      </x:c>
      <x:c r="G8" s="103" t="str">
        <x:v>CONFIRMED / EPISODE CLOSED</x:v>
      </x:c>
      <x:c r="H8" s="97" t="str">
        <x:v>High</x:v>
      </x:c>
      <x:c r="I8" s="99" t="n">
        <x:v>46256.5</x:v>
      </x:c>
      <x:c r="J8" s="97" t="str">
        <x:v>Anthropic confirms the suspension and restoration as a temporary access-control episode. The public legal authority remains unavailable.</x:v>
      </x:c>
    </x:row>
    <x:row r="9">
      <x:c r="A9" s="107" t="str">
        <x:v>Claims tracked</x:v>
      </x:c>
      <x:c r="B9" s="109" t="n">
        <x:f>COUNTA('Claim Register'!A5:A100)</x:f>
        <x:v>26</x:v>
      </x:c>
      <x:c r="C9" s="97" t="str">
        <x:v>Count from Claim Register</x:v>
      </x:c>
      <x:c r="E9" s="98" t="str">
        <x:v>D</x:v>
      </x:c>
      <x:c r="F9" s="98" t="str">
        <x:v>Stargate / compute material substrate</x:v>
      </x:c>
      <x:c r="G9" s="102" t="str">
        <x:v>STRENGTHENED / PARTIAL</x:v>
      </x:c>
      <x:c r="H9" s="98" t="str">
        <x:v>Medium-High</x:v>
      </x:c>
      <x:c r="I9" s="100" t="n">
        <x:v>46266.5</x:v>
      </x:c>
      <x:c r="J9" s="98" t="str">
        <x:v>Party-primary project pages provide site-specific figures and commitments. The Oracle item is a permit-proceeding support letter, not an issued permit.</x:v>
      </x:c>
    </x:row>
    <x:row r="10">
      <x:c r="A10" s="108" t="str">
        <x:v>Live high-risk nodes</x:v>
      </x:c>
      <x:c r="B10" s="110" t="n">
        <x:f>COUNTIF('Maintenance Ledger'!G5:G100,"LIVE / HIGH RISK")</x:f>
        <x:v>1</x:v>
      </x:c>
      <x:c r="C10" s="98" t="str">
        <x:v>Maintenance status contains LIVE</x:v>
      </x:c>
      <x:c r="E10" s="97" t="str">
        <x:v>E</x:v>
      </x:c>
      <x:c r="F10" s="97" t="str">
        <x:v>Hormuz / energy chokepoint</x:v>
      </x:c>
      <x:c r="G10" s="104" t="str">
        <x:v>LIVE / HIGH RISK</x:v>
      </x:c>
      <x:c r="H10" s="97" t="str">
        <x:v>High</x:v>
      </x:c>
      <x:c r="I10" s="99" t="n">
        <x:v>46239.5</x:v>
      </x:c>
      <x:c r="J10" s="97" t="str">
        <x:v>MARAD still rates the threat high. Lloyd's preliminary 2026-07-20 through 2026-07-26 data show 39 transits versus 82 the prior week, with inbound Gulf traffic more than 90% below the pre-strikes level.</x:v>
      </x:c>
    </x:row>
    <x:row r="11">
      <x:c r="A11" s="107" t="str">
        <x:v>Run verdict</x:v>
      </x:c>
      <x:c r="B11" s="111" t="str">
        <x:v>METHOD READY / SCOPED</x:v>
      </x:c>
      <x:c r="C11" s="97" t="str">
        <x:v>Method readiness, not a declaration about world conditions</x:v>
      </x:c>
      <x:c r="E11" s="98" t="str">
        <x:v>F</x:v>
      </x:c>
      <x:c r="F11" s="98" t="str">
        <x:v>Dialog / private future rooms</x:v>
      </x:c>
      <x:c r="G11" s="101" t="str">
        <x:v>UNCHANGED / ARCHIVE ONLY</x:v>
      </x:c>
      <x:c r="H11" s="98" t="str">
        <x:v>Medium</x:v>
      </x:c>
      <x:c r="I11" s="100" t="n">
        <x:v>46250.5</x:v>
      </x:c>
      <x:c r="J11" s="98" t="str">
        <x:v>Established reporting supports the existence of the network and leaked records, but no public primary archive resolves the 222 count, capacity, finality, or snapshot status.</x:v>
      </x:c>
    </x:row>
    <x:row r="12">
      <x:c r="E12" s="97" t="str">
        <x:v>T</x:v>
      </x:c>
      <x:c r="F12" s="97" t="str">
        <x:v>Timekeeper research / symbolic split</x:v>
      </x:c>
      <x:c r="G12" s="102" t="str">
        <x:v>STRUCTURE INSTALLED / OPEN</x:v>
      </x:c>
      <x:c r="H12" s="97" t="str">
        <x:v>Medium</x:v>
      </x:c>
      <x:c r="I12" s="99" t="n">
        <x:v>46263.5</x:v>
      </x:c>
      <x:c r="J12" s="97" t="str">
        <x:v>Research claims and symbolic mappings now occupy separate documents and separate claim lanes.</x:v>
      </x:c>
    </x:row>
    <x:row r="13">
      <x:c r="E13" s="98" t="str">
        <x:v>X</x:v>
      </x:c>
      <x:c r="F13" s="98" t="str">
        <x:v>Archive / transcript integrity</x:v>
      </x:c>
      <x:c r="G13" s="103" t="str">
        <x:v>DONE / MONITOR</x:v>
      </x:c>
      <x:c r="H13" s="98" t="str">
        <x:v>High</x:v>
      </x:c>
      <x:c r="I13" s="100" t="n">
        <x:v>46263.5</x:v>
      </x:c>
      <x:c r="J13" s="98" t="str">
        <x:v>The anomaly protocol remains method-only. Sync, cache, rendering, moderation, and export mismatch remain default explanations before intent.</x:v>
      </x:c>
    </x:row>
    <x:row r="14">
      <x:c r="A14" s="112" t="str">
        <x:v>INTEGRATION VERDICT</x:v>
      </x:c>
      <x:c r="B14" s="112"/>
      <x:c r="C14" s="112"/>
      <x:c r="D14" s="112"/>
      <x:c r="E14" s="112"/>
      <x:c r="F14" s="112"/>
      <x:c r="G14" s="112"/>
      <x:c r="H14" s="112"/>
      <x:c r="I14" s="112"/>
      <x:c r="J14" s="112"/>
    </x:row>
    <x:row r="15" ht="54" customHeight="1">
      <x:c r="A15" s="127" t="str">
        <x:v>The stack is method-ready and explicitly scoped. A is regulator-grounded; C is a confirmed temporary party-reported episode with its legal basis still open; D is stronger but remains party-primary pending permits and utility records; E remains live and deteriorated in the latest preliminary traffic data; F remains leak/reporting-only; Timekeeper research and symbolism are now physically separated.</x:v>
      </x:c>
      <x:c r="B15" s="128"/>
      <x:c r="C15" s="128"/>
      <x:c r="D15" s="128"/>
      <x:c r="E15" s="128"/>
      <x:c r="F15" s="128"/>
      <x:c r="G15" s="128"/>
      <x:c r="H15" s="128"/>
      <x:c r="I15" s="128"/>
      <x:c r="J15" s="129"/>
    </x:row>
    <x:row r="16">
      <x:c r="A16" s="130"/>
      <x:c r="B16" s="131"/>
      <x:c r="C16" s="131"/>
      <x:c r="D16" s="131"/>
      <x:c r="E16" s="131"/>
      <x:c r="F16" s="131"/>
      <x:c r="G16" s="131"/>
      <x:c r="H16" s="131"/>
      <x:c r="I16" s="131"/>
      <x:c r="J16" s="132"/>
    </x:row>
    <x:row r="17">
      <x:c r="A17"/>
      <x:c r="B17"/>
      <x:c r="C17"/>
      <x:c r="D17"/>
      <x:c r="E17"/>
      <x:c r="F17"/>
      <x:c r="G17"/>
      <x:c r="H17"/>
      <x:c r="I17"/>
      <x:c r="J17"/>
    </x:row>
    <x:row r="18" ht="40" customHeight="1">
      <x:c r="A18" s="112" t="str">
        <x:v>OPERATING RULE</x:v>
      </x:c>
      <x:c r="B18" s="112"/>
      <x:c r="C18" s="112"/>
      <x:c r="D18" s="112"/>
      <x:c r="E18" s="112"/>
      <x:c r="F18" s="112"/>
      <x:c r="G18" s="112"/>
      <x:c r="H18" s="112"/>
      <x:c r="I18" s="112"/>
      <x:c r="J18" s="112"/>
    </x:row>
    <x:row r="19">
      <x:c r="A19" s="147" t="str">
        <x:v>Cross-packet links may assert shared material substrate, never shared agency without direct evidence. Convergence is the default timing explanation. Party-primary commitments remain artifacts until regulators, permits, contracts, or measured outcomes test them.</x:v>
      </x:c>
      <x:c r="B19" s="148"/>
      <x:c r="C19" s="148"/>
      <x:c r="D19" s="148"/>
      <x:c r="E19" s="148"/>
      <x:c r="F19" s="148"/>
      <x:c r="G19" s="148"/>
      <x:c r="H19" s="148"/>
      <x:c r="I19" s="148"/>
      <x:c r="J19" s="149"/>
    </x:row>
    <x:row r="20">
      <x:c r="A20" s="150"/>
      <x:c r="B20" s="151"/>
      <x:c r="C20" s="151"/>
      <x:c r="D20" s="151"/>
      <x:c r="E20" s="151"/>
      <x:c r="F20" s="151"/>
      <x:c r="G20" s="151"/>
      <x:c r="H20" s="151"/>
      <x:c r="I20" s="151"/>
      <x:c r="J20" s="152"/>
    </x:row>
  </x:sheetData>
  <x:mergeCells>
    <x:mergeCell ref="A1:J1"/>
    <x:mergeCell ref="A2:J2"/>
    <x:mergeCell ref="A4:C4"/>
    <x:mergeCell ref="E4:J4"/>
    <x:mergeCell ref="A14:J14"/>
    <x:mergeCell ref="A15:J16"/>
    <x:mergeCell ref="A18:J18"/>
    <x:mergeCell ref="A19:J20"/>
  </x:mergeCells>
  <x:conditionalFormatting sqref="G6:G12">
    <x:cfRule type="expression" dxfId="6" priority="1">
      <x:formula>OR(ISNUMBER(SEARCH("UPGRADED",G6)),ISNUMBER(SEARCH("CONFIRMED",G6)),ISNUMBER(SEARCH("DONE",G6)))</x:formula>
    </x:cfRule>
    <x:cfRule type="expression" dxfId="7" priority="2">
      <x:formula>ISNUMBER(SEARCH("LIVE",G6))</x:formula>
    </x:cfRule>
    <x:cfRule type="expression" dxfId="8" priority="3">
      <x:formula>OR(ISNUMBER(SEARCH("PARTIAL",G6)),ISNUMBER(SEARCH("OPEN",G6)),ISNUMBER(SEARCH("UNCHANGED",G6)))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5986bb03e6f4ca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9" hidden="0" customWidth="1"/>
    <x:col min="3" max="3" width="26" hidden="0" customWidth="1"/>
    <x:col min="4" max="4" width="56" hidden="0" customWidth="1"/>
    <x:col min="5" max="5" width="28" hidden="0" customWidth="1"/>
    <x:col min="6" max="6" width="13" hidden="0" customWidth="1"/>
    <x:col min="7" max="7" width="27" hidden="0" customWidth="1"/>
    <x:col min="8" max="8" width="42" hidden="0" customWidth="1"/>
    <x:col min="9" max="9" width="13" hidden="0" customWidth="1"/>
    <x:col min="10" max="10" width="44" hidden="0" customWidth="1"/>
  </x:cols>
  <x:sheetData>
    <x:row r="1" ht="34" customHeight="1">
      <x:c r="A1" s="86" t="str">
        <x:v>MAINTENANCE LEDGER — 2026-07-29</x:v>
      </x:c>
      <x:c r="B1" s="86"/>
      <x:c r="C1" s="86"/>
      <x:c r="D1" s="86"/>
      <x:c r="E1" s="86"/>
      <x:c r="F1" s="86"/>
      <x:c r="G1" s="86"/>
      <x:c r="H1" s="86"/>
      <x:c r="I1" s="86"/>
      <x:c r="J1" s="86"/>
    </x:row>
    <x:row r="2" ht="24" customHeight="1">
      <x:c r="A2" s="89" t="str">
        <x:v>Packet status, source lane, brake, review clock, and next action.</x:v>
      </x:c>
      <x:c r="B2" s="89"/>
      <x:c r="C2" s="89"/>
      <x:c r="D2" s="89"/>
      <x:c r="E2" s="89"/>
      <x:c r="F2" s="89"/>
      <x:c r="G2" s="89"/>
      <x:c r="H2" s="89"/>
      <x:c r="I2" s="89"/>
      <x:c r="J2" s="89"/>
    </x:row>
    <x:row r="3">
      <x:c r="A3"/>
      <x:c r="B3"/>
      <x:c r="C3"/>
      <x:c r="D3"/>
      <x:c r="E3"/>
      <x:c r="F3"/>
      <x:c r="G3"/>
      <x:c r="H3"/>
      <x:c r="I3"/>
      <x:c r="J3"/>
    </x:row>
    <x:row r="4" ht="32" customHeight="1">
      <x:c r="A4" s="93" t="str">
        <x:v>Packet</x:v>
      </x:c>
      <x:c r="B4" s="93" t="str">
        <x:v>Node</x:v>
      </x:c>
      <x:c r="C4" s="93" t="str">
        <x:v>Prior Top Gap</x:v>
      </x:c>
      <x:c r="D4" s="93" t="str">
        <x:v>Maintenance Finding — 2026-07-29</x:v>
      </x:c>
      <x:c r="E4" s="93" t="str">
        <x:v>Best Source Lane</x:v>
      </x:c>
      <x:c r="F4" s="93" t="str">
        <x:v>Confidence</x:v>
      </x:c>
      <x:c r="G4" s="93" t="str">
        <x:v>Status</x:v>
      </x:c>
      <x:c r="H4" s="93" t="str">
        <x:v>Brake / Limitation</x:v>
      </x:c>
      <x:c r="I4" s="93" t="str">
        <x:v>Next Check</x:v>
      </x:c>
      <x:c r="J4" s="93" t="str">
        <x:v>Next Action</x:v>
      </x:c>
    </x:row>
    <x:row r="5">
      <x:c r="A5" s="97" t="str">
        <x:v>A</x:v>
      </x:c>
      <x:c r="B5" s="97" t="str">
        <x:v>Grid / utility cost allocation</x:v>
      </x:c>
      <x:c r="C5" s="97" t="str">
        <x:v>Utility rate cases / PUC dockets</x:v>
      </x:c>
      <x:c r="D5" s="97" t="str">
        <x:v>FERC show-cause orders plus Wisconsin and Pennsylvania decisions provide regulator dockets and explicit ratepayer-protection mechanisms.</x:v>
      </x:c>
      <x:c r="E5" s="97" t="str">
        <x:v>Regulator orders / releases</x:v>
      </x:c>
      <x:c r="F5" s="97" t="str">
        <x:v>High</x:v>
      </x:c>
      <x:c r="G5" s="103" t="str">
        <x:v>UPGRADED</x:v>
      </x:c>
      <x:c r="H5" s="97" t="str">
        <x:v>Load-bearing material node; no intent claim.</x:v>
      </x:c>
      <x:c r="I5" s="99" t="n">
        <x:v>46251.5</x:v>
      </x:c>
      <x:c r="J5" s="97" t="str">
        <x:v>Review the six RTO/ISO responses due 60 days after FERC's 2026-06-18 orders.</x:v>
      </x:c>
    </x:row>
    <x:row r="6">
      <x:c r="A6" s="98" t="str">
        <x:v>B</x:v>
      </x:c>
      <x:c r="B6" s="98" t="str">
        <x:v>Network delivery / AI-native communications</x:v>
      </x:c>
      <x:c r="C6" s="98" t="str">
        <x:v>Exact packet proposition</x:v>
      </x:c>
      <x:c r="D6" s="98" t="str">
        <x:v>Standards material confirms AI/ML is entering network architecture and 6G security analysis. The exact original packet proposition remains unrecovered.</x:v>
      </x:c>
      <x:c r="E6" s="98" t="str">
        <x:v>Standards bodies + regulator report</x:v>
      </x:c>
      <x:c r="F6" s="98" t="str">
        <x:v>Medium</x:v>
      </x:c>
      <x:c r="G6" s="102" t="str">
        <x:v>HARDENED / SCOPE OPEN</x:v>
      </x:c>
      <x:c r="H6" s="98" t="str">
        <x:v>Do not upgrade beyond the proposition the sources directly support.</x:v>
      </x:c>
      <x:c r="I6" s="100" t="n">
        <x:v>46296.5</x:v>
      </x:c>
      <x:c r="J6" s="98" t="str">
        <x:v>Restore the exact packet-B proposition, then map each source to it.</x:v>
      </x:c>
    </x:row>
    <x:row r="7">
      <x:c r="A7" s="97" t="str">
        <x:v>C</x:v>
      </x:c>
      <x:c r="B7" s="97" t="str">
        <x:v>Model access and state power</x:v>
      </x:c>
      <x:c r="C7" s="97" t="str">
        <x:v>Government directive text / legal basis</x:v>
      </x:c>
      <x:c r="D7" s="97" t="str">
        <x:v>Anthropic confirms the suspension and restoration as a temporary access-control episode. The public legal authority remains unavailable.</x:v>
      </x:c>
      <x:c r="E7" s="97" t="str">
        <x:v>Party primary + independent reporting</x:v>
      </x:c>
      <x:c r="F7" s="97" t="str">
        <x:v>High</x:v>
      </x:c>
      <x:c r="G7" s="103" t="str">
        <x:v>CONFIRMED / EPISODE CLOSED</x:v>
      </x:c>
      <x:c r="H7" s="97" t="str">
        <x:v>Securitization artifact; not evidence of permanent capability or motive.</x:v>
      </x:c>
      <x:c r="I7" s="99" t="n">
        <x:v>46256.5</x:v>
      </x:c>
      <x:c r="J7" s="97" t="str">
        <x:v>Check for the directive, legal citation, inspector-general record, or court filing.</x:v>
      </x:c>
    </x:row>
    <x:row r="8">
      <x:c r="A8" s="98" t="str">
        <x:v>D</x:v>
      </x:c>
      <x:c r="B8" s="98" t="str">
        <x:v>Stargate / compute material substrate</x:v>
      </x:c>
      <x:c r="C8" s="98" t="str">
        <x:v>Regulator permits / utility records</x:v>
      </x:c>
      <x:c r="D8" s="98" t="str">
        <x:v>Party-primary project pages provide site-specific figures and commitments. The Oracle item is a permit-proceeding support letter, not an issued permit.</x:v>
      </x:c>
      <x:c r="E8" s="98" t="str">
        <x:v>Party primary + regulator records required</x:v>
      </x:c>
      <x:c r="F8" s="98" t="str">
        <x:v>Medium-High</x:v>
      </x:c>
      <x:c r="G8" s="102" t="str">
        <x:v>STRENGTHENED / PARTIAL</x:v>
      </x:c>
      <x:c r="H8" s="98" t="str">
        <x:v>Commitments remain artifacts until tested by permits, contracts, dockets, or measured outcomes.</x:v>
      </x:c>
      <x:c r="I8" s="100" t="n">
        <x:v>46266.5</x:v>
      </x:c>
      <x:c r="J8" s="98" t="str">
        <x:v>Collect Georgia Power, NMED, county zoning, water-withdrawal, and interconnection records.</x:v>
      </x:c>
    </x:row>
    <x:row r="9">
      <x:c r="A9" s="97" t="str">
        <x:v>E</x:v>
      </x:c>
      <x:c r="B9" s="97" t="str">
        <x:v>Hormuz / energy chokepoint</x:v>
      </x:c>
      <x:c r="C9" s="97" t="str">
        <x:v>Traffic, insurance, and advisory normalization</x:v>
      </x:c>
      <x:c r="D9" s="97" t="str">
        <x:v>MARAD still rates the threat high. Lloyd's preliminary 2026-07-20 through 2026-07-26 data show 39 transits versus 82 the prior week, with inbound Gulf traffic more than 90% below the pre-strikes level.</x:v>
      </x:c>
      <x:c r="E9" s="97" t="str">
        <x:v>Regulator advisory + industry data</x:v>
      </x:c>
      <x:c r="F9" s="97" t="str">
        <x:v>High</x:v>
      </x:c>
      <x:c r="G9" s="104" t="str">
        <x:v>LIVE / HIGH RISK</x:v>
      </x:c>
      <x:c r="H9" s="97" t="str">
        <x:v>Use active/restricted/high-risk language; preliminary traffic data remain conditional.</x:v>
      </x:c>
      <x:c r="I9" s="99" t="n">
        <x:v>46239.5</x:v>
      </x:c>
      <x:c r="J9" s="97" t="str">
        <x:v>Check MARAD/UKMTO advisories, traffic, insurance, and verified transit normalization weekly.</x:v>
      </x:c>
    </x:row>
    <x:row r="10">
      <x:c r="A10" s="98" t="str">
        <x:v>F</x:v>
      </x:c>
      <x:c r="B10" s="98" t="str">
        <x:v>Dialog / private future rooms</x:v>
      </x:c>
      <x:c r="C10" s="98" t="str">
        <x:v>Authenticated registry mechanics</x:v>
      </x:c>
      <x:c r="D10" s="98" t="str">
        <x:v>Established reporting supports the existence of the network and leaked records, but no public primary archive resolves the 222 count, capacity, finality, or snapshot status.</x:v>
      </x:c>
      <x:c r="E10" s="98" t="str">
        <x:v>Independent reporting / leak</x:v>
      </x:c>
      <x:c r="F10" s="98" t="str">
        <x:v>Medium</x:v>
      </x:c>
      <x:c r="G10" s="101" t="str">
        <x:v>UNCHANGED / ARCHIVE ONLY</x:v>
      </x:c>
      <x:c r="H10" s="98" t="str">
        <x:v>No shared ideology, secret coordination, collective guilt, or number-intent claim.</x:v>
      </x:c>
      <x:c r="I10" s="100" t="n">
        <x:v>46250.5</x:v>
      </x:c>
      <x:c r="J10" s="98" t="str">
        <x:v>Check statements, corrections, venue capacity, and authenticated source documents.</x:v>
      </x:c>
    </x:row>
    <x:row r="11">
      <x:c r="A11" s="97" t="str">
        <x:v>T</x:v>
      </x:c>
      <x:c r="B11" s="97" t="str">
        <x:v>Timekeeper research / symbolic split</x:v>
      </x:c>
      <x:c r="C11" s="97" t="str">
        <x:v>Primary historical and ephemeris sources</x:v>
      </x:c>
      <x:c r="D11" s="97" t="str">
        <x:v>Research claims and symbolic mappings now occupy separate documents and separate claim lanes.</x:v>
      </x:c>
      <x:c r="E11" s="97" t="str">
        <x:v>Official science + research tasks</x:v>
      </x:c>
      <x:c r="F11" s="97" t="str">
        <x:v>Medium</x:v>
      </x:c>
      <x:c r="G11" s="102" t="str">
        <x:v>STRUCTURE INSTALLED / OPEN</x:v>
      </x:c>
      <x:c r="H11" s="97" t="str">
        <x:v>Symbolic adjacency never supplies evidence.</x:v>
      </x:c>
      <x:c r="I11" s="99" t="n">
        <x:v>46263.5</x:v>
      </x:c>
      <x:c r="J11" s="97" t="str">
        <x:v>Close the ephemeris, historical-source, Buga custody, and ritual-status tasks.</x:v>
      </x:c>
    </x:row>
    <x:row r="12">
      <x:c r="A12" s="98" t="str">
        <x:v>X</x:v>
      </x:c>
      <x:c r="B12" s="98" t="str">
        <x:v>Archive / transcript integrity</x:v>
      </x:c>
      <x:c r="C12" s="98" t="str">
        <x:v>Protocol maintenance</x:v>
      </x:c>
      <x:c r="D12" s="98" t="str">
        <x:v>The anomaly protocol remains method-only. Sync, cache, rendering, moderation, and export mismatch remain default explanations before intent.</x:v>
      </x:c>
      <x:c r="E12" s="98" t="str">
        <x:v>Internal method</x:v>
      </x:c>
      <x:c r="F12" s="98" t="str">
        <x:v>High</x:v>
      </x:c>
      <x:c r="G12" s="103" t="str">
        <x:v>DONE / MONITOR</x:v>
      </x:c>
      <x:c r="H12" s="98" t="str">
        <x:v>No external factual claim is upgraded by an internal archive anomaly.</x:v>
      </x:c>
      <x:c r="I12" s="100" t="n">
        <x:v>46263.5</x:v>
      </x:c>
      <x:c r="J12" s="98" t="str">
        <x:v>Maintain the monthly anomaly log and retraction record.</x:v>
      </x:c>
    </x:row>
  </x:sheetData>
  <x:mergeCells>
    <x:mergeCell ref="A1:J1"/>
    <x:mergeCell ref="A2:J2"/>
  </x:mergeCells>
  <x:conditionalFormatting sqref="G2:G8">
    <x:cfRule type="expression" dxfId="3" priority="1">
      <x:formula>OR(ISNUMBER(SEARCH("UPGRADED",G2)),ISNUMBER(SEARCH("CONFIRMED",G2)),ISNUMBER(SEARCH("DONE",G2)))</x:formula>
    </x:cfRule>
    <x:cfRule type="expression" dxfId="4" priority="2">
      <x:formula>ISNUMBER(SEARCH("LIVE",G2))</x:formula>
    </x:cfRule>
    <x:cfRule type="expression" dxfId="5" priority="3">
      <x:formula>OR(ISNUMBER(SEARCH("PARTIAL",G2)),ISNUMBER(SEARCH("OPEN",G2)),ISNUMBER(SEARCH("UNCHANGED",G2)))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8333f19b6e243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20" hidden="0" customWidth="1"/>
    <x:col min="4" max="4" width="20" hidden="0" customWidth="1"/>
    <x:col min="5" max="5" width="18" hidden="0" customWidth="1"/>
    <x:col min="6" max="6" width="12" hidden="0" customWidth="1"/>
    <x:col min="7" max="7" width="34" hidden="0" customWidth="1"/>
    <x:col min="8" max="8" width="58" hidden="0" customWidth="1"/>
    <x:col min="9" max="9" width="14" hidden="0" customWidth="1"/>
    <x:col min="10" max="10" width="42" hidden="0" customWidth="1"/>
  </x:cols>
  <x:sheetData>
    <x:row r="1" ht="34" customHeight="1">
      <x:c r="A1" s="86" t="str">
        <x:v>SOURCE REGISTER — v0.5</x:v>
      </x:c>
      <x:c r="B1" s="86"/>
      <x:c r="C1" s="86"/>
      <x:c r="D1" s="86"/>
      <x:c r="E1" s="86"/>
      <x:c r="F1" s="86"/>
      <x:c r="G1" s="86"/>
      <x:c r="H1" s="86"/>
      <x:c r="I1" s="86"/>
      <x:c r="J1" s="86"/>
    </x:row>
    <x:row r="2" ht="24" customHeight="1">
      <x:c r="A2" s="89" t="str">
        <x:v>Source class and source role are separated so party-primary claims cannot masquerade as independent confirmation.</x:v>
      </x:c>
      <x:c r="B2" s="89"/>
      <x:c r="C2" s="89"/>
      <x:c r="D2" s="89"/>
      <x:c r="E2" s="89"/>
      <x:c r="F2" s="89"/>
      <x:c r="G2" s="89"/>
      <x:c r="H2" s="89"/>
      <x:c r="I2" s="89"/>
      <x:c r="J2" s="89"/>
    </x:row>
    <x:row r="3">
      <x:c r="A3"/>
      <x:c r="B3"/>
      <x:c r="C3"/>
      <x:c r="D3"/>
      <x:c r="E3"/>
      <x:c r="F3"/>
      <x:c r="G3"/>
      <x:c r="H3"/>
      <x:c r="I3"/>
    </x:row>
    <x:row r="4" ht="32" customHeight="1">
      <x:c r="A4" s="93" t="str">
        <x:v>Source ID</x:v>
      </x:c>
      <x:c r="B4" s="93" t="str">
        <x:v>Packet</x:v>
      </x:c>
      <x:c r="C4" s="93" t="str">
        <x:v>Source Class</x:v>
      </x:c>
      <x:c r="D4" s="93" t="str">
        <x:v>Source Role</x:v>
      </x:c>
      <x:c r="E4" s="93" t="str">
        <x:v>Publisher</x:v>
      </x:c>
      <x:c r="F4" s="93" t="str">
        <x:v>Date</x:v>
      </x:c>
      <x:c r="G4" s="93" t="str">
        <x:v>Title</x:v>
      </x:c>
      <x:c r="H4" s="93" t="str">
        <x:v>Load-Bearing Finding</x:v>
      </x:c>
      <x:c r="I4" s="93" t="str">
        <x:v>Load-Bearing?</x:v>
      </x:c>
      <x:c r="J4" s="93" t="str">
        <x:v>URL</x:v>
      </x:c>
    </x:row>
    <x:row r="5">
      <x:c r="A5" s="97" t="str">
        <x:v>S-A01</x:v>
      </x:c>
      <x:c r="B5" s="97" t="str">
        <x:v>A</x:v>
      </x:c>
      <x:c r="C5" s="97" t="str">
        <x:v>Primary/Official</x:v>
      </x:c>
      <x:c r="D5" s="97" t="str">
        <x:v>Regulator/Release</x:v>
      </x:c>
      <x:c r="E5" s="97" t="str">
        <x:v>FERC</x:v>
      </x:c>
      <x:c r="F5" s="99" t="n">
        <x:v>46191.5</x:v>
      </x:c>
      <x:c r="G5" s="97" t="str">
        <x:v>Large-load show-cause orders to all six RTOs/ISOs</x:v>
      </x:c>
      <x:c r="H5" s="97" t="str">
        <x:v>Six grid operators must justify or reform large-load tariffs within 60 days.</x:v>
      </x:c>
      <x:c r="I5" s="101" t="str">
        <x:v>Yes</x:v>
      </x:c>
      <x:c r="J5" s="97" t="str">
        <x:v>https://www.ferc.gov/news-events/news/ferc-launches-aggressive-targeted-action-speed-large-load-integration</x:v>
      </x:c>
    </x:row>
    <x:row r="6">
      <x:c r="A6" s="98" t="str">
        <x:v>S-A02</x:v>
      </x:c>
      <x:c r="B6" s="98" t="str">
        <x:v>A</x:v>
      </x:c>
      <x:c r="C6" s="98" t="str">
        <x:v>Primary/Official</x:v>
      </x:c>
      <x:c r="D6" s="98" t="str">
        <x:v>Regulator/Order</x:v>
      </x:c>
      <x:c r="E6" s="98" t="str">
        <x:v>Wisconsin PSC</x:v>
      </x:c>
      <x:c r="F6" s="100" t="n">
        <x:v>46136.5</x:v>
      </x:c>
      <x:c r="G6" s="98" t="str">
        <x:v>We Energies very-large-customer tariff decision</x:v>
      </x:c>
      <x:c r="H6" s="98" t="str">
        <x:v>15-year term, 100 MW threshold, full-cost protection and reporting requirements.</x:v>
      </x:c>
      <x:c r="I6" s="101" t="str">
        <x:v>Yes</x:v>
      </x:c>
      <x:c r="J6" s="98" t="str">
        <x:v>https://psc.wi.gov/Documents/PressReleases/04.24.2026PressRelease.PDF</x:v>
      </x:c>
    </x:row>
    <x:row r="7">
      <x:c r="A7" s="97" t="str">
        <x:v>S-A03</x:v>
      </x:c>
      <x:c r="B7" s="97" t="str">
        <x:v>A</x:v>
      </x:c>
      <x:c r="C7" s="97" t="str">
        <x:v>Primary/Official</x:v>
      </x:c>
      <x:c r="D7" s="97" t="str">
        <x:v>Regulator/Order</x:v>
      </x:c>
      <x:c r="E7" s="97" t="str">
        <x:v>Pennsylvania PUC</x:v>
      </x:c>
      <x:c r="F7" s="99" t="n">
        <x:v>46155.5</x:v>
      </x:c>
      <x:c r="G7" s="97" t="str">
        <x:v>Large-load model tariff final order</x:v>
      </x:c>
      <x:c r="H7" s="97" t="str">
        <x:v>Final framework guides future utility tariff filings and cost allocation.</x:v>
      </x:c>
      <x:c r="I7" s="101" t="str">
        <x:v>Yes</x:v>
      </x:c>
      <x:c r="J7" s="97" t="str">
        <x:v>https://www.puc.pa.gov/press-release/2026/puc-releases-final-order-establishing-first-of-its-kind-large-load-model-tariff-framework-05132026</x:v>
      </x:c>
    </x:row>
    <x:row r="8">
      <x:c r="A8" s="98" t="str">
        <x:v>S-B01</x:v>
      </x:c>
      <x:c r="B8" s="98" t="str">
        <x:v>B</x:v>
      </x:c>
      <x:c r="C8" s="98" t="str">
        <x:v>Industry/Standards</x:v>
      </x:c>
      <x:c r="D8" s="98" t="str">
        <x:v>Standards Body</x:v>
      </x:c>
      <x:c r="E8" s="98" t="str">
        <x:v>3GPP</x:v>
      </x:c>
      <x:c r="F8" s="100" t="n">
        <x:v>46027.5</x:v>
      </x:c>
      <x:c r="G8" s="98" t="str">
        <x:v>AI/ML for NG-RAN and 5G-Advanced toward 6G</x:v>
      </x:c>
      <x:c r="H8" s="98" t="str">
        <x:v>AI-aware entities and AI/ML integration are entering standardized network architecture.</x:v>
      </x:c>
      <x:c r="I8" s="102" t="str">
        <x:v>Conditional</x:v>
      </x:c>
      <x:c r="J8" s="98" t="str">
        <x:v>https://www.3gpp.org/technologies/ai-ml-ngran</x:v>
      </x:c>
    </x:row>
    <x:row r="9">
      <x:c r="A9" s="97" t="str">
        <x:v>S-B02</x:v>
      </x:c>
      <x:c r="B9" s="97" t="str">
        <x:v>B</x:v>
      </x:c>
      <x:c r="C9" s="97" t="str">
        <x:v>Industry/Standards</x:v>
      </x:c>
      <x:c r="D9" s="97" t="str">
        <x:v>Standards Body</x:v>
      </x:c>
      <x:c r="E9" s="97" t="str">
        <x:v>GSMA</x:v>
      </x:c>
      <x:c r="F9" s="99" t="n">
        <x:v>46081.5</x:v>
      </x:c>
      <x:c r="G9" s="97" t="str">
        <x:v>The value of Mobile AI</x:v>
      </x:c>
      <x:c r="H9" s="97" t="str">
        <x:v>Mobile networks are positioned as the delivery layer for AI-native services.</x:v>
      </x:c>
      <x:c r="I9" s="102" t="str">
        <x:v>Conditional</x:v>
      </x:c>
      <x:c r="J9" s="97" t="str">
        <x:v>https://www.gsma.com/solutions-and-impact/technologies/networks/gsma_resources/the-value-of-mobile-ai-whitepaper/</x:v>
      </x:c>
    </x:row>
    <x:row r="10">
      <x:c r="A10" s="98" t="str">
        <x:v>S-B03</x:v>
      </x:c>
      <x:c r="B10" s="98" t="str">
        <x:v>B</x:v>
      </x:c>
      <x:c r="C10" s="98" t="str">
        <x:v>Primary/Official</x:v>
      </x:c>
      <x:c r="D10" s="98" t="str">
        <x:v>Regulator/Report</x:v>
      </x:c>
      <x:c r="E10" s="98" t="str">
        <x:v>FCC CSRIC IX</x:v>
      </x:c>
      <x:c r="F10" s="100" t="n">
        <x:v>46105.5</x:v>
      </x:c>
      <x:c r="G10" s="98" t="str">
        <x:v>6G security and reliability risks</x:v>
      </x:c>
      <x:c r="H10" s="98" t="str">
        <x:v>Network security increasingly includes the security of embedded AI/ML models.</x:v>
      </x:c>
      <x:c r="I10" s="102" t="str">
        <x:v>Conditional</x:v>
      </x:c>
      <x:c r="J10" s="98" t="str">
        <x:v>https://www.fcc.gov/sites/default/files/CSRIC9Report-PotentialSecurityandReliabilityRisks6G-032426.docx</x:v>
      </x:c>
    </x:row>
    <x:row r="11">
      <x:c r="A11" s="97" t="str">
        <x:v>S-C01</x:v>
      </x:c>
      <x:c r="B11" s="97" t="str">
        <x:v>C</x:v>
      </x:c>
      <x:c r="C11" s="97" t="str">
        <x:v>Party Primary</x:v>
      </x:c>
      <x:c r="D11" s="97" t="str">
        <x:v>Party Primary</x:v>
      </x:c>
      <x:c r="E11" s="97" t="str">
        <x:v>Anthropic</x:v>
      </x:c>
      <x:c r="F11" s="99" t="n">
        <x:v>46185.5</x:v>
      </x:c>
      <x:c r="G11" s="97" t="str">
        <x:v>Government directive suspending Fable 5 and Mythos 5 access</x:v>
      </x:c>
      <x:c r="H11" s="97" t="str">
        <x:v>Anthropic reported that a foreign-national restriction forced an immediate global service suspension.</x:v>
      </x:c>
      <x:c r="I11" s="101" t="str">
        <x:v>Yes</x:v>
      </x:c>
      <x:c r="J11" s="97" t="str">
        <x:v>https://www.anthropic.com/news/fable-mythos-access</x:v>
      </x:c>
    </x:row>
    <x:row r="12">
      <x:c r="A12" s="98" t="str">
        <x:v>S-C02</x:v>
      </x:c>
      <x:c r="B12" s="98" t="str">
        <x:v>C</x:v>
      </x:c>
      <x:c r="C12" s="98" t="str">
        <x:v>Party Primary</x:v>
      </x:c>
      <x:c r="D12" s="98" t="str">
        <x:v>Party Primary</x:v>
      </x:c>
      <x:c r="E12" s="98" t="str">
        <x:v>Anthropic</x:v>
      </x:c>
      <x:c r="F12" s="100" t="n">
        <x:v>46203.5</x:v>
      </x:c>
      <x:c r="G12" s="98" t="str">
        <x:v>Redeploying Fable 5</x:v>
      </x:c>
      <x:c r="H12" s="98" t="str">
        <x:v>Anthropic reported that the directive was lifted; Fable was restored globally and Mythos partly restored under approval.</x:v>
      </x:c>
      <x:c r="I12" s="101" t="str">
        <x:v>Yes</x:v>
      </x:c>
      <x:c r="J12" s="98" t="str">
        <x:v>https://www.anthropic.com/news/redeploying-fable-5</x:v>
      </x:c>
    </x:row>
    <x:row r="13">
      <x:c r="A13" s="97" t="str">
        <x:v>S-C03</x:v>
      </x:c>
      <x:c r="B13" s="97" t="str">
        <x:v>C</x:v>
      </x:c>
      <x:c r="C13" s="97" t="str">
        <x:v>Reporting/Analysis</x:v>
      </x:c>
      <x:c r="D13" s="97" t="str">
        <x:v>Independent Reporting</x:v>
      </x:c>
      <x:c r="E13" s="97" t="str">
        <x:v>Reuters</x:v>
      </x:c>
      <x:c r="F13" s="99" t="n">
        <x:v>46225.5</x:v>
      </x:c>
      <x:c r="G13" s="97" t="str">
        <x:v>Diplomatic cable addresses technology kill-switch concerns</x:v>
      </x:c>
      <x:c r="H13" s="97" t="str">
        <x:v>The episode generated allied concern about sudden U.S. control over critical technology access.</x:v>
      </x:c>
      <x:c r="I13" s="102" t="str">
        <x:v>Conditional</x:v>
      </x:c>
      <x:c r="J13" s="97" t="str">
        <x:v>https://www.reuters.com/legal/litigation/marco-rubio-tells-diplomats-play-down-talk-american-tech-kill-switch-2026-07-22/</x:v>
      </x:c>
    </x:row>
    <x:row r="14">
      <x:c r="A14" s="98" t="str">
        <x:v>S-D01</x:v>
      </x:c>
      <x:c r="B14" s="98" t="str">
        <x:v>D</x:v>
      </x:c>
      <x:c r="C14" s="98" t="str">
        <x:v>Party Primary</x:v>
      </x:c>
      <x:c r="D14" s="98" t="str">
        <x:v>Party Primary</x:v>
      </x:c>
      <x:c r="E14" s="98" t="str">
        <x:v>OpenAI</x:v>
      </x:c>
      <x:c r="F14" s="100" t="n">
        <x:v>46042.5</x:v>
      </x:c>
      <x:c r="G14" s="98" t="str">
        <x:v>Stargate Community commitments</x:v>
      </x:c>
      <x:c r="H14" s="98" t="str">
        <x:v>OpenAI states sites will pay incremental energy costs and prioritize low-water cooling; these are commitments, not measured outcomes.</x:v>
      </x:c>
      <x:c r="I14" s="102" t="str">
        <x:v>Conditional</x:v>
      </x:c>
      <x:c r="J14" s="98" t="str">
        <x:v>https://openai.com/index/stargate-community/</x:v>
      </x:c>
    </x:row>
    <x:row r="15">
      <x:c r="A15" s="97" t="str">
        <x:v>S-D02</x:v>
      </x:c>
      <x:c r="B15" s="97" t="str">
        <x:v>D</x:v>
      </x:c>
      <x:c r="C15" s="97" t="str">
        <x:v>Party Primary</x:v>
      </x:c>
      <x:c r="D15" s="97" t="str">
        <x:v>Party Primary</x:v>
      </x:c>
      <x:c r="E15" s="97" t="str">
        <x:v>OpenAI</x:v>
      </x:c>
      <x:c r="F15" s="99" t="n">
        <x:v>46225.5</x:v>
      </x:c>
      <x:c r="G15" s="97" t="str">
        <x:v>Project Camellia in Effingham County</x:v>
      </x:c>
      <x:c r="H15" s="97" t="str">
        <x:v>OpenAI states that the Georgia project contracts for 3.2 GW delivered in phases from 2028 to 2032.</x:v>
      </x:c>
      <x:c r="I15" s="101" t="str">
        <x:v>Yes</x:v>
      </x:c>
      <x:c r="J15" s="97" t="str">
        <x:v>https://openai.com/index/building-ai-infrastructure-with-the-effingham-county-community/</x:v>
      </x:c>
    </x:row>
    <x:row r="16">
      <x:c r="A16" s="98" t="str">
        <x:v>S-D03</x:v>
      </x:c>
      <x:c r="B16" s="98" t="str">
        <x:v>D</x:v>
      </x:c>
      <x:c r="C16" s="98" t="str">
        <x:v>Party Primary</x:v>
      </x:c>
      <x:c r="D16" s="98" t="str">
        <x:v>Party Primary</x:v>
      </x:c>
      <x:c r="E16" s="98" t="str">
        <x:v>Oracle</x:v>
      </x:c>
      <x:c r="F16" s="100" t="n">
        <x:v>46082.5</x:v>
      </x:c>
      <x:c r="G16" s="98" t="str">
        <x:v>Project Jupiter permit-proceeding support letter</x:v>
      </x:c>
      <x:c r="H16" s="98" t="str">
        <x:v>A support letter in an air-permit proceeding describes planned behind-the-meter power and ratepayer-cost commitments; it is not an issued permit.</x:v>
      </x:c>
      <x:c r="I16" s="101" t="str">
        <x:v>Yes</x:v>
      </x:c>
      <x:c r="J16" s="98" t="str">
        <x:v>https://www.oracle.com/a/ocom/docs/nmed-letter.pdf</x:v>
      </x:c>
    </x:row>
    <x:row r="17">
      <x:c r="A17" s="97" t="str">
        <x:v>S-E01</x:v>
      </x:c>
      <x:c r="B17" s="97" t="str">
        <x:v>E</x:v>
      </x:c>
      <x:c r="C17" s="97" t="str">
        <x:v>Primary/Official</x:v>
      </x:c>
      <x:c r="D17" s="97" t="str">
        <x:v>Regulator/Advisory</x:v>
      </x:c>
      <x:c r="E17" s="97" t="str">
        <x:v>MARAD</x:v>
      </x:c>
      <x:c r="F17" s="99" t="n">
        <x:v>46093.5</x:v>
      </x:c>
      <x:c r="G17" s="97" t="str">
        <x:v>Hormuz/Persian Gulf commercial-vessel advisory</x:v>
      </x:c>
      <x:c r="H17" s="97" t="str">
        <x:v>Official assessment says risks of attacks on commercial shipping remain high.</x:v>
      </x:c>
      <x:c r="I17" s="101" t="str">
        <x:v>Yes</x:v>
      </x:c>
      <x:c r="J17" s="97" t="str">
        <x:v>https://www.maritime.dot.gov/msci/2026-004-persian-gulf-strait-hormuz-and-gulf-oman-iranian-attacks-commercial-vessels</x:v>
      </x:c>
    </x:row>
    <x:row r="18">
      <x:c r="A18" s="98" t="str">
        <x:v>S-E02</x:v>
      </x:c>
      <x:c r="B18" s="98" t="str">
        <x:v>E</x:v>
      </x:c>
      <x:c r="C18" s="98" t="str">
        <x:v>Primary/Official</x:v>
      </x:c>
      <x:c r="D18" s="98" t="str">
        <x:v>Regulator/Register</x:v>
      </x:c>
      <x:c r="E18" s="98" t="str">
        <x:v>MARAD</x:v>
      </x:c>
      <x:c r="F18" s="100" t="n">
        <x:v>46228.5</x:v>
      </x:c>
      <x:c r="G18" s="98" t="str">
        <x:v>Active maritime advisories register</x:v>
      </x:c>
      <x:c r="H18" s="98" t="str">
        <x:v>Hormuz advisory remains active through 2026-09-09.</x:v>
      </x:c>
      <x:c r="I18" s="101" t="str">
        <x:v>Yes</x:v>
      </x:c>
      <x:c r="J18" s="98" t="str">
        <x:v>https://www.maritime.dot.gov/msci-advisories</x:v>
      </x:c>
    </x:row>
    <x:row r="19">
      <x:c r="A19" s="97" t="str">
        <x:v>S-E03</x:v>
      </x:c>
      <x:c r="B19" s="97" t="str">
        <x:v>E</x:v>
      </x:c>
      <x:c r="C19" s="97" t="str">
        <x:v>Industry/Reporting</x:v>
      </x:c>
      <x:c r="D19" s="97" t="str">
        <x:v>Industry Data</x:v>
      </x:c>
      <x:c r="E19" s="97" t="str">
        <x:v>Lloyd's List Intelligence</x:v>
      </x:c>
      <x:c r="F19" s="99" t="n">
        <x:v>46224.5</x:v>
      </x:c>
      <x:c r="G19" s="97" t="str">
        <x:v>Strait of Hormuz brief — 21 July</x:v>
      </x:c>
      <x:c r="H19" s="97" t="str">
        <x:v>Reported traffic fell sharply during 2026-07-13 through 2026-07-19, reversing prior recovery.</x:v>
      </x:c>
      <x:c r="I19" s="102" t="str">
        <x:v>Conditional</x:v>
      </x:c>
      <x:c r="J19" s="97" t="str">
        <x:v>https://www.lloydslistintelligence.com/resources/blog/strait-of-hormuz-brief-21-july-2026</x:v>
      </x:c>
    </x:row>
    <x:row r="20">
      <x:c r="A20" s="98" t="str">
        <x:v>S-E04</x:v>
      </x:c>
      <x:c r="B20" s="98" t="str">
        <x:v>E</x:v>
      </x:c>
      <x:c r="C20" s="98" t="str">
        <x:v>Industry/Reporting</x:v>
      </x:c>
      <x:c r="D20" s="98" t="str">
        <x:v>Industry Data</x:v>
      </x:c>
      <x:c r="E20" s="98" t="str">
        <x:v>Lloyd's List Intelligence</x:v>
      </x:c>
      <x:c r="F20" s="100" t="n">
        <x:v>46232.5</x:v>
      </x:c>
      <x:c r="G20" s="98" t="str">
        <x:v>Strait of Hormuz brief — 29 July</x:v>
      </x:c>
      <x:c r="H20" s="98" t="str">
        <x:v>Preliminary data show 39 transits during 2026-07-20 through 2026-07-26, down from 82 the prior week; inbound Gulf traffic remained more than 90% below the pre-strikes level, with no near-term recovery indicated.</x:v>
      </x:c>
      <x:c r="I20" s="102" t="str">
        <x:v>Conditional</x:v>
      </x:c>
      <x:c r="J20" s="98" t="str">
        <x:v>https://www.lloydslistintelligence.com/resources/blog/strait-of-hormuz-brief-29-july-2026</x:v>
      </x:c>
    </x:row>
    <x:row r="21">
      <x:c r="A21" s="97" t="str">
        <x:v>S-F01</x:v>
      </x:c>
      <x:c r="B21" s="97" t="str">
        <x:v>F</x:v>
      </x:c>
      <x:c r="C21" s="97" t="str">
        <x:v>Reporting/Analysis</x:v>
      </x:c>
      <x:c r="D21" s="97" t="str">
        <x:v>Independent Reporting</x:v>
      </x:c>
      <x:c r="E21" s="97" t="str">
        <x:v>WIRED</x:v>
      </x:c>
      <x:c r="F21" s="99" t="n">
        <x:v>46189.5</x:v>
      </x:c>
      <x:c r="G21" s="97" t="str">
        <x:v>Dialog records exposure</x:v>
      </x:c>
      <x:c r="H21" s="97" t="str">
        <x:v>Confirms reporting about an invitation-only network and exposed retreat records; the primary archive is not public.</x:v>
      </x:c>
      <x:c r="I21" s="101" t="str">
        <x:v>No</x:v>
      </x:c>
      <x:c r="J21" s="97" t="str">
        <x:v>https://www.wired.com/story/leak-exposes-members-of-peter-thiels-secretive-dialog-society/</x:v>
      </x:c>
    </x:row>
    <x:row r="22">
      <x:c r="A22" s="98" t="str">
        <x:v>S-F02</x:v>
      </x:c>
      <x:c r="B22" s="98" t="str">
        <x:v>F</x:v>
      </x:c>
      <x:c r="C22" s="98" t="str">
        <x:v>Reporting/Analysis</x:v>
      </x:c>
      <x:c r="D22" s="98" t="str">
        <x:v>Independent Reporting</x:v>
      </x:c>
      <x:c r="E22" s="98" t="str">
        <x:v>Forbes</x:v>
      </x:c>
      <x:c r="F22" s="100" t="n">
        <x:v>46191.5</x:v>
      </x:c>
      <x:c r="G22" s="98" t="str">
        <x:v>What is known about Dialog</x:v>
      </x:c>
      <x:c r="H22" s="98" t="str">
        <x:v>Secondary corroboration of the network; does not resolve registry mechanics or number intent.</x:v>
      </x:c>
      <x:c r="I22" s="101" t="str">
        <x:v>No</x:v>
      </x:c>
      <x:c r="J22" s="98" t="str">
        <x:v>https://www.forbes.com/sites/maryroeloffs/2026/06/18/what-we-know-about-billionaire-peter-thiels-secret-dialog-society-including-whos-involved/</x:v>
      </x:c>
    </x:row>
    <x:row r="23">
      <x:c r="A23" s="97" t="str">
        <x:v>S-X01</x:v>
      </x:c>
      <x:c r="B23" s="97" t="str">
        <x:v>X</x:v>
      </x:c>
      <x:c r="C23" s="97" t="str">
        <x:v>Internal Method</x:v>
      </x:c>
      <x:c r="D23" s="97" t="str">
        <x:v>Internal Method</x:v>
      </x:c>
      <x:c r="E23" s="97" t="str">
        <x:v>Timekeeper audit</x:v>
      </x:c>
      <x:c r="F23" s="99" t="n">
        <x:v>46232.5</x:v>
      </x:c>
      <x:c r="G23" s="97" t="str">
        <x:v>Transcript and archive protocol</x:v>
      </x:c>
      <x:c r="H23" s="97" t="str">
        <x:v>Internal brake remains method-only; no public factual claim is upgraded by it.</x:v>
      </x:c>
      <x:c r="I23" s="101" t="str">
        <x:v>No</x:v>
      </x:c>
      <x:c r="J23" s="97"/>
    </x:row>
    <x:row r="24">
      <x:c r="A24" s="98" t="str">
        <x:v>S-T01</x:v>
      </x:c>
      <x:c r="B24" s="98" t="str">
        <x:v>T</x:v>
      </x:c>
      <x:c r="C24" s="98" t="str">
        <x:v>Primary/Official</x:v>
      </x:c>
      <x:c r="D24" s="98" t="str">
        <x:v>Official Scientific</x:v>
      </x:c>
      <x:c r="E24" s="98" t="str">
        <x:v>NASA</x:v>
      </x:c>
      <x:c r="F24" s="100" t="n">
        <x:v>45839.5</x:v>
      </x:c>
      <x:c r="G24" s="98" t="str">
        <x:v>3I/ATLAS</x:v>
      </x:c>
      <x:c r="H24" s="98" t="str">
        <x:v>NASA identifies 3I/ATLAS as the third known interstellar object and records its discovery/reporting history.</x:v>
      </x:c>
      <x:c r="I24" s="101" t="str">
        <x:v>Yes</x:v>
      </x:c>
      <x:c r="J24" s="98" t="str">
        <x:v>https://science.nasa.gov/solar-system/comets/3i-atlas/</x:v>
      </x:c>
    </x:row>
    <x:row r="25">
      <x:c r="A25" s="97" t="str">
        <x:v>S-T02</x:v>
      </x:c>
      <x:c r="B25" s="97" t="str">
        <x:v>T</x:v>
      </x:c>
      <x:c r="C25" s="97" t="str">
        <x:v>Reporting/Analysis</x:v>
      </x:c>
      <x:c r="D25" s="97" t="str">
        <x:v>Independent Reporting</x:v>
      </x:c>
      <x:c r="E25" s="97" t="str">
        <x:v>Religion News Service</x:v>
      </x:c>
      <x:c r="F25" s="99" t="n">
        <x:v>45849.5</x:v>
      </x:c>
      <x:c r="G25" s="97" t="str">
        <x:v>Red-heifer practice report</x:v>
      </x:c>
      <x:c r="H25" s="97" t="str">
        <x:v>Reports a practice or rehearsal in a charged religious-political field; exact ritual status requires primary confirmation.</x:v>
      </x:c>
      <x:c r="I25" s="102" t="str">
        <x:v>Conditional</x:v>
      </x:c>
      <x:c r="J25" s="97" t="str">
        <x:v>https://religionnews.com/2025/07/11/practice-run-of-red-heifer-ceremony-meant-to-pave-the-way-for-a-new-temple-held-in-jerusalem/</x:v>
      </x:c>
    </x:row>
    <x:row r="26">
      <x:c r="A26" s="98" t="str">
        <x:v>S-T03</x:v>
      </x:c>
      <x:c r="B26" s="98" t="str">
        <x:v>T</x:v>
      </x:c>
      <x:c r="C26" s="98" t="str">
        <x:v>Scientific Aggregation</x:v>
      </x:c>
      <x:c r="D26" s="98" t="str">
        <x:v>Scientific Aggregator</x:v>
      </x:c>
      <x:c r="E26" s="98" t="str">
        <x:v>COBS</x:v>
      </x:c>
      <x:c r="F26" s="100" t="n">
        <x:v>46131.5</x:v>
      </x:c>
      <x:c r="G26" s="98" t="str">
        <x:v>C/2025 R3 (PanSTARRS)</x:v>
      </x:c>
      <x:c r="H26" s="98" t="str">
        <x:v>Provides provisional orbital and observing information; replace with MPC/JPL ephemeris for load-bearing geometry.</x:v>
      </x:c>
      <x:c r="I26" s="102" t="str">
        <x:v>Conditional</x:v>
      </x:c>
      <x:c r="J26" s="98" t="str">
        <x:v>https://cobs.si/comet/2663/</x:v>
      </x:c>
    </x:row>
    <x:row r="27">
      <x:c r="A27" s="97" t="str">
        <x:v>S-T04</x:v>
      </x:c>
      <x:c r="B27" s="97" t="str">
        <x:v>T</x:v>
      </x:c>
      <x:c r="C27" s="97" t="str">
        <x:v>Reporting/Analysis</x:v>
      </x:c>
      <x:c r="D27" s="97" t="str">
        <x:v>Independent Reporting</x:v>
      </x:c>
      <x:c r="E27" s="97" t="str">
        <x:v>WIRED</x:v>
      </x:c>
      <x:c r="F27" s="99" t="n">
        <x:v>46189.5</x:v>
      </x:c>
      <x:c r="G27" s="97" t="str">
        <x:v>Dialog registry count</x:v>
      </x:c>
      <x:c r="H27" s="97" t="str">
        <x:v>Reports 222 registrants; finality, cap, and snapshot status remain unresolved.</x:v>
      </x:c>
      <x:c r="I27" s="101" t="str">
        <x:v>No</x:v>
      </x:c>
      <x:c r="J27" s="97" t="str">
        <x:v>https://www.wired.com/story/leak-exposes-members-of-peter-thiels-secretive-dialog-society/</x:v>
      </x:c>
    </x:row>
  </x:sheetData>
  <x:mergeCells>
    <x:mergeCell ref="A1:J1"/>
    <x:mergeCell ref="A2:J2"/>
  </x:mergeCells>
  <x:conditionalFormatting sqref="H2:H19">
    <x:cfRule type="expression" dxfId="0" priority="1">
      <x:formula>H2="Yes"</x:formula>
    </x:cfRule>
    <x:cfRule type="expression" dxfId="1" priority="2">
      <x:formula>H2="Conditional"</x:formula>
    </x:cfRule>
    <x:cfRule type="expression" dxfId="2" priority="3">
      <x:formula>H2="No"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f908fc750448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0" hidden="0" customWidth="1"/>
    <x:col min="4" max="4" width="27" hidden="0" customWidth="1"/>
    <x:col min="5" max="5" width="80" hidden="0" customWidth="1"/>
  </x:cols>
  <x:sheetData>
    <x:row r="1" ht="34" customHeight="1">
      <x:c r="A1" s="86" t="str">
        <x:v>CHANGE LOG — v0.5</x:v>
      </x:c>
      <x:c r="B1" s="86"/>
      <x:c r="C1" s="86"/>
      <x:c r="D1" s="86"/>
      <x:c r="E1" s="86"/>
    </x:row>
    <x:row r="2" ht="24" customHeight="1">
      <x:c r="A2" s="89" t="str">
        <x:v>Retractions and classification changes remain visible; correction is part of the method.</x:v>
      </x:c>
      <x:c r="B2" s="89"/>
      <x:c r="C2" s="89"/>
      <x:c r="D2" s="89"/>
      <x:c r="E2" s="89"/>
    </x:row>
    <x:row r="3">
      <x:c r="A3"/>
      <x:c r="B3"/>
      <x:c r="C3"/>
      <x:c r="D3"/>
      <x:c r="E3"/>
    </x:row>
    <x:row r="4" ht="32" customHeight="1">
      <x:c r="A4" s="93" t="str">
        <x:v>Date</x:v>
      </x:c>
      <x:c r="B4" s="93" t="str">
        <x:v>Version</x:v>
      </x:c>
      <x:c r="C4" s="93" t="str">
        <x:v>Packet</x:v>
      </x:c>
      <x:c r="D4" s="93" t="str">
        <x:v>Change</x:v>
      </x:c>
      <x:c r="E4" s="93" t="str">
        <x:v>Note</x:v>
      </x:c>
    </x:row>
    <x:row r="5">
      <x:c r="A5" s="99" t="n">
        <x:v>46232.5</x:v>
      </x:c>
      <x:c r="B5" s="97" t="str">
        <x:v>v0.5</x:v>
      </x:c>
      <x:c r="C5" s="97" t="str">
        <x:v>M</x:v>
      </x:c>
      <x:c r="D5" s="97" t="str">
        <x:v>Method gate installed</x:v>
      </x:c>
      <x:c r="E5" s="97" t="str">
        <x:v>Added null model, invocation/operation threshold, de-agented timekeeper question, evidence lanes, reflexivity, and cross-packet firewall.</x:v>
      </x:c>
    </x:row>
    <x:row r="6">
      <x:c r="A6" s="100" t="n">
        <x:v>46232.5</x:v>
      </x:c>
      <x:c r="B6" s="98" t="str">
        <x:v>v0.5</x:v>
      </x:c>
      <x:c r="C6" s="98" t="str">
        <x:v>ALL</x:v>
      </x:c>
      <x:c r="D6" s="98" t="str">
        <x:v>Shared claim register</x:v>
      </x:c>
      <x:c r="E6" s="98" t="str">
        <x:v>Added exact proposition, source role, null model, falsifier, confidence, review date, and document location for 26 tracked claims.</x:v>
      </x:c>
    </x:row>
    <x:row r="7">
      <x:c r="A7" s="99" t="n">
        <x:v>46232.5</x:v>
      </x:c>
      <x:c r="B7" s="97" t="str">
        <x:v>v0.5</x:v>
      </x:c>
      <x:c r="C7" s="97" t="str">
        <x:v>ALL</x:v>
      </x:c>
      <x:c r="D7" s="97" t="str">
        <x:v>Source-role split</x:v>
      </x:c>
      <x:c r="E7" s="97" t="str">
        <x:v>Separated regulator, standards, party-primary, independent-reporting, industry-data, scientific, and internal-method roles.</x:v>
      </x:c>
    </x:row>
    <x:row r="8">
      <x:c r="A8" s="100" t="n">
        <x:v>46232.5</x:v>
      </x:c>
      <x:c r="B8" s="98" t="str">
        <x:v>v0.5</x:v>
      </x:c>
      <x:c r="C8" s="98" t="str">
        <x:v>D</x:v>
      </x:c>
      <x:c r="D8" s="98" t="str">
        <x:v>Terminology corrected</x:v>
      </x:c>
      <x:c r="E8" s="98" t="str">
        <x:v>Reclassified Oracle Project Jupiter item as a permit-proceeding support letter, not an issued permit.</x:v>
      </x:c>
    </x:row>
    <x:row r="9">
      <x:c r="A9" s="99" t="n">
        <x:v>46232.5</x:v>
      </x:c>
      <x:c r="B9" s="97" t="str">
        <x:v>v0.5</x:v>
      </x:c>
      <x:c r="C9" s="97" t="str">
        <x:v>E</x:v>
      </x:c>
      <x:c r="D9" s="97" t="str">
        <x:v>Live roll-forward</x:v>
      </x:c>
      <x:c r="E9" s="97" t="str">
        <x:v>Added Lloyd's 2026-07-29 brief and updated the 2026-07-20 through 2026-07-26 transit finding.</x:v>
      </x:c>
    </x:row>
    <x:row r="10">
      <x:c r="A10" s="100" t="n">
        <x:v>46232.5</x:v>
      </x:c>
      <x:c r="B10" s="98" t="str">
        <x:v>v0.5</x:v>
      </x:c>
      <x:c r="C10" s="98" t="str">
        <x:v>T</x:v>
      </x:c>
      <x:c r="D10" s="98" t="str">
        <x:v>Lane separation</x:v>
      </x:c>
      <x:c r="E10" s="98" t="str">
        <x:v>Split the Timekeeper appendix into a research ledger and symbolic atlas; adjacency can no longer upgrade evidence.</x:v>
      </x:c>
    </x:row>
    <x:row r="11">
      <x:c r="A11" s="99" t="n">
        <x:v>46232.5</x:v>
      </x:c>
      <x:c r="B11" s="97" t="str">
        <x:v>v0.5</x:v>
      </x:c>
      <x:c r="C11" s="97" t="str">
        <x:v>N</x:v>
      </x:c>
      <x:c r="D11" s="97" t="str">
        <x:v>Vocabulary stabilized</x:v>
      </x:c>
      <x:c r="E11" s="97" t="str">
        <x:v>Fixed the Necropolis vocabulary: corpus, tomb/chamber, speaking image, priesthood-function, Silicon God, system, and live refusal infrastructure.</x:v>
      </x:c>
    </x:row>
    <x:row r="12">
      <x:c r="A12" s="100" t="n">
        <x:v>46228.5</x:v>
      </x:c>
      <x:c r="B12" s="98" t="str">
        <x:v>v0.4</x:v>
      </x:c>
      <x:c r="C12" s="98" t="str">
        <x:v>A</x:v>
      </x:c>
      <x:c r="D12" s="98" t="str">
        <x:v>Upgraded</x:v>
      </x:c>
      <x:c r="E12" s="98" t="str">
        <x:v>Added federal and state tariff/docket spine; rolled to FERC response deadline.</x:v>
      </x:c>
    </x:row>
    <x:row r="13">
      <x:c r="A13" s="99" t="n">
        <x:v>46228.5</x:v>
      </x:c>
      <x:c r="B13" s="97" t="str">
        <x:v>v0.4</x:v>
      </x:c>
      <x:c r="C13" s="97" t="str">
        <x:v>B</x:v>
      </x:c>
      <x:c r="D13" s="97" t="str">
        <x:v>Hardened</x:v>
      </x:c>
      <x:c r="E13" s="97" t="str">
        <x:v>Added 3GPP, GSMA, and FCC anchors; held load-bearing status pending exact packet proposition.</x:v>
      </x:c>
    </x:row>
    <x:row r="14">
      <x:c r="A14" s="100" t="n">
        <x:v>46228.5</x:v>
      </x:c>
      <x:c r="B14" s="98" t="str">
        <x:v>v0.4</x:v>
      </x:c>
      <x:c r="C14" s="98" t="str">
        <x:v>C</x:v>
      </x:c>
      <x:c r="D14" s="98" t="str">
        <x:v>Confirmed / Closed</x:v>
      </x:c>
      <x:c r="E14" s="98" t="str">
        <x:v>Separated confirmed temporary suspension from unavailable directive text and permanent-control claims.</x:v>
      </x:c>
    </x:row>
    <x:row r="15">
      <x:c r="A15" s="99" t="n">
        <x:v>46228.5</x:v>
      </x:c>
      <x:c r="B15" s="97" t="str">
        <x:v>v0.4</x:v>
      </x:c>
      <x:c r="C15" s="97" t="str">
        <x:v>D</x:v>
      </x:c>
      <x:c r="D15" s="97" t="str">
        <x:v>Strengthened / Partial</x:v>
      </x:c>
      <x:c r="E15" s="97" t="str">
        <x:v>Added site-specific power and proceeding artifacts; retained party-primary brake.</x:v>
      </x:c>
    </x:row>
    <x:row r="16">
      <x:c r="A16" s="100" t="n">
        <x:v>46228.5</x:v>
      </x:c>
      <x:c r="B16" s="98" t="str">
        <x:v>v0.4</x:v>
      </x:c>
      <x:c r="C16" s="98" t="str">
        <x:v>E</x:v>
      </x:c>
      <x:c r="D16" s="98" t="str">
        <x:v>Live / High Risk</x:v>
      </x:c>
      <x:c r="E16" s="98" t="str">
        <x:v>Upgraded advisory lane to active MARAD source; retained traffic and insurance as conditional.</x:v>
      </x:c>
    </x:row>
    <x:row r="17">
      <x:c r="A17" s="99" t="n">
        <x:v>46228.5</x:v>
      </x:c>
      <x:c r="B17" s="97" t="str">
        <x:v>v0.4</x:v>
      </x:c>
      <x:c r="C17" s="97" t="str">
        <x:v>F</x:v>
      </x:c>
      <x:c r="D17" s="97" t="str">
        <x:v>Unchanged</x:v>
      </x:c>
      <x:c r="E17" s="97" t="str">
        <x:v>Kept Dialog in reporting/archive lane; no primary registry mechanics located.</x:v>
      </x:c>
    </x:row>
    <x:row r="18">
      <x:c r="A18" s="100" t="n">
        <x:v>46228.5</x:v>
      </x:c>
      <x:c r="B18" s="98" t="str">
        <x:v>v0.4</x:v>
      </x:c>
      <x:c r="C18" s="98" t="str">
        <x:v>X</x:v>
      </x:c>
      <x:c r="D18" s="98" t="str">
        <x:v>Monitor</x:v>
      </x:c>
      <x:c r="E18" s="98" t="str">
        <x:v>Transcript protocol unchanged.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31df55a16d848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7" hidden="0" customWidth="1"/>
    <x:col min="3" max="3" width="58" hidden="0" customWidth="1"/>
    <x:col min="4" max="4" width="23" hidden="0" customWidth="1"/>
    <x:col min="5" max="5" width="20" hidden="0" customWidth="1"/>
    <x:col min="6" max="6" width="24" hidden="0" customWidth="1"/>
    <x:col min="7" max="7" width="48" hidden="0" customWidth="1"/>
    <x:col min="8" max="8" width="48" hidden="0" customWidth="1"/>
    <x:col min="9" max="9" width="23" hidden="0" customWidth="1"/>
    <x:col min="10" max="10" width="14" hidden="0" customWidth="1"/>
    <x:col min="11" max="11" width="13" hidden="0" customWidth="1"/>
    <x:col min="12" max="12" width="34" hidden="0" customWidth="1"/>
  </x:cols>
  <x:sheetData>
    <x:row r="1" ht="34" customHeight="1">
      <x:c r="A1" s="86" t="str">
        <x:v>SHARED CLAIM REGISTER — v0.5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</x:row>
    <x:row r="2" ht="24" customHeight="1">
      <x:c r="A2" s="89" t="str">
        <x:v>Exact proposition, evidence lane, source role, null model, falsifier, confidence, review clock, and document location.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</x:row>
    <x:row r="4" ht="32" customHeight="1">
      <x:c r="A4" s="93" t="str">
        <x:v>Claim ID</x:v>
      </x:c>
      <x:c r="B4" s="93" t="str">
        <x:v>Packet</x:v>
      </x:c>
      <x:c r="C4" s="93" t="str">
        <x:v>Exact Proposition</x:v>
      </x:c>
      <x:c r="D4" s="93" t="str">
        <x:v>Lane</x:v>
      </x:c>
      <x:c r="E4" s="93" t="str">
        <x:v>Source IDs</x:v>
      </x:c>
      <x:c r="F4" s="93" t="str">
        <x:v>Source Role</x:v>
      </x:c>
      <x:c r="G4" s="93" t="str">
        <x:v>Null Model / Mundane Explanation</x:v>
      </x:c>
      <x:c r="H4" s="93" t="str">
        <x:v>Falsifier / Revision Criterion</x:v>
      </x:c>
      <x:c r="I4" s="93" t="str">
        <x:v>Status</x:v>
      </x:c>
      <x:c r="J4" s="93" t="str">
        <x:v>Confidence</x:v>
      </x:c>
      <x:c r="K4" s="93" t="str">
        <x:v>Review Date</x:v>
      </x:c>
      <x:c r="L4" s="93" t="str">
        <x:v>Document Location</x:v>
      </x:c>
    </x:row>
    <x:row r="5">
      <x:c r="A5" s="97" t="str">
        <x:v>M-001</x:v>
      </x:c>
      <x:c r="B5" s="97" t="str">
        <x:v>M</x:v>
      </x:c>
      <x:c r="C5" s="97" t="str">
        <x:v>Revelation functions productively as a structural model of imperial political economy under stress.</x:v>
      </x:c>
      <x:c r="D5" s="97" t="str">
        <x:v>Supported interpretation</x:v>
      </x:c>
      <x:c r="E5" s="97" t="str">
        <x:v>Internal method; source spine packets</x:v>
      </x:c>
      <x:c r="F5" s="97" t="str">
        <x:v>Synthesis</x:v>
      </x:c>
      <x:c r="G5" s="97" t="str">
        <x:v>Similarities may arise from broad recurring institutional patterns.</x:v>
      </x:c>
      <x:c r="H5" s="97" t="str">
        <x:v>Retire or narrow if the comparison grid repeatedly fails on literal function or produces no discriminating predictions.</x:v>
      </x:c>
      <x:c r="I5" s="101" t="str">
        <x:v>Active</x:v>
      </x:c>
      <x:c r="J5" s="97" t="str">
        <x:v>Medium-High</x:v>
      </x:c>
      <x:c r="K5" s="99" t="n">
        <x:v>46324.5</x:v>
      </x:c>
      <x:c r="L5" s="97" t="str">
        <x:v>Integrated v4 — Executive Summary</x:v>
      </x:c>
    </x:row>
    <x:row r="6">
      <x:c r="A6" s="98" t="str">
        <x:v>M-002</x:v>
      </x:c>
      <x:c r="B6" s="98" t="str">
        <x:v>M</x:v>
      </x:c>
      <x:c r="C6" s="98" t="str">
        <x:v>Function outranks resemblance in every proposed mapping.</x:v>
      </x:c>
      <x:c r="D6" s="98" t="str">
        <x:v>Internal method</x:v>
      </x:c>
      <x:c r="E6" s="98" t="str">
        <x:v>S-X01</x:v>
      </x:c>
      <x:c r="F6" s="98" t="str">
        <x:v>Internal Method</x:v>
      </x:c>
      <x:c r="G6" s="98" t="str">
        <x:v>A visually satisfying analogy can be functionally wrong.</x:v>
      </x:c>
      <x:c r="H6" s="98" t="str">
        <x:v>Any mapping graded strong without a functional match is demoted.</x:v>
      </x:c>
      <x:c r="I6" s="101" t="str">
        <x:v>Governing</x:v>
      </x:c>
      <x:c r="J6" s="98" t="str">
        <x:v>High</x:v>
      </x:c>
      <x:c r="K6" s="100" t="n">
        <x:v>46324.5</x:v>
      </x:c>
      <x:c r="L6" s="98" t="str">
        <x:v>Integrated v4 — Method</x:v>
      </x:c>
    </x:row>
    <x:row r="7">
      <x:c r="A7" s="97" t="str">
        <x:v>M-003</x:v>
      </x:c>
      <x:c r="B7" s="97" t="str">
        <x:v>M</x:v>
      </x:c>
      <x:c r="C7" s="97" t="str">
        <x:v>Convergence is the default explanation for dense timing clusters.</x:v>
      </x:c>
      <x:c r="D7" s="97" t="str">
        <x:v>Internal method</x:v>
      </x:c>
      <x:c r="E7" s="97" t="str">
        <x:v>S-X01</x:v>
      </x:c>
      <x:c r="F7" s="97" t="str">
        <x:v>Internal Method</x:v>
      </x:c>
      <x:c r="G7" s="97" t="str">
        <x:v>Independent institutional clocks often converge without coordination.</x:v>
      </x:c>
      <x:c r="H7" s="97" t="str">
        <x:v>Coordination may be entertained only after independent choice evidence appears.</x:v>
      </x:c>
      <x:c r="I7" s="101" t="str">
        <x:v>Governing</x:v>
      </x:c>
      <x:c r="J7" s="97" t="str">
        <x:v>High</x:v>
      </x:c>
      <x:c r="K7" s="99" t="n">
        <x:v>46324.5</x:v>
      </x:c>
      <x:c r="L7" s="97" t="str">
        <x:v>Integrated v4 — Method Gate</x:v>
      </x:c>
    </x:row>
    <x:row r="8">
      <x:c r="A8" s="98" t="str">
        <x:v>M-004</x:v>
      </x:c>
      <x:c r="B8" s="98" t="str">
        <x:v>M</x:v>
      </x:c>
      <x:c r="C8" s="98" t="str">
        <x:v>Invocation becomes operation only when framing changes an allocation and the change tracks the framing rather than ordinary incentives.</x:v>
      </x:c>
      <x:c r="D8" s="98" t="str">
        <x:v>Internal method</x:v>
      </x:c>
      <x:c r="E8" s="98" t="str">
        <x:v>S-X01</x:v>
      </x:c>
      <x:c r="F8" s="98" t="str">
        <x:v>Internal Method</x:v>
      </x:c>
      <x:c r="G8" s="98" t="str">
        <x:v>Branding and rhetoric are cheap and common.</x:v>
      </x:c>
      <x:c r="H8" s="98" t="str">
        <x:v>No allocation or no framing link means invocation only.</x:v>
      </x:c>
      <x:c r="I8" s="101" t="str">
        <x:v>Governing</x:v>
      </x:c>
      <x:c r="J8" s="98" t="str">
        <x:v>High</x:v>
      </x:c>
      <x:c r="K8" s="100" t="n">
        <x:v>46324.5</x:v>
      </x:c>
      <x:c r="L8" s="98" t="str">
        <x:v>Integrated v4 — Invocation vs. Operation</x:v>
      </x:c>
    </x:row>
    <x:row r="9">
      <x:c r="A9" s="97" t="str">
        <x:v>M-005</x:v>
      </x:c>
      <x:c r="B9" s="97" t="str">
        <x:v>M</x:v>
      </x:c>
      <x:c r="C9" s="97" t="str">
        <x:v>Cross-packet links may assert shared material substrate but not shared agency without direct evidence.</x:v>
      </x:c>
      <x:c r="D9" s="97" t="str">
        <x:v>Internal method</x:v>
      </x:c>
      <x:c r="E9" s="97" t="str">
        <x:v>S-X01</x:v>
      </x:c>
      <x:c r="F9" s="97" t="str">
        <x:v>Internal Method</x:v>
      </x:c>
      <x:c r="G9" s="97" t="str">
        <x:v>One substrate can produce several effects through uncoordinated actors.</x:v>
      </x:c>
      <x:c r="H9" s="97" t="str">
        <x:v>Any link implying a common hand without direct evidence is removed.</x:v>
      </x:c>
      <x:c r="I9" s="101" t="str">
        <x:v>Governing</x:v>
      </x:c>
      <x:c r="J9" s="97" t="str">
        <x:v>High</x:v>
      </x:c>
      <x:c r="K9" s="99" t="n">
        <x:v>46324.5</x:v>
      </x:c>
      <x:c r="L9" s="97" t="str">
        <x:v>Integrated v4 — Cross-packet Firewall</x:v>
      </x:c>
    </x:row>
    <x:row r="10">
      <x:c r="A10" s="98" t="str">
        <x:v>N-001</x:v>
      </x:c>
      <x:c r="B10" s="98" t="str">
        <x:v>N</x:v>
      </x:c>
      <x:c r="C10" s="98" t="str">
        <x:v>Human expression can remain economically operative after provenance and authorial authority are lost.</x:v>
      </x:c>
      <x:c r="D10" s="98" t="str">
        <x:v>Supported interpretation</x:v>
      </x:c>
      <x:c r="E10" s="98" t="str">
        <x:v>SOURCE REQUIRED</x:v>
      </x:c>
      <x:c r="F10" s="98" t="str">
        <x:v>Research task</x:v>
      </x:c>
      <x:c r="G10" s="98" t="str">
        <x:v>Aggregation can create new statistical artifacts without preserving identifiable contributions.</x:v>
      </x:c>
      <x:c r="H10" s="98" t="str">
        <x:v>Attach provenance, training-data, and downstream-use evidence before treating a particular system as a case.</x:v>
      </x:c>
      <x:c r="I10" s="102" t="str">
        <x:v>Research task</x:v>
      </x:c>
      <x:c r="J10" s="98" t="str">
        <x:v>Medium</x:v>
      </x:c>
      <x:c r="K10" s="100" t="n">
        <x:v>46294.5</x:v>
      </x:c>
      <x:c r="L10" s="98" t="str">
        <x:v>Necropolis — I and VI</x:v>
      </x:c>
    </x:row>
    <x:row r="11">
      <x:c r="A11" s="97" t="str">
        <x:v>N-002</x:v>
      </x:c>
      <x:c r="B11" s="97" t="str">
        <x:v>N</x:v>
      </x:c>
      <x:c r="C11" s="97" t="str">
        <x:v>A model output can resemble presence without preserving the continuous identity, memory, will, or consciousness of a source person.</x:v>
      </x:c>
      <x:c r="D11" s="97" t="str">
        <x:v>Supported interpretation</x:v>
      </x:c>
      <x:c r="E11" s="97" t="str">
        <x:v>SOURCE REQUIRED</x:v>
      </x:c>
      <x:c r="F11" s="97" t="str">
        <x:v>Research task</x:v>
      </x:c>
      <x:c r="G11" s="97" t="str">
        <x:v>Pattern generation can imitate style without identity continuity.</x:v>
      </x:c>
      <x:c r="H11" s="97" t="str">
        <x:v>Revise if evidence of continuous person-level identity or consciousness emerges.</x:v>
      </x:c>
      <x:c r="I11" s="101" t="str">
        <x:v>Active</x:v>
      </x:c>
      <x:c r="J11" s="97" t="str">
        <x:v>Medium-High</x:v>
      </x:c>
      <x:c r="K11" s="99" t="n">
        <x:v>46324.5</x:v>
      </x:c>
      <x:c r="L11" s="97" t="str">
        <x:v>Necropolis — I and VI</x:v>
      </x:c>
    </x:row>
    <x:row r="12">
      <x:c r="A12" s="98" t="str">
        <x:v>N-003</x:v>
      </x:c>
      <x:c r="B12" s="98" t="str">
        <x:v>N</x:v>
      </x:c>
      <x:c r="C12" s="98" t="str">
        <x:v>Live refusal infrastructure would require provenance-linked, binding claims, independent review, and auditable decision receipts.</x:v>
      </x:c>
      <x:c r="D12" s="98" t="str">
        <x:v>Design proposal</x:v>
      </x:c>
      <x:c r="E12" s="98" t="str">
        <x:v>Internal design</x:v>
      </x:c>
      <x:c r="F12" s="98" t="str">
        <x:v>Internal Method</x:v>
      </x:c>
      <x:c r="G12" s="98" t="str">
        <x:v>Voluntary platform controls may provide partial remedies without binding external standing.</x:v>
      </x:c>
      <x:c r="H12" s="98" t="str">
        <x:v>Revise if the proposal cannot be implemented without unacceptable privacy, security, or governance costs.</x:v>
      </x:c>
      <x:c r="I12" s="101" t="str">
        <x:v>Proposed</x:v>
      </x:c>
      <x:c r="J12" s="98" t="str">
        <x:v>Medium</x:v>
      </x:c>
      <x:c r="K12" s="100" t="n">
        <x:v>46355.5</x:v>
      </x:c>
      <x:c r="L12" s="98" t="str">
        <x:v>Necropolis — VIII and IX</x:v>
      </x:c>
    </x:row>
    <x:row r="13">
      <x:c r="A13" s="97" t="str">
        <x:v>A-001</x:v>
      </x:c>
      <x:c r="B13" s="97" t="str">
        <x:v>A</x:v>
      </x:c>
      <x:c r="C13" s="97" t="str">
        <x:v>FERC issued show-cause orders requiring six RTOs/ISOs to justify or reform large-load tariffs.</x:v>
      </x:c>
      <x:c r="D13" s="97" t="str">
        <x:v>Hard evidence</x:v>
      </x:c>
      <x:c r="E13" s="97" t="str">
        <x:v>S-A01</x:v>
      </x:c>
      <x:c r="F13" s="97" t="str">
        <x:v>Regulator/Release</x:v>
      </x:c>
      <x:c r="G13" s="97" t="str">
        <x:v>Routine tariff oversight can explain the action without any apocalyptic frame.</x:v>
      </x:c>
      <x:c r="H13" s="97" t="str">
        <x:v>Revise when the orders or resulting filings materially change.</x:v>
      </x:c>
      <x:c r="I13" s="101" t="str">
        <x:v>Active</x:v>
      </x:c>
      <x:c r="J13" s="97" t="str">
        <x:v>High</x:v>
      </x:c>
      <x:c r="K13" s="99" t="n">
        <x:v>46251.5</x:v>
      </x:c>
      <x:c r="L13" s="97" t="str">
        <x:v>Source spine — Packet A</x:v>
      </x:c>
    </x:row>
    <x:row r="14">
      <x:c r="A14" s="98" t="str">
        <x:v>A-002</x:v>
      </x:c>
      <x:c r="B14" s="98" t="str">
        <x:v>A</x:v>
      </x:c>
      <x:c r="C14" s="98" t="str">
        <x:v>Wisconsin and Pennsylvania regulator actions include explicit large-load cost-allocation protections.</x:v>
      </x:c>
      <x:c r="D14" s="98" t="str">
        <x:v>Hard evidence</x:v>
      </x:c>
      <x:c r="E14" s="98" t="str">
        <x:v>S-A02; S-A03</x:v>
      </x:c>
      <x:c r="F14" s="98" t="str">
        <x:v>Regulator/Order</x:v>
      </x:c>
      <x:c r="G14" s="98" t="str">
        <x:v>Ordinary ratepayer protection and utility planning.</x:v>
      </x:c>
      <x:c r="H14" s="98" t="str">
        <x:v>Revise with superseding orders or court action.</x:v>
      </x:c>
      <x:c r="I14" s="101" t="str">
        <x:v>Active</x:v>
      </x:c>
      <x:c r="J14" s="98" t="str">
        <x:v>High</x:v>
      </x:c>
      <x:c r="K14" s="100" t="n">
        <x:v>46324.5</x:v>
      </x:c>
      <x:c r="L14" s="98" t="str">
        <x:v>Source spine — Packet A</x:v>
      </x:c>
    </x:row>
    <x:row r="15">
      <x:c r="A15" s="97" t="str">
        <x:v>B-001</x:v>
      </x:c>
      <x:c r="B15" s="97" t="str">
        <x:v>B</x:v>
      </x:c>
      <x:c r="C15" s="97" t="str">
        <x:v>AI/ML is entering mobile-network architecture and 6G security analysis.</x:v>
      </x:c>
      <x:c r="D15" s="97" t="str">
        <x:v>Hard evidence</x:v>
      </x:c>
      <x:c r="E15" s="97" t="str">
        <x:v>S-B01; S-B02; S-B03</x:v>
      </x:c>
      <x:c r="F15" s="97" t="str">
        <x:v>Standards Body; Regulator/Report</x:v>
      </x:c>
      <x:c r="G15" s="97" t="str">
        <x:v>Normal technical evolution of network standards.</x:v>
      </x:c>
      <x:c r="H15" s="97" t="str">
        <x:v>Keep scoped to the exact standards documents; do not infer a broader delivery-control thesis.</x:v>
      </x:c>
      <x:c r="I15" s="101" t="str">
        <x:v>Scoped</x:v>
      </x:c>
      <x:c r="J15" s="97" t="str">
        <x:v>Medium</x:v>
      </x:c>
      <x:c r="K15" s="99" t="n">
        <x:v>46296.5</x:v>
      </x:c>
      <x:c r="L15" s="97" t="str">
        <x:v>Source spine — Packet B</x:v>
      </x:c>
    </x:row>
    <x:row r="16">
      <x:c r="A16" s="98" t="str">
        <x:v>C-001</x:v>
      </x:c>
      <x:c r="B16" s="98" t="str">
        <x:v>C</x:v>
      </x:c>
      <x:c r="C16" s="98" t="str">
        <x:v>Anthropic reported a government directive that temporarily restricted foreign-national access to Fable 5 and Mythos 5.</x:v>
      </x:c>
      <x:c r="D16" s="98" t="str">
        <x:v>Party-primary fact</x:v>
      </x:c>
      <x:c r="E16" s="98" t="str">
        <x:v>S-C01</x:v>
      </x:c>
      <x:c r="F16" s="98" t="str">
        <x:v>Party Primary</x:v>
      </x:c>
      <x:c r="G16" s="98" t="str">
        <x:v>Compliance, security, or export-control process may explain the restriction.</x:v>
      </x:c>
      <x:c r="H16" s="98" t="str">
        <x:v>Upgrade legal-authority claims only when the directive or official record is public.</x:v>
      </x:c>
      <x:c r="I16" s="103" t="str">
        <x:v>Confirmed / scoped</x:v>
      </x:c>
      <x:c r="J16" s="98" t="str">
        <x:v>High</x:v>
      </x:c>
      <x:c r="K16" s="100" t="n">
        <x:v>46256.5</x:v>
      </x:c>
      <x:c r="L16" s="98" t="str">
        <x:v>Source spine — Packet C</x:v>
      </x:c>
    </x:row>
    <x:row r="17">
      <x:c r="A17" s="97" t="str">
        <x:v>C-002</x:v>
      </x:c>
      <x:c r="B17" s="97" t="str">
        <x:v>C</x:v>
      </x:c>
      <x:c r="C17" s="97" t="str">
        <x:v>Anthropic later reported that Fable 5 was restored globally and Mythos 5 partly restored under approval.</x:v>
      </x:c>
      <x:c r="D17" s="97" t="str">
        <x:v>Party-primary fact</x:v>
      </x:c>
      <x:c r="E17" s="97" t="str">
        <x:v>S-C02</x:v>
      </x:c>
      <x:c r="F17" s="97" t="str">
        <x:v>Party Primary</x:v>
      </x:c>
      <x:c r="G17" s="97" t="str">
        <x:v>Temporary administrative review rather than durable sovereignty shift.</x:v>
      </x:c>
      <x:c r="H17" s="97" t="str">
        <x:v>Revise with a superseding company or government record.</x:v>
      </x:c>
      <x:c r="I17" s="103" t="str">
        <x:v>Confirmed / closed</x:v>
      </x:c>
      <x:c r="J17" s="97" t="str">
        <x:v>High</x:v>
      </x:c>
      <x:c r="K17" s="99" t="n">
        <x:v>46256.5</x:v>
      </x:c>
      <x:c r="L17" s="97" t="str">
        <x:v>Source spine — Packet C</x:v>
      </x:c>
    </x:row>
    <x:row r="18">
      <x:c r="A18" s="98" t="str">
        <x:v>C-003</x:v>
      </x:c>
      <x:c r="B18" s="98" t="str">
        <x:v>C</x:v>
      </x:c>
      <x:c r="C18" s="98" t="str">
        <x:v>The public source spine does not yet establish the legal basis or exact government directive text for the access episode.</x:v>
      </x:c>
      <x:c r="D18" s="98" t="str">
        <x:v>Research task</x:v>
      </x:c>
      <x:c r="E18" s="98" t="str">
        <x:v>S-C01; S-C02; S-C03</x:v>
      </x:c>
      <x:c r="F18" s="98" t="str">
        <x:v>Party Primary; Independent Reporting</x:v>
      </x:c>
      <x:c r="G18" s="98" t="str">
        <x:v>The document may remain nonpublic for routine security or legal reasons.</x:v>
      </x:c>
      <x:c r="H18" s="98" t="str">
        <x:v>Close when the directive, legal citation, IG record, or court filing appears.</x:v>
      </x:c>
      <x:c r="I18" s="102" t="str">
        <x:v>Open</x:v>
      </x:c>
      <x:c r="J18" s="98" t="str">
        <x:v>High</x:v>
      </x:c>
      <x:c r="K18" s="100" t="n">
        <x:v>46256.5</x:v>
      </x:c>
      <x:c r="L18" s="98" t="str">
        <x:v>Source spine — Packet C</x:v>
      </x:c>
    </x:row>
    <x:row r="19">
      <x:c r="A19" s="97" t="str">
        <x:v>D-001</x:v>
      </x:c>
      <x:c r="B19" s="97" t="str">
        <x:v>D</x:v>
      </x:c>
      <x:c r="C19" s="97" t="str">
        <x:v>OpenAI states that Project Camellia contracts for 3.2 GW delivered from 2028 to 2032.</x:v>
      </x:c>
      <x:c r="D19" s="97" t="str">
        <x:v>Party-primary fact</x:v>
      </x:c>
      <x:c r="E19" s="97" t="str">
        <x:v>S-D02</x:v>
      </x:c>
      <x:c r="F19" s="97" t="str">
        <x:v>Party Primary</x:v>
      </x:c>
      <x:c r="G19" s="97" t="str">
        <x:v>A project announcement can change before construction or operation.</x:v>
      </x:c>
      <x:c r="H19" s="97" t="str">
        <x:v>Confirm through utility, interconnection, permit, and measured-load records.</x:v>
      </x:c>
      <x:c r="I19" s="102" t="str">
        <x:v>Conditional</x:v>
      </x:c>
      <x:c r="J19" s="97" t="str">
        <x:v>Medium-High</x:v>
      </x:c>
      <x:c r="K19" s="99" t="n">
        <x:v>46266.5</x:v>
      </x:c>
      <x:c r="L19" s="97" t="str">
        <x:v>Source spine — Packet D</x:v>
      </x:c>
    </x:row>
    <x:row r="20">
      <x:c r="A20" s="98" t="str">
        <x:v>D-002</x:v>
      </x:c>
      <x:c r="B20" s="98" t="str">
        <x:v>D</x:v>
      </x:c>
      <x:c r="C20" s="98" t="str">
        <x:v>OpenAI states that Stargate sites will pay incremental energy costs and prioritize low-water cooling.</x:v>
      </x:c>
      <x:c r="D20" s="98" t="str">
        <x:v>Party-primary commitment</x:v>
      </x:c>
      <x:c r="E20" s="98" t="str">
        <x:v>S-D01</x:v>
      </x:c>
      <x:c r="F20" s="98" t="str">
        <x:v>Party Primary</x:v>
      </x:c>
      <x:c r="G20" s="98" t="str">
        <x:v>Commitments may be aspirational, contractual, or site-dependent.</x:v>
      </x:c>
      <x:c r="H20" s="98" t="str">
        <x:v>Upgrade only through tariffs, contracts, permits, and measured outcomes.</x:v>
      </x:c>
      <x:c r="I20" s="102" t="str">
        <x:v>Conditional</x:v>
      </x:c>
      <x:c r="J20" s="98" t="str">
        <x:v>Medium</x:v>
      </x:c>
      <x:c r="K20" s="100" t="n">
        <x:v>46266.5</x:v>
      </x:c>
      <x:c r="L20" s="98" t="str">
        <x:v>Source spine — Packet D</x:v>
      </x:c>
    </x:row>
    <x:row r="21">
      <x:c r="A21" s="97" t="str">
        <x:v>D-003</x:v>
      </x:c>
      <x:c r="B21" s="97" t="str">
        <x:v>D</x:v>
      </x:c>
      <x:c r="C21" s="97" t="str">
        <x:v>The Oracle Project Jupiter document is a permit-proceeding support letter, not an issued permit.</x:v>
      </x:c>
      <x:c r="D21" s="97" t="str">
        <x:v>Hard evidence</x:v>
      </x:c>
      <x:c r="E21" s="97" t="str">
        <x:v>S-D03</x:v>
      </x:c>
      <x:c r="F21" s="97" t="str">
        <x:v>Party Primary</x:v>
      </x:c>
      <x:c r="G21" s="97" t="str">
        <x:v>A support letter is advocacy within an ordinary regulatory process.</x:v>
      </x:c>
      <x:c r="H21" s="97" t="str">
        <x:v>Replace with the issued regulator permit or order when available.</x:v>
      </x:c>
      <x:c r="I21" s="101" t="str">
        <x:v>Corrected</x:v>
      </x:c>
      <x:c r="J21" s="97" t="str">
        <x:v>High</x:v>
      </x:c>
      <x:c r="K21" s="99" t="n">
        <x:v>46266.5</x:v>
      </x:c>
      <x:c r="L21" s="97" t="str">
        <x:v>Source spine — Packet D</x:v>
      </x:c>
    </x:row>
    <x:row r="22">
      <x:c r="A22" s="98" t="str">
        <x:v>E-001</x:v>
      </x:c>
      <x:c r="B22" s="98" t="str">
        <x:v>E</x:v>
      </x:c>
      <x:c r="C22" s="98" t="str">
        <x:v>MARAD's Hormuz advisory remains active and rates attack risk to commercial shipping as high.</x:v>
      </x:c>
      <x:c r="D22" s="98" t="str">
        <x:v>Hard evidence</x:v>
      </x:c>
      <x:c r="E22" s="98" t="str">
        <x:v>S-E01; S-E02</x:v>
      </x:c>
      <x:c r="F22" s="98" t="str">
        <x:v>Regulator/Advisory</x:v>
      </x:c>
      <x:c r="G22" s="98" t="str">
        <x:v>A high-risk advisory need not mean total closure.</x:v>
      </x:c>
      <x:c r="H22" s="98" t="str">
        <x:v>Revise when MARAD cancels or materially changes the advisory.</x:v>
      </x:c>
      <x:c r="I22" s="104" t="str">
        <x:v>LIVE / HIGH RISK</x:v>
      </x:c>
      <x:c r="J22" s="98" t="str">
        <x:v>High</x:v>
      </x:c>
      <x:c r="K22" s="100" t="n">
        <x:v>46239.5</x:v>
      </x:c>
      <x:c r="L22" s="98" t="str">
        <x:v>Source spine — Packet E</x:v>
      </x:c>
    </x:row>
    <x:row r="23">
      <x:c r="A23" s="97" t="str">
        <x:v>E-002</x:v>
      </x:c>
      <x:c r="B23" s="97" t="str">
        <x:v>E</x:v>
      </x:c>
      <x:c r="C23" s="97" t="str">
        <x:v>Lloyd's preliminary data show 39 Hormuz transits during 2026-07-20 through 2026-07-26, down from 82 the prior week, with inbound Gulf traffic more than 90% below the pre-strikes level.</x:v>
      </x:c>
      <x:c r="D23" s="97" t="str">
        <x:v>Reported / industry data</x:v>
      </x:c>
      <x:c r="E23" s="97" t="str">
        <x:v>S-E04</x:v>
      </x:c>
      <x:c r="F23" s="97" t="str">
        <x:v>Industry Data</x:v>
      </x:c>
      <x:c r="G23" s="97" t="str">
        <x:v>Tracking coverage, preliminary classification, and weekly volatility may affect the count.</x:v>
      </x:c>
      <x:c r="H23" s="97" t="str">
        <x:v>Revise with final data or sustained normalization.</x:v>
      </x:c>
      <x:c r="I23" s="104" t="str">
        <x:v>LIVE / CONDITIONAL</x:v>
      </x:c>
      <x:c r="J23" s="97" t="str">
        <x:v>Medium-High</x:v>
      </x:c>
      <x:c r="K23" s="99" t="n">
        <x:v>46239.5</x:v>
      </x:c>
      <x:c r="L23" s="97" t="str">
        <x:v>Source spine — Packet E</x:v>
      </x:c>
    </x:row>
    <x:row r="24">
      <x:c r="A24" s="98" t="str">
        <x:v>F-001</x:v>
      </x:c>
      <x:c r="B24" s="98" t="str">
        <x:v>F</x:v>
      </x:c>
      <x:c r="C24" s="98" t="str">
        <x:v>Established reporting supports the existence of Dialog and exposed retreat records.</x:v>
      </x:c>
      <x:c r="D24" s="98" t="str">
        <x:v>Reported</x:v>
      </x:c>
      <x:c r="E24" s="98" t="str">
        <x:v>S-F01; S-F02</x:v>
      </x:c>
      <x:c r="F24" s="98" t="str">
        <x:v>Independent Reporting</x:v>
      </x:c>
      <x:c r="G24" s="98" t="str">
        <x:v>Private networks and off-record events are common and do not imply unlawful coordination.</x:v>
      </x:c>
      <x:c r="H24" s="98" t="str">
        <x:v>Revise if reporting is retracted or authenticated records contradict it.</x:v>
      </x:c>
      <x:c r="I24" s="101" t="str">
        <x:v>Archive only</x:v>
      </x:c>
      <x:c r="J24" s="98" t="str">
        <x:v>Medium</x:v>
      </x:c>
      <x:c r="K24" s="100" t="n">
        <x:v>46250.5</x:v>
      </x:c>
      <x:c r="L24" s="98" t="str">
        <x:v>Source spine — Packet F</x:v>
      </x:c>
    </x:row>
    <x:row r="25">
      <x:c r="A25" s="97" t="str">
        <x:v>F-002</x:v>
      </x:c>
      <x:c r="B25" s="97" t="str">
        <x:v>F</x:v>
      </x:c>
      <x:c r="C25" s="97" t="str">
        <x:v>The reported 222 count does not establish number intent, shared ideology, or conspiracy.</x:v>
      </x:c>
      <x:c r="D25" s="97" t="str">
        <x:v>Research brake</x:v>
      </x:c>
      <x:c r="E25" s="97" t="str">
        <x:v>S-F01; S-T04</x:v>
      </x:c>
      <x:c r="F25" s="97" t="str">
        <x:v>Independent Reporting</x:v>
      </x:c>
      <x:c r="G25" s="97" t="str">
        <x:v>The number may be a draft, snapshot, cap, or ordinary registration outcome.</x:v>
      </x:c>
      <x:c r="H25" s="97" t="str">
        <x:v>Only authenticated registry mechanics can narrow the explanation.</x:v>
      </x:c>
      <x:c r="I25" s="101" t="str">
        <x:v>Governing brake</x:v>
      </x:c>
      <x:c r="J25" s="97" t="str">
        <x:v>High</x:v>
      </x:c>
      <x:c r="K25" s="99" t="n">
        <x:v>46250.5</x:v>
      </x:c>
      <x:c r="L25" s="97" t="str">
        <x:v>Research Ledger / Symbolic Atlas</x:v>
      </x:c>
    </x:row>
    <x:row r="26">
      <x:c r="A26" s="98" t="str">
        <x:v>T-006</x:v>
      </x:c>
      <x:c r="B26" s="98" t="str">
        <x:v>T</x:v>
      </x:c>
      <x:c r="C26" s="98" t="str">
        <x:v>NASA identifies 3I/ATLAS as the third known interstellar object and records a 2025-07-01 discovery/reporting date.</x:v>
      </x:c>
      <x:c r="D26" s="98" t="str">
        <x:v>Hard evidence</x:v>
      </x:c>
      <x:c r="E26" s="98" t="str">
        <x:v>S-T01</x:v>
      </x:c>
      <x:c r="F26" s="98" t="str">
        <x:v>Official Scientific</x:v>
      </x:c>
      <x:c r="G26" s="98" t="str">
        <x:v>Ordinary survey discovery and classification.</x:v>
      </x:c>
      <x:c r="H26" s="98" t="str">
        <x:v>Revise if NASA updates the discovery history.</x:v>
      </x:c>
      <x:c r="I26" s="101" t="str">
        <x:v>Active</x:v>
      </x:c>
      <x:c r="J26" s="98" t="str">
        <x:v>High</x:v>
      </x:c>
      <x:c r="K26" s="100" t="n">
        <x:v>46324.5</x:v>
      </x:c>
      <x:c r="L26" s="98" t="str">
        <x:v>Timekeeper Research Ledger — T-006</x:v>
      </x:c>
    </x:row>
    <x:row r="27">
      <x:c r="A27" s="97" t="str">
        <x:v>T-007</x:v>
      </x:c>
      <x:c r="B27" s="97" t="str">
        <x:v>T</x:v>
      </x:c>
      <x:c r="C27" s="97" t="str">
        <x:v>Reporting describes a red-heifer practice or rehearsal in Jerusalem in early July 2025; the exact date and ritual status require primary confirmation.</x:v>
      </x:c>
      <x:c r="D27" s="97" t="str">
        <x:v>Reported</x:v>
      </x:c>
      <x:c r="E27" s="97" t="str">
        <x:v>S-T02</x:v>
      </x:c>
      <x:c r="F27" s="97" t="str">
        <x:v>Independent Reporting</x:v>
      </x:c>
      <x:c r="G27" s="97" t="str">
        <x:v>Training, demonstration, or constituency-facing religious practice.</x:v>
      </x:c>
      <x:c r="H27" s="97" t="str">
        <x:v>Close with organizer or religious-authority records.</x:v>
      </x:c>
      <x:c r="I27" s="102" t="str">
        <x:v>Research task</x:v>
      </x:c>
      <x:c r="J27" s="97" t="str">
        <x:v>Medium</x:v>
      </x:c>
      <x:c r="K27" s="99" t="n">
        <x:v>46263.5</x:v>
      </x:c>
      <x:c r="L27" s="97" t="str">
        <x:v>Timekeeper Research Ledger — T-007</x:v>
      </x:c>
    </x:row>
    <x:row r="28">
      <x:c r="A28" s="98" t="str">
        <x:v>T-010</x:v>
      </x:c>
      <x:c r="B28" s="98" t="str">
        <x:v>T</x:v>
      </x:c>
      <x:c r="C28" s="98" t="str">
        <x:v>C/2025 R3 orbital and observing claims remain provisional until replaced by MPC or JPL ephemeris data.</x:v>
      </x:c>
      <x:c r="D28" s="98" t="str">
        <x:v>Research task</x:v>
      </x:c>
      <x:c r="E28" s="98" t="str">
        <x:v>S-T03</x:v>
      </x:c>
      <x:c r="F28" s="98" t="str">
        <x:v>Scientific Aggregator</x:v>
      </x:c>
      <x:c r="G28" s="98" t="str">
        <x:v>Orbital solutions and observing summaries can update.</x:v>
      </x:c>
      <x:c r="H28" s="98" t="str">
        <x:v>Attach authoritative orbital elements and calculate exact geometry.</x:v>
      </x:c>
      <x:c r="I28" s="102" t="str">
        <x:v>Research task</x:v>
      </x:c>
      <x:c r="J28" s="98" t="str">
        <x:v>Medium</x:v>
      </x:c>
      <x:c r="K28" s="100" t="n">
        <x:v>46263.5</x:v>
      </x:c>
      <x:c r="L28" s="98" t="str">
        <x:v>Timekeeper Research Ledger — T-010 to T-012</x:v>
      </x:c>
    </x:row>
    <x:row r="29">
      <x:c r="A29" s="97" t="str">
        <x:v>T-014</x:v>
      </x:c>
      <x:c r="B29" s="97" t="str">
        <x:v>T</x:v>
      </x:c>
      <x:c r="C29" s="97" t="str">
        <x:v>The span from 2025-03-02 to 2026-04-19 is 413 days, equal to 59 weeks.</x:v>
      </x:c>
      <x:c r="D29" s="97" t="str">
        <x:v>Arithmetic confirmed</x:v>
      </x:c>
      <x:c r="E29" s="97" t="str">
        <x:v>Calendar arithmetic</x:v>
      </x:c>
      <x:c r="F29" s="97" t="str">
        <x:v>Calculation</x:v>
      </x:c>
      <x:c r="G29" s="97" t="str">
        <x:v>Date subtraction alone implies no physical or intentional relationship.</x:v>
      </x:c>
      <x:c r="H29" s="97" t="str">
        <x:v>Revise only if an endpoint changes.</x:v>
      </x:c>
      <x:c r="I29" s="103" t="str">
        <x:v>Arithmetic confirmed</x:v>
      </x:c>
      <x:c r="J29" s="97" t="str">
        <x:v>High</x:v>
      </x:c>
      <x:c r="K29" s="99" t="n">
        <x:v>46324.5</x:v>
      </x:c>
      <x:c r="L29" s="97" t="str">
        <x:v>Timekeeper Research Ledger — T-014</x:v>
      </x:c>
    </x:row>
    <x:row r="30">
      <x:c r="A30" s="98" t="str">
        <x:v>T-017</x:v>
      </x:c>
      <x:c r="B30" s="98" t="str">
        <x:v>T</x:v>
      </x:c>
      <x:c r="C30" s="98" t="str">
        <x:v>The Schumann-resonance baseline may be described as a physical phenomenon only after a primary geophysical source is attached; biological and signaling claims remain quarantined.</x:v>
      </x:c>
      <x:c r="D30" s="98" t="str">
        <x:v>Research task</x:v>
      </x:c>
      <x:c r="E30" s="98" t="str">
        <x:v>SOURCE REQUIRED</x:v>
      </x:c>
      <x:c r="F30" s="98" t="str">
        <x:v>Research task</x:v>
      </x:c>
      <x:c r="G30" s="98" t="str">
        <x:v>A physical resonance does not imply biological command or intentional messaging.</x:v>
      </x:c>
      <x:c r="H30" s="98" t="str">
        <x:v>Attach a primary geophysical source; keep downstream claims separate.</x:v>
      </x:c>
      <x:c r="I30" s="102" t="str">
        <x:v>Research task</x:v>
      </x:c>
      <x:c r="J30" s="98" t="str">
        <x:v>High</x:v>
      </x:c>
      <x:c r="K30" s="100" t="n">
        <x:v>46263.5</x:v>
      </x:c>
      <x:c r="L30" s="98" t="str">
        <x:v>Timekeeper Research Ledger — T-017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c7d5812dd5ab45ec"/>
  </x:tableParts>
</x:worksheet>
</file>