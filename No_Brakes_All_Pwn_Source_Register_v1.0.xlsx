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2bcf61f7d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a3cd209f95a4bf5"/>
    <x:sheet xmlns:r="http://schemas.openxmlformats.org/officeDocument/2006/relationships" name="Human Review" sheetId="2" r:id="R335f95d1a816438b"/>
    <x:sheet xmlns:r="http://schemas.openxmlformats.org/officeDocument/2006/relationships" name="Claim Lineage" sheetId="3" r:id="Re8b2dec9afcd4292"/>
    <x:sheet xmlns:r="http://schemas.openxmlformats.org/officeDocument/2006/relationships" name="Source Catalog" sheetId="4" r:id="R32c65bbf06174dfe"/>
    <x:sheet xmlns:r="http://schemas.openxmlformats.org/officeDocument/2006/relationships" name="People" sheetId="5" r:id="Rf3440a806d0c416a"/>
    <x:sheet xmlns:r="http://schemas.openxmlformats.org/officeDocument/2006/relationships" name="References" sheetId="6" r:id="Rca07db5c130b4b22"/>
    <x:sheet xmlns:r="http://schemas.openxmlformats.org/officeDocument/2006/relationships" name="Bibliography" sheetId="7" r:id="Rc9968568a5a94a60"/>
    <x:sheet xmlns:r="http://schemas.openxmlformats.org/officeDocument/2006/relationships" name="Record Gaps" sheetId="8" r:id="Rbe4bfa999d7f4c30"/>
    <x:sheet xmlns:r="http://schemas.openxmlformats.org/officeDocument/2006/relationships" name="Corpus" sheetId="9" r:id="R183da4966acd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1"/>
      <x:color rgb="FF152B40"/>
      <x:name val="Calibri"/>
    </x:font>
    <x:font>
      <x:b/>
      <x:sz val="22"/>
      <x:color rgb="FFFFFFFF"/>
      <x:name val="Calibri"/>
    </x:font>
    <x:font>
      <x:sz val="10"/>
      <x:color rgb="FF526477"/>
      <x:name val="Calibri"/>
    </x:font>
    <x:font>
      <x:b/>
      <x:sz val="11"/>
      <x:color rgb="FFFFFFFF"/>
      <x:name val="Calibri"/>
    </x:font>
    <x:font>
      <x:sz val="9"/>
      <x:color rgb="FF526477"/>
      <x:name val="Calibri"/>
    </x:font>
    <x:font>
      <x:sz val="11"/>
      <x:color rgb="FF2E74B5"/>
      <x:name val="Calibri"/>
    </x:font>
    <x:font>
      <x:b/>
      <x:sz val="25"/>
      <x:color rgb="FFFFFFFF"/>
      <x:name val="Calibri"/>
    </x:font>
    <x:font>
      <x:sz val="12"/>
      <x:color rgb="FF526477"/>
      <x:name val="Calibri"/>
    </x:font>
    <x:font>
      <x:b/>
      <x:sz val="11"/>
      <x:color rgb="FF152B40"/>
      <x:name val="Calibri"/>
    </x:font>
    <x:font>
      <x:b/>
      <x:sz val="17"/>
      <x:color rgb="FF2E74B5"/>
      <x:name val="Calibri"/>
    </x:font>
    <x:font>
      <x:b/>
      <x:sz val="11"/>
      <x:color rgb="FF2E74B5"/>
      <x:name val="Calibri"/>
    </x:font>
    <x:font>
      <x:sz val="11"/>
      <x:color rgb="FF526477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52B40"/>
      </x:patternFill>
    </x:fill>
    <x:fill>
      <x:patternFill patternType="solid">
        <x:fgColor rgb="FF2E74B5"/>
      </x:patternFill>
    </x:fill>
    <x:fill>
      <x:patternFill patternType="solid">
        <x:fgColor rgb="FFEEF3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9" fillId="4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10" fillId="0" borderId="0" xfId="0" applyNumberFormat="1" applyFont="1" applyFill="1" applyBorder="1" applyAlignment="1">
      <x:alignment vertical="top"/>
    </x:xf>
    <x:xf numFmtId="200" fontId="10" fillId="0" borderId="0" xfId="0" applyNumberFormat="1" applyFont="1" applyFill="1" applyBorder="1" applyAlignment="1">
      <x:alignment horizontal="right" vertical="top"/>
    </x:xf>
    <x:xf numFmtId="0" fontId="11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1144dfb6b4228" /><Relationship Type="http://schemas.openxmlformats.org/officeDocument/2006/relationships/theme" Target="/xl/theme/theme1.xml" Id="R8df55bb417dc423b" /><Relationship Type="http://schemas.openxmlformats.org/officeDocument/2006/relationships/sharedStrings" Target="/xl/sharedStrings.xml" Id="R8c3de10e878646c7" /><Relationship Type="http://schemas.openxmlformats.org/officeDocument/2006/relationships/worksheet" Target="/xl/worksheets/sheet1.xml" Id="Rca3cd209f95a4bf5" /><Relationship Type="http://schemas.openxmlformats.org/officeDocument/2006/relationships/worksheet" Target="/xl/worksheets/sheet2.xml" Id="R335f95d1a816438b" /><Relationship Type="http://schemas.openxmlformats.org/officeDocument/2006/relationships/worksheet" Target="/xl/worksheets/sheet3.xml" Id="Re8b2dec9afcd4292" /><Relationship Type="http://schemas.openxmlformats.org/officeDocument/2006/relationships/worksheet" Target="/xl/worksheets/sheet4.xml" Id="R32c65bbf06174dfe" /><Relationship Type="http://schemas.openxmlformats.org/officeDocument/2006/relationships/worksheet" Target="/xl/worksheets/sheet5.xml" Id="Rf3440a806d0c416a" /><Relationship Type="http://schemas.openxmlformats.org/officeDocument/2006/relationships/worksheet" Target="/xl/worksheets/sheet6.xml" Id="Rca07db5c130b4b22" /><Relationship Type="http://schemas.openxmlformats.org/officeDocument/2006/relationships/worksheet" Target="/xl/worksheets/sheet7.xml" Id="Rc9968568a5a94a60" /><Relationship Type="http://schemas.openxmlformats.org/officeDocument/2006/relationships/worksheet" Target="/xl/worksheets/sheet8.xml" Id="Rbe4bfa999d7f4c30" /><Relationship Type="http://schemas.openxmlformats.org/officeDocument/2006/relationships/worksheet" Target="/xl/worksheets/sheet9.xml" Id="R183da4966acd4bee" /></Relationships>
</file>

<file path=xl/tables/table1.xml><?xml version="1.0" encoding="utf-8"?>
<x:table xmlns:x="http://schemas.openxmlformats.org/spreadsheetml/2006/main" id="1" name="HumanReviewTable" displayName="HumanReviewTable" ref="A4:I58" headerRowCount="1" totalsRowCount="0" totalsRowShown="0">
  <x:autoFilter ref="A4:I58"/>
  <x:tableColumns count="9">
    <x:tableColumn id="1" name="ID"/>
    <x:tableColumn id="2" name="Theme"/>
    <x:tableColumn id="3" name="Research topic"/>
    <x:tableColumn id="4" name="Record described in the review"/>
    <x:tableColumn id="5" name="Scope / separate question"/>
    <x:tableColumn id="6" name="Legacy claim IDs"/>
    <x:tableColumn id="7" name="Edition note"/>
    <x:tableColumn id="8" name="Source"/>
    <x:tableColumn id="9" name="Raw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LineageTable" displayName="ClaimLineageTable" ref="A4:H56" headerRowCount="1" totalsRowCount="0" totalsRowShown="0">
  <x:autoFilter ref="A4:H56"/>
  <x:tableColumns count="8">
    <x:tableColumn id="1" name="ID"/>
    <x:tableColumn id="2" name="Research topic"/>
    <x:tableColumn id="3" name="Later H entries"/>
    <x:tableColumn id="4" name="Source IDs explicitly listed"/>
    <x:tableColumn id="5" name="Original source lineage"/>
    <x:tableColumn id="6" name="Context"/>
    <x:tableColumn id="7" name="Latest review"/>
    <x:tableColumn id="8" name="Raw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CatalogTable" displayName="SourceCatalogTable" ref="A4:I98" headerRowCount="1" totalsRowCount="0" totalsRowShown="0">
  <x:autoFilter ref="A4:I98"/>
  <x:tableColumns count="9">
    <x:tableColumn id="1" name="ID"/>
    <x:tableColumn id="2" name="Source title / date"/>
    <x:tableColumn id="3" name="Source type"/>
    <x:tableColumn id="4" name="Scope recorded by source register"/>
    <x:tableColumn id="5" name="Limit or check detail"/>
    <x:tableColumn id="6" name="Verification in this edition"/>
    <x:tableColumn id="7" name="Origin"/>
    <x:tableColumn id="8" name="Source"/>
    <x:tableColumn id="9" name="Raw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opleTable" displayName="PeopleTable" ref="A4:F122" headerRowCount="1" totalsRowCount="0" totalsRowShown="0">
  <x:autoFilter ref="A4:F122"/>
  <x:tableColumns count="6">
    <x:tableColumn id="1" name="Name"/>
    <x:tableColumn id="2" name="Role in recovered material"/>
    <x:tableColumn id="3" name="Documented subject / source context"/>
    <x:tableColumn id="4" name="Origin"/>
    <x:tableColumn id="5" name="Source"/>
    <x:tableColumn id="6" name="Raw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ferencesTable" displayName="ReferencesTable" ref="A4:I411" headerRowCount="1" totalsRowCount="0" totalsRowShown="0">
  <x:autoFilter ref="A4:I411"/>
  <x:tableColumns count="9">
    <x:tableColumn id="1" name="ID"/>
    <x:tableColumn id="2" name="Label carried by source / checked title"/>
    <x:tableColumn id="3" name="Host"/>
    <x:tableColumn id="4" name="Reference category"/>
    <x:tableColumn id="5" name="Verification in this edition"/>
    <x:tableColumn id="6" name="Legacy source IDs"/>
    <x:tableColumn id="7" name="Origin IDs"/>
    <x:tableColumn id="8" name="Source"/>
    <x:tableColumn id="9" name="Raw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ibliographyTable" displayName="BibliographyTable" ref="A4:F78" headerRowCount="1" totalsRowCount="0" totalsRowShown="0">
  <x:autoFilter ref="A4:F78"/>
  <x:tableColumns count="6">
    <x:tableColumn id="1" name="ID"/>
    <x:tableColumn id="2" name="Citation as retained"/>
    <x:tableColumn id="3" name="Origin"/>
    <x:tableColumn id="4" name="Recovery status"/>
    <x:tableColumn id="5" name="Source"/>
    <x:tableColumn id="6" name="Raw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cordGapsTable" displayName="RecordGapsTable" ref="A4:G52" headerRowCount="1" totalsRowCount="0" totalsRowShown="0">
  <x:autoFilter ref="A4:G52"/>
  <x:tableColumns count="7">
    <x:tableColumn id="1" name="ID"/>
    <x:tableColumn id="2" name="Topic / citation"/>
    <x:tableColumn id="3" name="Instrument or provenance detail"/>
    <x:tableColumn id="4" name="Origin"/>
    <x:tableColumn id="5" name="Recorded stage"/>
    <x:tableColumn id="6" name="Source"/>
    <x:tableColumn id="7" name="Raw 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rpusTable" displayName="CorpusTable" ref="A4:K97" headerRowCount="1" totalsRowCount="0" totalsRowShown="0">
  <x:autoFilter ref="A4:K97"/>
  <x:tableColumns count="11">
    <x:tableColumn id="1" name="ID"/>
    <x:tableColumn id="2" name="Title / filename"/>
    <x:tableColumn id="3" name="Origin"/>
    <x:tableColumn id="4" name="Source identity"/>
    <x:tableColumn id="5" name="Recovery path"/>
    <x:tableColumn id="6" name="Duplicate of"/>
    <x:tableColumn id="7" name="Notes"/>
    <x:tableColumn id="8" name="Source"/>
    <x:tableColumn id="9" name="Raw URL"/>
    <x:tableColumn id="10" name="SHA-256"/>
    <x:tableColumn id="11" name="Text 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0a8bf5688340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0d2d3a48c24c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f9d21c4ab244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23415f754243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87dbcc07094f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9cc4ad1d7240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e18f5dc1f444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7cad22cb504b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48" customHeight="1">
      <x:c r="A1" s="13" t="str">
        <x:v>NO BRAKES, ALL PWN</x:v>
      </x:c>
      <x:c r="B1" s="13"/>
      <x:c r="C1" s="13"/>
      <x:c r="D1" s="13"/>
      <x:c r="E1" s="13"/>
      <x:c r="F1" s="13"/>
      <x:c r="G1" s="13"/>
      <x:c r="H1" s="13"/>
    </x:row>
    <x:row r="2" ht="28" customHeight="1">
      <x:c r="A2" s="14" t="str">
        <x:v>Source register · Integrated evidence edition · 6 September 2026 · v1.0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16" t="str">
        <x:v>COVERAGE OF RECOVERED MATERIAL</x:v>
      </x:c>
      <x:c r="B4" s="15"/>
      <x:c r="C4" s="15"/>
      <x:c r="D4" s="15"/>
      <x:c r="E4" s="15"/>
      <x:c r="F4" s="15"/>
      <x:c r="G4" s="15"/>
      <x:c r="H4" s="15"/>
    </x:row>
    <x:row r="5" ht="30" customHeight="1">
      <x:c r="A5" s="2" t="str">
        <x:v>Recovered items and archive members</x:v>
      </x:c>
      <x:c r="B5" s="2"/>
      <x:c r="C5" s="2"/>
      <x:c r="D5" s="2"/>
      <x:c r="E5" s="2"/>
      <x:c r="F5" s="2"/>
      <x:c r="G5" s="19" t="n">
        <x:f>COUNTA(CorpusTable[ID])</x:f>
        <x:v>93</x:v>
      </x:c>
      <x:c r="H5" s="2"/>
    </x:row>
    <x:row r="6" ht="30" customHeight="1">
      <x:c r="A6" s="2" t="str">
        <x:v>Latest human-side review items</x:v>
      </x:c>
      <x:c r="B6" s="2"/>
      <x:c r="C6" s="2"/>
      <x:c r="D6" s="2"/>
      <x:c r="E6" s="2"/>
      <x:c r="F6" s="2"/>
      <x:c r="G6" s="19" t="n">
        <x:f>COUNTA(HumanReviewTable[ID])</x:f>
        <x:v>54</x:v>
      </x:c>
      <x:c r="H6" s="2"/>
    </x:row>
    <x:row r="7" ht="30" customHeight="1">
      <x:c r="A7" s="2" t="str">
        <x:v>Underlying claim-lineage entries</x:v>
      </x:c>
      <x:c r="B7" s="2"/>
      <x:c r="C7" s="2"/>
      <x:c r="D7" s="2"/>
      <x:c r="E7" s="2"/>
      <x:c r="F7" s="2"/>
      <x:c r="G7" s="19" t="n">
        <x:f>COUNTA(ClaimLineageTable[ID])</x:f>
        <x:v>52</x:v>
      </x:c>
      <x:c r="H7" s="2"/>
    </x:row>
    <x:row r="8" ht="30" customHeight="1">
      <x:c r="A8" s="2" t="str">
        <x:v>Reference locators</x:v>
      </x:c>
      <x:c r="B8" s="2"/>
      <x:c r="C8" s="2"/>
      <x:c r="D8" s="2"/>
      <x:c r="E8" s="2"/>
      <x:c r="F8" s="2"/>
      <x:c r="G8" s="19" t="n">
        <x:f>COUNTA(ReferencesTable[ID])</x:f>
        <x:v>407</x:v>
      </x:c>
      <x:c r="H8" s="2"/>
    </x:row>
    <x:row r="9" ht="30" customHeight="1">
      <x:c r="A9" s="2" t="str">
        <x:v>Named public actors and source authors</x:v>
      </x:c>
      <x:c r="B9" s="2"/>
      <x:c r="C9" s="2"/>
      <x:c r="D9" s="2"/>
      <x:c r="E9" s="2"/>
      <x:c r="F9" s="2"/>
      <x:c r="G9" s="19" t="n">
        <x:f>COUNTA(PeopleTable[Name])</x:f>
        <x:v>118</x:v>
      </x:c>
      <x:c r="H9" s="2"/>
    </x:row>
    <x:row r="10" ht="30" customHeight="1">
      <x:c r="A10" s="2" t="str">
        <x:v>Source catalog entries</x:v>
      </x:c>
      <x:c r="B10" s="2"/>
      <x:c r="C10" s="2"/>
      <x:c r="D10" s="2"/>
      <x:c r="E10" s="2"/>
      <x:c r="F10" s="2"/>
      <x:c r="G10" s="19" t="n">
        <x:f>COUNTA(SourceCatalogTable[ID])</x:f>
        <x:v>94</x:v>
      </x:c>
      <x:c r="H10" s="2"/>
    </x:row>
    <x:row r="11" ht="30" customHeight="1">
      <x:c r="A11" s="2" t="str">
        <x:v>Full bibliographic entries</x:v>
      </x:c>
      <x:c r="B11" s="2"/>
      <x:c r="C11" s="2"/>
      <x:c r="D11" s="2"/>
      <x:c r="E11" s="2"/>
      <x:c r="F11" s="2"/>
      <x:c r="G11" s="19" t="n">
        <x:f>COUNTA(BibliographyTable[ID])</x:f>
        <x:v>74</x:v>
      </x:c>
      <x:c r="H11" s="2"/>
    </x:row>
    <x:row r="12" ht="30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6" t="str">
        <x:v>Counts describe this source package. They are not counts of independent confirmations. “Checked” identifies a specific source check in this edition; other entries remain recovered references.</x:v>
      </x:c>
      <x:c r="B13" s="2"/>
      <x:c r="C13" s="2"/>
      <x:c r="D13" s="2"/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30" customHeight="1">
      <x:c r="A15" s="2"/>
      <x:c r="B15" s="2"/>
      <x:c r="C15" s="2"/>
      <x:c r="D15" s="2"/>
      <x:c r="E15" s="2"/>
      <x:c r="F15" s="2"/>
      <x:c r="G15" s="2"/>
      <x:c r="H15" s="2"/>
    </x:row>
    <x:row r="16" ht="30" customHeight="1">
      <x:c r="A16" s="16" t="str">
        <x:v>FIND YOUR WAY THROUGH THE RECORD</x:v>
      </x:c>
      <x:c r="B16" s="15"/>
      <x:c r="C16" s="15"/>
      <x:c r="D16" s="15"/>
      <x:c r="E16" s="15"/>
      <x:c r="F16" s="15"/>
      <x:c r="G16" s="15"/>
      <x:c r="H16" s="15"/>
    </x:row>
    <x:row r="17" ht="34" customHeight="1">
      <x:c r="A17" s="20" t="str">
        <x:f>IFERROR(HYPERLINK("#'Human Review'!A1","Human Review"),"Human Review")</x:f>
        <x:v>Human Review</x:v>
      </x:c>
      <x:c r="B17" s="2"/>
      <x:c r="C17" s="9" t="str">
        <x:v>Start with the complete H01–H54 map and edition corrections.</x:v>
      </x:c>
      <x:c r="D17" s="2"/>
      <x:c r="E17" s="2"/>
      <x:c r="F17" s="2"/>
      <x:c r="G17" s="2"/>
      <x:c r="H17" s="2"/>
    </x:row>
    <x:row r="18" ht="34" customHeight="1">
      <x:c r="A18" s="20" t="str">
        <x:f>IFERROR(HYPERLINK("#'Claim Lineage'!A1","Claim Lineage"),"Claim Lineage")</x:f>
        <x:v>Claim Lineage</x:v>
      </x:c>
      <x:c r="B18" s="2"/>
      <x:c r="C18" s="9" t="str">
        <x:v>Return from an H item to the earlier RP / CR / TC / PL / PA / JU entries.</x:v>
      </x:c>
      <x:c r="D18" s="2"/>
      <x:c r="E18" s="2"/>
      <x:c r="F18" s="2"/>
      <x:c r="G18" s="2"/>
      <x:c r="H18" s="2"/>
    </x:row>
    <x:row r="19" ht="34" customHeight="1">
      <x:c r="A19" s="20" t="str">
        <x:f>IFERROR(HYPERLINK("#'Source Catalog'!A1","Source Catalog"),"Source Catalog")</x:f>
        <x:v>Source Catalog</x:v>
      </x:c>
      <x:c r="B19" s="2"/>
      <x:c r="C19" s="9" t="str">
        <x:v>Read source type, scope and verification status beside each source ID.</x:v>
      </x:c>
      <x:c r="D19" s="2"/>
      <x:c r="E19" s="2"/>
      <x:c r="F19" s="2"/>
      <x:c r="G19" s="2"/>
      <x:c r="H19" s="2"/>
    </x:row>
    <x:row r="20" ht="34" customHeight="1">
      <x:c r="A20" s="20" t="str">
        <x:f>IFERROR(HYPERLINK("#'People'!A1","People"),"People")</x:f>
        <x:v>People</x:v>
      </x:c>
      <x:c r="B20" s="2"/>
      <x:c r="C20" s="9" t="str">
        <x:v>Locate public actors, record authors, scholars, witnesses and historical subjects.</x:v>
      </x:c>
      <x:c r="D20" s="2"/>
      <x:c r="E20" s="2"/>
      <x:c r="F20" s="2"/>
      <x:c r="G20" s="2"/>
      <x:c r="H20" s="2"/>
    </x:row>
    <x:row r="21" ht="34" customHeight="1">
      <x:c r="A21" s="20" t="str">
        <x:f>IFERROR(HYPERLINK("#'References'!A1","References"),"References")</x:f>
        <x:v>References</x:v>
      </x:c>
      <x:c r="B21" s="2"/>
      <x:c r="C21" s="9" t="str">
        <x:v>Filter recovered links by host, source ID, origin or verification status.</x:v>
      </x:c>
      <x:c r="D21" s="2"/>
      <x:c r="E21" s="2"/>
      <x:c r="F21" s="2"/>
      <x:c r="G21" s="2"/>
      <x:c r="H21" s="2"/>
    </x:row>
    <x:row r="22" ht="34" customHeight="1">
      <x:c r="A22" s="20" t="str">
        <x:f>IFERROR(HYPERLINK("#'Bibliography'!A1","Bibliography"),"Bibliography")</x:f>
        <x:v>Bibliography</x:v>
      </x:c>
      <x:c r="B22" s="2"/>
      <x:c r="C22" s="9" t="str">
        <x:v>Recover full scholarly and source-spine citations without relying on a URL.</x:v>
      </x:c>
      <x:c r="D22" s="2"/>
      <x:c r="E22" s="2"/>
      <x:c r="F22" s="2"/>
      <x:c r="G22" s="2"/>
      <x:c r="H22" s="2"/>
    </x:row>
    <x:row r="23" ht="34" customHeight="1">
      <x:c r="A23" s="20" t="str">
        <x:f>IFERROR(HYPERLINK("#'Record Gaps'!A1","Record Gaps"),"Record Gaps")</x:f>
        <x:v>Record Gaps</x:v>
      </x:c>
      <x:c r="B23" s="2"/>
      <x:c r="C23" s="9" t="str">
        <x:v>Locate the precise unrecovered instrument or bibliographic lead.</x:v>
      </x:c>
      <x:c r="D23" s="2"/>
      <x:c r="E23" s="2"/>
      <x:c r="F23" s="2"/>
      <x:c r="G23" s="2"/>
      <x:c r="H23" s="2"/>
    </x:row>
    <x:row r="24" ht="34" customHeight="1">
      <x:c r="A24" s="20" t="str">
        <x:f>IFERROR(HYPERLINK("#'Corpus'!A1","Corpus"),"Corpus")</x:f>
        <x:v>Corpus</x:v>
      </x:c>
      <x:c r="B24" s="2"/>
      <x:c r="C24" s="9" t="str">
        <x:v>Check version identity, duplicate relationships and recovery hashes.</x:v>
      </x:c>
      <x:c r="D24" s="2"/>
      <x:c r="E24" s="2"/>
      <x:c r="F24" s="2"/>
      <x:c r="G24" s="2"/>
      <x:c r="H24" s="2"/>
    </x:row>
    <x:row r="25" ht="30" customHeight="1">
      <x:c r="A25" s="2"/>
      <x:c r="B25" s="2"/>
      <x:c r="C25" s="2"/>
      <x:c r="D25" s="2"/>
      <x:c r="E25" s="2"/>
      <x:c r="F25" s="2"/>
      <x:c r="G25" s="2"/>
      <x:c r="H25" s="2"/>
    </x:row>
    <x:row r="26" ht="30" customHeight="1">
      <x:c r="A26" s="16" t="str">
        <x:v>SOURCE IDENTITY AND USE</x:v>
      </x:c>
      <x:c r="B26" s="15"/>
      <x:c r="C26" s="15"/>
      <x:c r="D26" s="15"/>
      <x:c r="E26" s="15"/>
      <x:c r="F26" s="15"/>
      <x:c r="G26" s="15"/>
      <x:c r="H26" s="15"/>
    </x:row>
    <x:row r="27" ht="24" customHeight="1">
      <x:c r="A27" s="21" t="str">
        <x:v>The two Coup v0.4 branches and the two distinct human-side v0.2 registers remain separate sources.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1" t="str">
        <x:v>The 54-item review is dated 5 September 2026. Older files retain their stated cutoffs; this workbook does not convert historical plans into completed events.</x:v>
      </x:c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1" t="str">
        <x:v>Use the filters in row 4. Blue Source cells open the cited record. Raw URL columns preserve the locator; select the cell to inspect its full value.</x:v>
      </x:c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1" t="str">
        <x:v>Names describe roles in the recovered sources. No private contact list, inferred meeting attendance, or genealogical link to present institutions is supplied.</x:v>
      </x:c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1" t="str">
        <x:v>Record Gaps is a source inventory. It records no newly sent requests or new deadlines.</x:v>
      </x:c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</x:sheetData>
  <x:mergeCells>
    <x:mergeCell ref="A1:H1"/>
    <x:mergeCell ref="A2:H2"/>
    <x:mergeCell ref="A4:H4"/>
    <x:mergeCell ref="A5:F5"/>
    <x:mergeCell ref="G5:H5"/>
    <x:mergeCell ref="A6:F6"/>
    <x:mergeCell ref="G6:H6"/>
    <x:mergeCell ref="A7:F7"/>
    <x:mergeCell ref="G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3:H14"/>
    <x:mergeCell ref="A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6:H26"/>
    <x:mergeCell ref="A27:H28"/>
    <x:mergeCell ref="A29:H30"/>
    <x:mergeCell ref="A31:H32"/>
    <x:mergeCell ref="A33:H34"/>
    <x:mergeCell ref="A35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63" hidden="0" customWidth="1"/>
    <x:col min="5" max="5" width="61" hidden="0" customWidth="1"/>
    <x:col min="6" max="6" width="28" hidden="0" customWidth="1"/>
    <x:col min="7" max="7" width="61" hidden="0" customWidth="1"/>
    <x:col min="8" max="8" width="16" hidden="0" customWidth="1"/>
    <x:col min="9" max="9" width="75" hidden="0" customWidth="1"/>
  </x:cols>
  <x:sheetData>
    <x:row r="1" ht="38" customHeight="1">
      <x:c r="A1" s="4" t="str">
        <x:v>HUMAN REVIEW · 54 ITEM MAP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6" t="str">
        <x:v>Neutral account of every H01–H54 item in the 5 September review; separate edition notes identify new public-source checks.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8" t="str">
        <x:v>ID</x:v>
      </x:c>
      <x:c r="B4" s="8" t="str">
        <x:v>Theme</x:v>
      </x:c>
      <x:c r="C4" s="8" t="str">
        <x:v>Research topic</x:v>
      </x:c>
      <x:c r="D4" s="8" t="str">
        <x:v>Record described in the review</x:v>
      </x:c>
      <x:c r="E4" s="8" t="str">
        <x:v>Scope / separate question</x:v>
      </x:c>
      <x:c r="F4" s="8" t="str">
        <x:v>Legacy claim IDs</x:v>
      </x:c>
      <x:c r="G4" s="8" t="str">
        <x:v>Edition note</x:v>
      </x:c>
      <x:c r="H4" s="8" t="str">
        <x:v>Source</x:v>
      </x:c>
      <x:c r="I4" s="8" t="str">
        <x:v>Raw URL</x:v>
      </x:c>
    </x:row>
    <x:row r="5" ht="39" customHeight="1">
      <x:c r="A5" s="9" t="str">
        <x:v>H01</x:v>
      </x:c>
      <x:c r="B5" s="9" t="str">
        <x:v>Religious policy</x:v>
      </x:c>
      <x:c r="C5" s="9" t="str">
        <x:v>Formal office and task-force route</x:v>
      </x:c>
      <x:c r="D5" s="9" t="str">
        <x:v>Executive orders, appointment and guidance describe the route.</x:v>
      </x:c>
      <x:c r="E5" s="9" t="str">
        <x:v>Specific allocation outcomes are separate records.</x:v>
      </x:c>
      <x:c r="F5" s="9" t="str">
        <x:v>RP-01 RP-02 RP-03 RP-04 RP-05</x:v>
      </x:c>
      <x:c r="G5" s="9" t="str">
        <x:v>Retains the dated source review; no additional finding made here.</x:v>
      </x:c>
      <x:c r="H5" s="12" t="str">
        <x:f>IFERROR(HYPERLINK(I5,"Open source"),"Open source")</x:f>
        <x:v>Open source</x:v>
      </x:c>
      <x:c r="I5" s="11" t="str">
        <x:v>https://docs.google.com/document/d/1eMHtb7af2W3QsTASP0sfStAy8XuAlmYk4gD3F52qr_w/edit</x:v>
      </x:c>
    </x:row>
    <x:row r="6" ht="39" customHeight="1">
      <x:c r="A6" s="9" t="str">
        <x:v>H02</x:v>
      </x:c>
      <x:c r="B6" s="9" t="str">
        <x:v>Religious policy</x:v>
      </x:c>
      <x:c r="C6" s="9" t="str">
        <x:v>Application in a named matter</x:v>
      </x:c>
      <x:c r="D6" s="9" t="str">
        <x:v>The review does not identify a beneficiary-to-improper-decision chain.</x:v>
      </x:c>
      <x:c r="E6" s="9" t="str">
        <x:v>Creation of an office does not decide a particular application.</x:v>
      </x:c>
      <x:c r="F6" s="9" t="str">
        <x:v>RP-06</x:v>
      </x:c>
      <x:c r="G6" s="9" t="str">
        <x:v>Retains the dated source review; no additional finding made here.</x:v>
      </x:c>
      <x:c r="H6" s="12" t="str">
        <x:f>IFERROR(HYPERLINK(I6,"Open source"),"Open source")</x:f>
        <x:v>Open source</x:v>
      </x:c>
      <x:c r="I6" s="11" t="str">
        <x:v>https://docs.google.com/document/d/1eMHtb7af2W3QsTASP0sfStAy8XuAlmYk4gD3F52qr_w/edit</x:v>
      </x:c>
    </x:row>
    <x:row r="7" ht="39" customHeight="1">
      <x:c r="A7" s="9" t="str">
        <x:v>H03</x:v>
      </x:c>
      <x:c r="B7" s="9" t="str">
        <x:v>Religious policy</x:v>
      </x:c>
      <x:c r="C7" s="9" t="str">
        <x:v>Commission authority over time</x:v>
      </x:c>
      <x:c r="D7" s="9" t="str">
        <x:v>Creation and historical activities are retained.</x:v>
      </x:c>
      <x:c r="E7" s="9" t="str">
        <x:v>The extension instrument was not recovered in the reviewed paper.</x:v>
      </x:c>
      <x:c r="F7" s="9" t="str"/>
      <x:c r="G7" s="9" t="str">
        <x:v>Retains the dated source review; no additional finding made here.</x:v>
      </x:c>
      <x:c r="H7" s="12" t="str">
        <x:f>IFERROR(HYPERLINK(I7,"Open source"),"Open source")</x:f>
        <x:v>Open source</x:v>
      </x:c>
      <x:c r="I7" s="11" t="str">
        <x:v>https://docs.google.com/document/d/1eMHtb7af2W3QsTASP0sfStAy8XuAlmYk4gD3F52qr_w/edit</x:v>
      </x:c>
    </x:row>
    <x:row r="8" ht="39" customHeight="1">
      <x:c r="A8" s="9" t="str">
        <x:v>H04</x:v>
      </x:c>
      <x:c r="B8" s="9" t="str">
        <x:v>DOJ / assets</x:v>
      </x:c>
      <x:c r="C8" s="9" t="str">
        <x:v>Blanche chronology</x:v>
      </x:c>
      <x:c r="D8" s="9" t="str">
        <x:v>Disclosures, ethics agreement, April memorandum and later dispositions are recorded.</x:v>
      </x:c>
      <x:c r="E8" s="9" t="str">
        <x:v>The memorandum retained specified criminal-enforcement priorities.</x:v>
      </x:c>
      <x:c r="F8" s="9" t="str">
        <x:v>CR-01 CR-02 CR-03 CR-04 CR-05</x:v>
      </x:c>
      <x:c r="G8" s="9" t="str">
        <x:v>Retains the dated source review; no additional finding made here.</x:v>
      </x:c>
      <x:c r="H8" s="12" t="str">
        <x:f>IFERROR(HYPERLINK(I8,"Open source"),"Open source")</x:f>
        <x:v>Open source</x:v>
      </x:c>
      <x:c r="I8" s="11" t="str">
        <x:v>https://docs.google.com/document/d/1eMHtb7af2W3QsTASP0sfStAy8XuAlmYk4gD3F52qr_w/edit</x:v>
      </x:c>
    </x:row>
    <x:row r="9" ht="39" customHeight="1">
      <x:c r="A9" s="9" t="str">
        <x:v>H05</x:v>
      </x:c>
      <x:c r="B9" s="9" t="str">
        <x:v>DOJ / ethics</x:v>
      </x:c>
      <x:c r="C9" s="9" t="str">
        <x:v>Written determination and legal application</x:v>
      </x:c>
      <x:c r="D9" s="9" t="str">
        <x:v>Senate answers assert a written pre-memo determination.</x:v>
      </x:c>
      <x:c r="E9" s="9" t="str">
        <x:v>The underlying determination and its reasoning were not recovered.</x:v>
      </x:c>
      <x:c r="F9" s="9" t="str">
        <x:v>CR-06 CR-08</x:v>
      </x:c>
      <x:c r="G9" s="9" t="str">
        <x:v>Added direct check of certification and Senate answer: N-01 and N-02.</x:v>
      </x:c>
      <x:c r="H9" s="12" t="str">
        <x:f>IFERROR(HYPERLINK(I9,"Open source"),"Open source")</x:f>
        <x:v>Open source</x:v>
      </x:c>
      <x:c r="I9" s="11" t="str">
        <x:v>https://docs.google.com/document/d/1eMHtb7af2W3QsTASP0sfStAy8XuAlmYk4gD3F52qr_w/edit</x:v>
      </x:c>
    </x:row>
    <x:row r="10" ht="39" customHeight="1">
      <x:c r="A10" s="9" t="str">
        <x:v>H06</x:v>
      </x:c>
      <x:c r="B10" s="9" t="str">
        <x:v>DOJ / oversight</x:v>
      </x:c>
      <x:c r="C10" s="9" t="str">
        <x:v>Response history</x:v>
      </x:c>
      <x:c r="D10" s="9" t="str">
        <x:v>Committee publications record outstanding requests at their publication dates.</x:v>
      </x:c>
      <x:c r="E10" s="9" t="str">
        <x:v>That status does not establish the absence of all ethics advice.</x:v>
      </x:c>
      <x:c r="F10" s="9" t="str">
        <x:v>CR-07</x:v>
      </x:c>
      <x:c r="G10" s="9" t="str">
        <x:v>Retains the dated source review; no additional finding made here.</x:v>
      </x:c>
      <x:c r="H10" s="12" t="str">
        <x:f>IFERROR(HYPERLINK(I10,"Open source"),"Open source")</x:f>
        <x:v>Open source</x:v>
      </x:c>
      <x:c r="I10" s="11" t="str">
        <x:v>https://docs.google.com/document/d/1eMHtb7af2W3QsTASP0sfStAy8XuAlmYk4gD3F52qr_w/edit</x:v>
      </x:c>
    </x:row>
    <x:row r="11" ht="39" customHeight="1">
      <x:c r="A11" s="9" t="str">
        <x:v>H07</x:v>
      </x:c>
      <x:c r="B11" s="9" t="str">
        <x:v>DOJ / assets</x:v>
      </x:c>
      <x:c r="C11" s="9" t="str">
        <x:v>Sales, gifts and certification</x:v>
      </x:c>
      <x:c r="D11" s="9" t="str">
        <x:v>Transaction and compliance filings describe dispositions and gifts.</x:v>
      </x:c>
      <x:c r="E11" s="9" t="str">
        <x:v>Complete gift mechanics and earlier-policy legal effect are distinct questions.</x:v>
      </x:c>
      <x:c r="F11" s="9" t="str">
        <x:v>CR-05</x:v>
      </x:c>
      <x:c r="G11" s="9" t="str">
        <x:v>Certification checkbox and date visually inspected: N-01.</x:v>
      </x:c>
      <x:c r="H11" s="12" t="str">
        <x:f>IFERROR(HYPERLINK(I11,"Open source"),"Open source")</x:f>
        <x:v>Open source</x:v>
      </x:c>
      <x:c r="I11" s="11" t="str">
        <x:v>https://docs.google.com/document/d/1eMHtb7af2W3QsTASP0sfStAy8XuAlmYk4gD3F52qr_w/edit</x:v>
      </x:c>
    </x:row>
    <x:row r="12" ht="39" customHeight="1">
      <x:c r="A12" s="9" t="str">
        <x:v>H08</x:v>
      </x:c>
      <x:c r="B12" s="9" t="str">
        <x:v>DOJ / relationships</x:v>
      </x:c>
      <x:c r="C12" s="9" t="str">
        <x:v>Consideration and former clients</x:v>
      </x:c>
      <x:c r="D12" s="9" t="str">
        <x:v>Prior representation and the crypto chronology are separate records.</x:v>
      </x:c>
      <x:c r="E12" s="9" t="str">
        <x:v>The review identifies no consideration or former-client favoritism chain.</x:v>
      </x:c>
      <x:c r="F12" s="9" t="str">
        <x:v>CR-09</x:v>
      </x:c>
      <x:c r="G12" s="9" t="str">
        <x:v>Retains the dated source review; no additional finding made here.</x:v>
      </x:c>
      <x:c r="H12" s="12" t="str">
        <x:f>IFERROR(HYPERLINK(I12,"Open source"),"Open source")</x:f>
        <x:v>Open source</x:v>
      </x:c>
      <x:c r="I12" s="11" t="str">
        <x:v>https://docs.google.com/document/d/1eMHtb7af2W3QsTASP0sfStAy8XuAlmYk4gD3F52qr_w/edit</x:v>
      </x:c>
    </x:row>
    <x:row r="13" ht="39" customHeight="1">
      <x:c r="A13" s="9" t="str">
        <x:v>H09</x:v>
      </x:c>
      <x:c r="B13" s="9" t="str">
        <x:v>Crypto / policy</x:v>
      </x:c>
      <x:c r="C13" s="9" t="str">
        <x:v>Financial interests and policy acts</x:v>
      </x:c>
      <x:c r="D13" s="9" t="str">
        <x:v>Disclosures and official digital-asset policy actions coexist in the dated record.</x:v>
      </x:c>
      <x:c r="E13" s="9" t="str">
        <x:v>A specific beneficiary-tailored action is a separate proposition.</x:v>
      </x:c>
      <x:c r="F13" s="9" t="str">
        <x:v>TC-02</x:v>
      </x:c>
      <x:c r="G13" s="9" t="str">
        <x:v>Retains the dated source review; no additional finding made here.</x:v>
      </x:c>
      <x:c r="H13" s="12" t="str">
        <x:f>IFERROR(HYPERLINK(I13,"Open source"),"Open source")</x:f>
        <x:v>Open source</x:v>
      </x:c>
      <x:c r="I13" s="11" t="str">
        <x:v>https://docs.google.com/document/d/1eMHtb7af2W3QsTASP0sfStAy8XuAlmYk4gD3F52qr_w/edit</x:v>
      </x:c>
    </x:row>
    <x:row r="14" ht="39" customHeight="1">
      <x:c r="A14" s="9" t="str">
        <x:v>H10</x:v>
      </x:c>
      <x:c r="B14" s="9" t="str">
        <x:v>Crypto / reporting</x:v>
      </x:c>
      <x:c r="C14" s="9" t="str">
        <x:v>Income aggregation</x:v>
      </x:c>
      <x:c r="D14" s="9" t="str">
        <x:v>AP and Reuters use different classifications of disclosed components.</x:v>
      </x:c>
      <x:c r="E14" s="9" t="str">
        <x:v>Their totals are not a reconciled interval.</x:v>
      </x:c>
      <x:c r="F14" s="9" t="str">
        <x:v>TC-01</x:v>
      </x:c>
      <x:c r="G14" s="9" t="str">
        <x:v>Retains the dated source review; no additional finding made here.</x:v>
      </x:c>
      <x:c r="H14" s="12" t="str">
        <x:f>IFERROR(HYPERLINK(I14,"Open source"),"Open source")</x:f>
        <x:v>Open source</x:v>
      </x:c>
      <x:c r="I14" s="11" t="str">
        <x:v>https://docs.google.com/document/d/1eMHtb7af2W3QsTASP0sfStAy8XuAlmYk4gD3F52qr_w/edit</x:v>
      </x:c>
    </x:row>
    <x:row r="15" ht="39" customHeight="1">
      <x:c r="A15" s="9" t="str">
        <x:v>H11</x:v>
      </x:c>
      <x:c r="B15" s="9" t="str">
        <x:v>Crypto / transactions</x:v>
      </x:c>
      <x:c r="C15" s="9" t="str">
        <x:v>MGX, Binance, USD1 and pardon dates</x:v>
      </x:c>
      <x:c r="D15" s="9" t="str">
        <x:v>Announcement and pardon are separately sourced events.</x:v>
      </x:c>
      <x:c r="E15" s="9" t="str">
        <x:v>Announcement, settlement and clemency are not one transaction record.</x:v>
      </x:c>
      <x:c r="F15" s="9" t="str">
        <x:v>TC-03</x:v>
      </x:c>
      <x:c r="G15" s="9" t="str">
        <x:v>Retains the dated source review; no additional finding made here.</x:v>
      </x:c>
      <x:c r="H15" s="12" t="str">
        <x:f>IFERROR(HYPERLINK(I15,"Open source"),"Open source")</x:f>
        <x:v>Open source</x:v>
      </x:c>
      <x:c r="I15" s="11" t="str">
        <x:v>https://docs.google.com/document/d/1eMHtb7af2W3QsTASP0sfStAy8XuAlmYk4gD3F52qr_w/edit</x:v>
      </x:c>
    </x:row>
    <x:row r="16" ht="39" customHeight="1">
      <x:c r="A16" s="9" t="str">
        <x:v>H12</x:v>
      </x:c>
      <x:c r="B16" s="9" t="str">
        <x:v>Crypto / clemency</x:v>
      </x:c>
      <x:c r="C16" s="9" t="str">
        <x:v>Alleged transaction-to-pardon link</x:v>
      </x:c>
      <x:c r="D16" s="9" t="str">
        <x:v>The review retains the chronology.</x:v>
      </x:c>
      <x:c r="E16" s="9" t="str">
        <x:v>It does not establish an exchange or causal agreement.</x:v>
      </x:c>
      <x:c r="F16" s="9" t="str">
        <x:v>TC-04</x:v>
      </x:c>
      <x:c r="G16" s="9" t="str">
        <x:v>Retains the dated source review; no additional finding made here.</x:v>
      </x:c>
      <x:c r="H16" s="12" t="str">
        <x:f>IFERROR(HYPERLINK(I16,"Open source"),"Open source")</x:f>
        <x:v>Open source</x:v>
      </x:c>
      <x:c r="I16" s="11" t="str">
        <x:v>https://docs.google.com/document/d/1eMHtb7af2W3QsTASP0sfStAy8XuAlmYk4gD3F52qr_w/edit</x:v>
      </x:c>
    </x:row>
    <x:row r="17" ht="39" customHeight="1">
      <x:c r="A17" s="9" t="str">
        <x:v>H13</x:v>
      </x:c>
      <x:c r="B17" s="9" t="str">
        <x:v>Crypto / companies</x:v>
      </x:c>
      <x:c r="C17" s="9" t="str">
        <x:v>WorldClaw arrangement</x:v>
      </x:c>
      <x:c r="D17" s="9" t="str">
        <x:v>The source carries an attributed corporate-arrangement lead.</x:v>
      </x:c>
      <x:c r="E17" s="9" t="str">
        <x:v>No indication of illegality is not an affirmative legal determination.</x:v>
      </x:c>
      <x:c r="F17" s="9" t="str">
        <x:v>KL-01</x:v>
      </x:c>
      <x:c r="G17" s="9" t="str">
        <x:v>Retains the dated source review; no additional finding made here.</x:v>
      </x:c>
      <x:c r="H17" s="12" t="str">
        <x:f>IFERROR(HYPERLINK(I17,"Open source"),"Open source")</x:f>
        <x:v>Open source</x:v>
      </x:c>
      <x:c r="I17" s="11" t="str">
        <x:v>https://docs.google.com/document/d/1eMHtb7af2W3QsTASP0sfStAy8XuAlmYk4gD3F52qr_w/edit</x:v>
      </x:c>
    </x:row>
    <x:row r="18" ht="39" customHeight="1">
      <x:c r="A18" s="9" t="str">
        <x:v>H14</x:v>
      </x:c>
      <x:c r="B18" s="9" t="str">
        <x:v>Crypto / regulation</x:v>
      </x:c>
      <x:c r="C18" s="9" t="str">
        <x:v>OCC charter stage</x:v>
      </x:c>
      <x:c r="D18" s="9" t="str">
        <x:v>The sources retain different descriptions of application status.</x:v>
      </x:c>
      <x:c r="E18" s="9" t="str">
        <x:v>A dated order is needed to distinguish pending, conditional and final stages.</x:v>
      </x:c>
      <x:c r="F18" s="9" t="str">
        <x:v>KL-02</x:v>
      </x:c>
      <x:c r="G18" s="9" t="str">
        <x:v>Retains the dated source review; no additional finding made here.</x:v>
      </x:c>
      <x:c r="H18" s="12" t="str">
        <x:f>IFERROR(HYPERLINK(I18,"Open source"),"Open source")</x:f>
        <x:v>Open source</x:v>
      </x:c>
      <x:c r="I18" s="11" t="str">
        <x:v>https://docs.google.com/document/d/1eMHtb7af2W3QsTASP0sfStAy8XuAlmYk4gD3F52qr_w/edit</x:v>
      </x:c>
    </x:row>
    <x:row r="19" ht="39" customHeight="1">
      <x:c r="A19" s="9" t="str">
        <x:v>H15</x:v>
      </x:c>
      <x:c r="B19" s="9" t="str">
        <x:v>Crypto / tracing</x:v>
      </x:c>
      <x:c r="C19" s="9" t="str">
        <x:v>Illicit-flow allegation</x:v>
      </x:c>
      <x:c r="D19" s="9" t="str">
        <x:v>Disclosed assets and transactions are present.</x:v>
      </x:c>
      <x:c r="E19" s="9" t="str">
        <x:v>The review does not establish the alleged illicit-flow mechanism.</x:v>
      </x:c>
      <x:c r="F19" s="9" t="str"/>
      <x:c r="G19" s="9" t="str">
        <x:v>Retains the dated source review; no additional finding made here.</x:v>
      </x:c>
      <x:c r="H19" s="12" t="str">
        <x:f>IFERROR(HYPERLINK(I19,"Open source"),"Open source")</x:f>
        <x:v>Open source</x:v>
      </x:c>
      <x:c r="I19" s="11" t="str">
        <x:v>https://docs.google.com/document/d/1eMHtb7af2W3QsTASP0sfStAy8XuAlmYk4gD3F52qr_w/edit</x:v>
      </x:c>
    </x:row>
    <x:row r="20" ht="39" customHeight="1">
      <x:c r="A20" s="9" t="str">
        <x:v>H16</x:v>
      </x:c>
      <x:c r="B20" s="9" t="str">
        <x:v>Procurement</x:v>
      </x:c>
      <x:c r="C20" s="9" t="str">
        <x:v>Federal awards and contract amounts</x:v>
      </x:c>
      <x:c r="D20" s="9" t="str">
        <x:v>Maven and Army instruments identify specific procurement relationships.</x:v>
      </x:c>
      <x:c r="E20" s="9" t="str">
        <x:v>Modification and maximum values are not spending totals.</x:v>
      </x:c>
      <x:c r="F20" s="9" t="str">
        <x:v>PL-01 PL-02 PL-03</x:v>
      </x:c>
      <x:c r="G20" s="9" t="str">
        <x:v>Army and Maven announcements checked: P-01 and P-02.</x:v>
      </x:c>
      <x:c r="H20" s="12" t="str">
        <x:f>IFERROR(HYPERLINK(I20,"Open source"),"Open source")</x:f>
        <x:v>Open source</x:v>
      </x:c>
      <x:c r="I20" s="11" t="str">
        <x:v>https://docs.google.com/document/d/1eMHtb7af2W3QsTASP0sfStAy8XuAlmYk4gD3F52qr_w/edit</x:v>
      </x:c>
    </x:row>
    <x:row r="21" ht="39" customHeight="1">
      <x:c r="A21" s="9" t="str">
        <x:v>H17</x:v>
      </x:c>
      <x:c r="B21" s="9" t="str">
        <x:v>Procurement</x:v>
      </x:c>
      <x:c r="C21" s="9" t="str">
        <x:v>ICE continuation rationale</x:v>
      </x:c>
      <x:c r="D21" s="9" t="str">
        <x:v>The agency cites incumbent IP, authorization and migration constraints.</x:v>
      </x:c>
      <x:c r="E21" s="9" t="str">
        <x:v>Agency rationale is distinct from independent validation of alternatives.</x:v>
      </x:c>
      <x:c r="F21" s="9" t="str">
        <x:v>PL-04</x:v>
      </x:c>
      <x:c r="G21" s="9" t="str">
        <x:v>Retains the dated source review; no additional finding made here.</x:v>
      </x:c>
      <x:c r="H21" s="12" t="str">
        <x:f>IFERROR(HYPERLINK(I21,"Open source"),"Open source")</x:f>
        <x:v>Open source</x:v>
      </x:c>
      <x:c r="I21" s="11" t="str">
        <x:v>https://docs.google.com/document/d/1eMHtb7af2W3QsTASP0sfStAy8XuAlmYk4gD3F52qr_w/edit</x:v>
      </x:c>
    </x:row>
    <x:row r="22" ht="39" customHeight="1">
      <x:c r="A22" s="9" t="str">
        <x:v>H18</x:v>
      </x:c>
      <x:c r="B22" s="9" t="str">
        <x:v>Procurement</x:v>
      </x:c>
      <x:c r="C22" s="9" t="str">
        <x:v>Original 2022 competition record</x:v>
      </x:c>
      <x:c r="D22" s="9" t="str">
        <x:v>Different metadata and later continuation descriptions are preserved.</x:v>
      </x:c>
      <x:c r="E22" s="9" t="str">
        <x:v>The original solicitation, evaluation and selection chain remains incomplete.</x:v>
      </x:c>
      <x:c r="F22" s="9" t="str"/>
      <x:c r="G22" s="9" t="str">
        <x:v>Retains the dated source review; no additional finding made here.</x:v>
      </x:c>
      <x:c r="H22" s="12" t="str">
        <x:f>IFERROR(HYPERLINK(I22,"Open source"),"Open source")</x:f>
        <x:v>Open source</x:v>
      </x:c>
      <x:c r="I22" s="11" t="str">
        <x:v>https://docs.google.com/document/d/1eMHtb7af2W3QsTASP0sfStAy8XuAlmYk4gD3F52qr_w/edit</x:v>
      </x:c>
    </x:row>
    <x:row r="23" ht="39" customHeight="1">
      <x:c r="A23" s="9" t="str">
        <x:v>H19</x:v>
      </x:c>
      <x:c r="B23" s="9" t="str">
        <x:v>Data custody</x:v>
      </x:c>
      <x:c r="C23" s="9" t="str">
        <x:v>CMS–ICE–Palantir route</x:v>
      </x:c>
      <x:c r="D23" s="9" t="str">
        <x:v>Policy, litigation and reporting describe exchanges and receipt.</x:v>
      </x:c>
      <x:c r="E23" s="9" t="str">
        <x:v>Transaction-specific authority and production use are separate questions.</x:v>
      </x:c>
      <x:c r="F23" s="9" t="str">
        <x:v>PL-05 PL-06</x:v>
      </x:c>
      <x:c r="G23" s="9" t="str">
        <x:v>Retains the dated source review; no additional finding made here.</x:v>
      </x:c>
      <x:c r="H23" s="12" t="str">
        <x:f>IFERROR(HYPERLINK(I23,"Open source"),"Open source")</x:f>
        <x:v>Open source</x:v>
      </x:c>
      <x:c r="I23" s="11" t="str">
        <x:v>https://docs.google.com/document/d/1eMHtb7af2W3QsTASP0sfStAy8XuAlmYk4gD3F52qr_w/edit</x:v>
      </x:c>
    </x:row>
    <x:row r="24" ht="39" customHeight="1">
      <x:c r="A24" s="9" t="str">
        <x:v>H20</x:v>
      </x:c>
      <x:c r="B24" s="9" t="str">
        <x:v>Data custody</x:v>
      </x:c>
      <x:c r="C24" s="9" t="str">
        <x:v>Copies and deletion</x:v>
      </x:c>
      <x:c r="D24" s="9" t="str">
        <x:v>The record includes removal efforts and institutional statements.</x:v>
      </x:c>
      <x:c r="E24" s="9" t="str">
        <x:v>A complete independently checked copy inventory was not recovered.</x:v>
      </x:c>
      <x:c r="F24" s="9" t="str">
        <x:v>PL-08</x:v>
      </x:c>
      <x:c r="G24" s="9" t="str">
        <x:v>Retains the dated source review; no additional finding made here.</x:v>
      </x:c>
      <x:c r="H24" s="12" t="str">
        <x:f>IFERROR(HYPERLINK(I24,"Open source"),"Open source")</x:f>
        <x:v>Open source</x:v>
      </x:c>
      <x:c r="I24" s="11" t="str">
        <x:v>https://docs.google.com/document/d/1eMHtb7af2W3QsTASP0sfStAy8XuAlmYk4gD3F52qr_w/edit</x:v>
      </x:c>
    </x:row>
    <x:row r="25" ht="39" customHeight="1">
      <x:c r="A25" s="9" t="str">
        <x:v>H21</x:v>
      </x:c>
      <x:c r="B25" s="9" t="str">
        <x:v>Data use</x:v>
      </x:c>
      <x:c r="C25" s="9" t="str">
        <x:v>Specific enforcement consequences</x:v>
      </x:c>
      <x:c r="D25" s="9" t="str">
        <x:v>The reviewed materials describe custody.</x:v>
      </x:c>
      <x:c r="E25" s="9" t="str">
        <x:v>They do not connect this dataset through a query and output to an arrest.</x:v>
      </x:c>
      <x:c r="F25" s="9" t="str">
        <x:v>PL-07</x:v>
      </x:c>
      <x:c r="G25" s="9" t="str">
        <x:v>Retains the dated source review; no additional finding made here.</x:v>
      </x:c>
      <x:c r="H25" s="12" t="str">
        <x:f>IFERROR(HYPERLINK(I25,"Open source"),"Open source")</x:f>
        <x:v>Open source</x:v>
      </x:c>
      <x:c r="I25" s="11" t="str">
        <x:v>https://docs.google.com/document/d/1eMHtb7af2W3QsTASP0sfStAy8XuAlmYk4gD3F52qr_w/edit</x:v>
      </x:c>
    </x:row>
    <x:row r="26" ht="39" customHeight="1">
      <x:c r="A26" s="9" t="str">
        <x:v>H22</x:v>
      </x:c>
      <x:c r="B26" s="9" t="str">
        <x:v>Data systems</x:v>
      </x:c>
      <x:c r="C26" s="9" t="str">
        <x:v>Accuracy, audit and redress</x:v>
      </x:c>
      <x:c r="D26" s="9" t="str">
        <x:v>Deployment-specific metrics are not supplied by general product claims or a different OIG review.</x:v>
      </x:c>
      <x:c r="E26" s="9" t="str">
        <x:v>The review is not a universal ImmigrationOS performance audit.</x:v>
      </x:c>
      <x:c r="F26" s="9" t="str"/>
      <x:c r="G26" s="9" t="str">
        <x:v>Retains the dated source review; no additional finding made here.</x:v>
      </x:c>
      <x:c r="H26" s="12" t="str">
        <x:f>IFERROR(HYPERLINK(I26,"Open source"),"Open source")</x:f>
        <x:v>Open source</x:v>
      </x:c>
      <x:c r="I26" s="11" t="str">
        <x:v>https://docs.google.com/document/d/1eMHtb7af2W3QsTASP0sfStAy8XuAlmYk4gD3F52qr_w/edit</x:v>
      </x:c>
    </x:row>
    <x:row r="27" ht="39" customHeight="1">
      <x:c r="A27" s="9" t="str">
        <x:v>H23</x:v>
      </x:c>
      <x:c r="B27" s="9" t="str">
        <x:v>Personnel</x:v>
      </x:c>
      <x:c r="C27" s="9" t="str">
        <x:v>Barbaccia career chronology</x:v>
      </x:c>
      <x:c r="D27" s="9" t="str">
        <x:v>Prior employment, appointments and a prospective return are recorded.</x:v>
      </x:c>
      <x:c r="E27" s="9" t="str">
        <x:v>Actual commencement is distinct from an announced plan.</x:v>
      </x:c>
      <x:c r="F27" s="9" t="str">
        <x:v>PL-09</x:v>
      </x:c>
      <x:c r="G27" s="9" t="str">
        <x:v>Retains the dated source review; no additional finding made here.</x:v>
      </x:c>
      <x:c r="H27" s="12" t="str">
        <x:f>IFERROR(HYPERLINK(I27,"Open source"),"Open source")</x:f>
        <x:v>Open source</x:v>
      </x:c>
      <x:c r="I27" s="11" t="str">
        <x:v>https://docs.google.com/document/d/1eMHtb7af2W3QsTASP0sfStAy8XuAlmYk4gD3F52qr_w/edit</x:v>
      </x:c>
    </x:row>
    <x:row r="28" ht="39" customHeight="1">
      <x:c r="A28" s="9" t="str">
        <x:v>H24</x:v>
      </x:c>
      <x:c r="B28" s="9" t="str">
        <x:v>Personnel / assets</x:v>
      </x:c>
      <x:c r="C28" s="9" t="str">
        <x:v>Barbaccia holdings and participation</x:v>
      </x:c>
      <x:c r="D28" s="9" t="str">
        <x:v>An entry-period holding appears in the source register.</x:v>
      </x:c>
      <x:c r="E28" s="9" t="str">
        <x:v>An omitted sale in an index does not establish retention or steering.</x:v>
      </x:c>
      <x:c r="F28" s="9" t="str">
        <x:v>PL-10 PL-11</x:v>
      </x:c>
      <x:c r="G28" s="9" t="str">
        <x:v>Retains the dated source review; no additional finding made here.</x:v>
      </x:c>
      <x:c r="H28" s="12" t="str">
        <x:f>IFERROR(HYPERLINK(I28,"Open source"),"Open source")</x:f>
        <x:v>Open source</x:v>
      </x:c>
      <x:c r="I28" s="11" t="str">
        <x:v>https://docs.google.com/document/d/1eMHtb7af2W3QsTASP0sfStAy8XuAlmYk4gD3F52qr_w/edit</x:v>
      </x:c>
    </x:row>
    <x:row r="29" ht="39" customHeight="1">
      <x:c r="A29" s="9" t="str">
        <x:v>H25</x:v>
      </x:c>
      <x:c r="B29" s="9" t="str">
        <x:v>Personnel / assets</x:v>
      </x:c>
      <x:c r="C29" s="9" t="str">
        <x:v>Patel mitigation and procurement</x:v>
      </x:c>
      <x:c r="D29" s="9" t="str">
        <x:v>Agreement and sale are recorded alongside a separate FBI contract.</x:v>
      </x:c>
      <x:c r="E29" s="9" t="str">
        <x:v>The source does not identify a personal procurement intervention.</x:v>
      </x:c>
      <x:c r="F29" s="9" t="str">
        <x:v>PL-12 PL-13</x:v>
      </x:c>
      <x:c r="G29" s="9" t="str">
        <x:v>Retains the dated source review; no additional finding made here.</x:v>
      </x:c>
      <x:c r="H29" s="12" t="str">
        <x:f>IFERROR(HYPERLINK(I29,"Open source"),"Open source")</x:f>
        <x:v>Open source</x:v>
      </x:c>
      <x:c r="I29" s="11" t="str">
        <x:v>https://docs.google.com/document/d/1eMHtb7af2W3QsTASP0sfStAy8XuAlmYk4gD3F52qr_w/edit</x:v>
      </x:c>
    </x:row>
    <x:row r="30" ht="39" customHeight="1">
      <x:c r="A30" s="9" t="str">
        <x:v>H26</x:v>
      </x:c>
      <x:c r="B30" s="9" t="str">
        <x:v>Procurement / governance</x:v>
      </x:c>
      <x:c r="C30" s="9" t="str">
        <x:v>Interagency control</x:v>
      </x:c>
      <x:c r="D30" s="9" t="str">
        <x:v>Separate contracts and particular data links are recorded.</x:v>
      </x:c>
      <x:c r="E30" s="9" t="str">
        <x:v>A shared vendor is not itself a shared command instrument.</x:v>
      </x:c>
      <x:c r="F30" s="9" t="str">
        <x:v>PL-14</x:v>
      </x:c>
      <x:c r="G30" s="9" t="str">
        <x:v>Retains the dated source review; no additional finding made here.</x:v>
      </x:c>
      <x:c r="H30" s="12" t="str">
        <x:f>IFERROR(HYPERLINK(I30,"Open source"),"Open source")</x:f>
        <x:v>Open source</x:v>
      </x:c>
      <x:c r="I30" s="11" t="str">
        <x:v>https://docs.google.com/document/d/1eMHtb7af2W3QsTASP0sfStAy8XuAlmYk4gD3F52qr_w/edit</x:v>
      </x:c>
    </x:row>
    <x:row r="31" ht="39" customHeight="1">
      <x:c r="A31" s="9" t="str">
        <x:v>H27</x:v>
      </x:c>
      <x:c r="B31" s="9" t="str">
        <x:v>Procurement leads</x:v>
      </x:c>
      <x:c r="C31" s="9" t="str">
        <x:v>State, IRS and Clark Minor</x:v>
      </x:c>
      <x:c r="D31" s="9" t="str">
        <x:v>The review preserves attributed award and career leads.</x:v>
      </x:c>
      <x:c r="E31" s="9" t="str">
        <x:v>Exact award scope and person-specific participation are separate gaps.</x:v>
      </x:c>
      <x:c r="F31" s="9" t="str">
        <x:v>KL-04 KL-05 KL-06</x:v>
      </x:c>
      <x:c r="G31" s="9" t="str">
        <x:v>Retains the dated source review; no additional finding made here.</x:v>
      </x:c>
      <x:c r="H31" s="12" t="str">
        <x:f>IFERROR(HYPERLINK(I31,"Open source"),"Open source")</x:f>
        <x:v>Open source</x:v>
      </x:c>
      <x:c r="I31" s="11" t="str">
        <x:v>https://docs.google.com/document/d/1eMHtb7af2W3QsTASP0sfStAy8XuAlmYk4gD3F52qr_w/edit</x:v>
      </x:c>
    </x:row>
    <x:row r="32" ht="39" customHeight="1">
      <x:c r="A32" s="9" t="str">
        <x:v>H28</x:v>
      </x:c>
      <x:c r="B32" s="9" t="str">
        <x:v>Public persuasion</x:v>
      </x:c>
      <x:c r="C32" s="9" t="str">
        <x:v>AI-moratorium campaign</x:v>
      </x:c>
      <x:c r="D32" s="9" t="str">
        <x:v>Reporting attributes audience pressure to Bannon alongside a wider coalition.</x:v>
      </x:c>
      <x:c r="E32" s="9" t="str">
        <x:v>The outcome does not establish sole causation or general command.</x:v>
      </x:c>
      <x:c r="F32" s="9" t="str">
        <x:v>PA-01 PA-02</x:v>
      </x:c>
      <x:c r="G32" s="9" t="str">
        <x:v>Retains the dated source review; no additional finding made here.</x:v>
      </x:c>
      <x:c r="H32" s="12" t="str">
        <x:f>IFERROR(HYPERLINK(I32,"Open source"),"Open source")</x:f>
        <x:v>Open source</x:v>
      </x:c>
      <x:c r="I32" s="11" t="str">
        <x:v>https://docs.google.com/document/d/1eMHtb7af2W3QsTASP0sfStAy8XuAlmYk4gD3F52qr_w/edit</x:v>
      </x:c>
    </x:row>
    <x:row r="33" ht="39" customHeight="1">
      <x:c r="A33" s="9" t="str">
        <x:v>H29</x:v>
      </x:c>
      <x:c r="B33" s="9" t="str">
        <x:v>Access</x:v>
      </x:c>
      <x:c r="C33" s="9" t="str">
        <x:v>Johnson–Berger housing record</x:v>
      </x:c>
      <x:c r="D33" s="9" t="str">
        <x:v>The review retains proximity reporting, response and reported endpoint.</x:v>
      </x:c>
      <x:c r="E33" s="9" t="str">
        <x:v>A named legislative consequence is a separate question.</x:v>
      </x:c>
      <x:c r="F33" s="9" t="str">
        <x:v>PA-03 PA-05</x:v>
      </x:c>
      <x:c r="G33" s="9" t="str">
        <x:v>Retains the dated source review; no additional finding made here.</x:v>
      </x:c>
      <x:c r="H33" s="12" t="str">
        <x:f>IFERROR(HYPERLINK(I33,"Open source"),"Open source")</x:f>
        <x:v>Open source</x:v>
      </x:c>
      <x:c r="I33" s="11" t="str">
        <x:v>https://docs.google.com/document/d/1eMHtb7af2W3QsTASP0sfStAy8XuAlmYk4gD3F52qr_w/edit</x:v>
      </x:c>
    </x:row>
    <x:row r="34" ht="39" customHeight="1">
      <x:c r="A34" s="9" t="str">
        <x:v>H30</x:v>
      </x:c>
      <x:c r="B34" s="9" t="str">
        <x:v>Access / decisions</x:v>
      </x:c>
      <x:c r="C34" s="9" t="str">
        <x:v>Proposal-to-action relationship</x:v>
      </x:c>
      <x:c r="D34" s="9" t="str">
        <x:v>The review retains the access material.</x:v>
      </x:c>
      <x:c r="E34" s="9" t="str">
        <x:v>It does not establish a specific proposal entering an official action because of it.</x:v>
      </x:c>
      <x:c r="F34" s="9" t="str">
        <x:v>PA-04</x:v>
      </x:c>
      <x:c r="G34" s="9" t="str">
        <x:v>Retains the dated source review; no additional finding made here.</x:v>
      </x:c>
      <x:c r="H34" s="12" t="str">
        <x:f>IFERROR(HYPERLINK(I34,"Open source"),"Open source")</x:f>
        <x:v>Open source</x:v>
      </x:c>
      <x:c r="I34" s="11" t="str">
        <x:v>https://docs.google.com/document/d/1eMHtb7af2W3QsTASP0sfStAy8XuAlmYk4gD3F52qr_w/edit</x:v>
      </x:c>
    </x:row>
    <x:row r="35" ht="39" customHeight="1">
      <x:c r="A35" s="9" t="str">
        <x:v>H31</x:v>
      </x:c>
      <x:c r="B35" s="9" t="str">
        <x:v>Access networks</x:v>
      </x:c>
      <x:c r="C35" s="9" t="str">
        <x:v>Dialog records and cancellation</x:v>
      </x:c>
      <x:c r="D35" s="9" t="str">
        <x:v>Registration, founding history and the cancellation are retained.</x:v>
      </x:c>
      <x:c r="E35" s="9" t="str">
        <x:v>The corrected record does not establish actual 2026 co-attendance or a common decision.</x:v>
      </x:c>
      <x:c r="F35" s="9" t="str">
        <x:v>PA-06 PA-07 PA-08</x:v>
      </x:c>
      <x:c r="G35" s="9" t="str">
        <x:v>Retains the dated source review; no additional finding made here.</x:v>
      </x:c>
      <x:c r="H35" s="12" t="str">
        <x:f>IFERROR(HYPERLINK(I35,"Open source"),"Open source")</x:f>
        <x:v>Open source</x:v>
      </x:c>
      <x:c r="I35" s="11" t="str">
        <x:v>https://docs.google.com/document/d/1eMHtb7af2W3QsTASP0sfStAy8XuAlmYk4gD3F52qr_w/edit</x:v>
      </x:c>
    </x:row>
    <x:row r="36" ht="39" customHeight="1">
      <x:c r="A36" s="9" t="str">
        <x:v>H32</x:v>
      </x:c>
      <x:c r="B36" s="9" t="str">
        <x:v>Judicial appointments</x:v>
      </x:c>
      <x:c r="C36" s="9" t="str">
        <x:v>Selection, advocacy and scheduling</x:v>
      </x:c>
      <x:c r="D36" s="9" t="str">
        <x:v>Advisory roles, campaign announcements and Senate procedure are sourced.</x:v>
      </x:c>
      <x:c r="E36" s="9" t="str">
        <x:v>Announced campaign totals are not audited expenditures or post-confirmation control.</x:v>
      </x:c>
      <x:c r="F36" s="9" t="str">
        <x:v>JU-01 JU-02 JU-03 JU-11</x:v>
      </x:c>
      <x:c r="G36" s="9" t="str">
        <x:v>Retains the dated source review; no additional finding made here.</x:v>
      </x:c>
      <x:c r="H36" s="12" t="str">
        <x:f>IFERROR(HYPERLINK(I36,"Open source"),"Open source")</x:f>
        <x:v>Open source</x:v>
      </x:c>
      <x:c r="I36" s="11" t="str">
        <x:v>https://docs.google.com/document/d/1eMHtb7af2W3QsTASP0sfStAy8XuAlmYk4gD3F52qr_w/edit</x:v>
      </x:c>
    </x:row>
    <x:row r="37" ht="39" customHeight="1">
      <x:c r="A37" s="9" t="str">
        <x:v>H33</x:v>
      </x:c>
      <x:c r="B37" s="9" t="str">
        <x:v>Judicial financing</x:v>
      </x:c>
      <x:c r="C37" s="9" t="str">
        <x:v>Seid and Marble chronology</x:v>
      </x:c>
      <x:c r="D37" s="9" t="str">
        <x:v>Transfer and later sale are recorded.</x:v>
      </x:c>
      <x:c r="E37" s="9" t="str">
        <x:v>The later fund does not establish expenditures before earlier confirmations.</x:v>
      </x:c>
      <x:c r="F37" s="9" t="str">
        <x:v>JU-04 JU-05</x:v>
      </x:c>
      <x:c r="G37" s="9" t="str">
        <x:v>Retains the dated source review; no additional finding made here.</x:v>
      </x:c>
      <x:c r="H37" s="12" t="str">
        <x:f>IFERROR(HYPERLINK(I37,"Open source"),"Open source")</x:f>
        <x:v>Open source</x:v>
      </x:c>
      <x:c r="I37" s="11" t="str">
        <x:v>https://docs.google.com/document/d/1eMHtb7af2W3QsTASP0sfStAy8XuAlmYk4gD3F52qr_w/edit</x:v>
      </x:c>
    </x:row>
    <x:row r="38" ht="39" customHeight="1">
      <x:c r="A38" s="9" t="str">
        <x:v>H34</x:v>
      </x:c>
      <x:c r="B38" s="9" t="str">
        <x:v>Judicial disclosures</x:v>
      </x:c>
      <x:c r="C38" s="9" t="str">
        <x:v>Thomas and Crow</x:v>
      </x:c>
      <x:c r="D38" s="9" t="str">
        <x:v>The review records benefits, amendment and referral disposition.</x:v>
      </x:c>
      <x:c r="E38" s="9" t="str">
        <x:v>A case-specific influence claim is separate from disclosure history.</x:v>
      </x:c>
      <x:c r="F38" s="9" t="str">
        <x:v>JU-06</x:v>
      </x:c>
      <x:c r="G38" s="9" t="str">
        <x:v>Retains the dated source review; no additional finding made here.</x:v>
      </x:c>
      <x:c r="H38" s="12" t="str">
        <x:f>IFERROR(HYPERLINK(I38,"Open source"),"Open source")</x:f>
        <x:v>Open source</x:v>
      </x:c>
      <x:c r="I38" s="11" t="str">
        <x:v>https://docs.google.com/document/d/1eMHtb7af2W3QsTASP0sfStAy8XuAlmYk4gD3F52qr_w/edit</x:v>
      </x:c>
    </x:row>
    <x:row r="39" ht="39" customHeight="1">
      <x:c r="A39" s="9" t="str">
        <x:v>H35</x:v>
      </x:c>
      <x:c r="B39" s="9" t="str">
        <x:v>Judicial disclosures</x:v>
      </x:c>
      <x:c r="C39" s="9" t="str">
        <x:v>Alito and Singer</x:v>
      </x:c>
      <x:c r="D39" s="9" t="str">
        <x:v>Hospitality reporting and Court participation are separately sourced.</x:v>
      </x:c>
      <x:c r="E39" s="9" t="str">
        <x:v>The NML result was 7–1; purchased influence is not established.</x:v>
      </x:c>
      <x:c r="F39" s="9" t="str">
        <x:v>JU-07</x:v>
      </x:c>
      <x:c r="G39" s="9" t="str">
        <x:v>Retains the dated source review; no additional finding made here.</x:v>
      </x:c>
      <x:c r="H39" s="12" t="str">
        <x:f>IFERROR(HYPERLINK(I39,"Open source"),"Open source")</x:f>
        <x:v>Open source</x:v>
      </x:c>
      <x:c r="I39" s="11" t="str">
        <x:v>https://docs.google.com/document/d/1eMHtb7af2W3QsTASP0sfStAy8XuAlmYk4gD3F52qr_w/edit</x:v>
      </x:c>
    </x:row>
    <x:row r="40" ht="39" customHeight="1">
      <x:c r="A40" s="9" t="str">
        <x:v>H36</x:v>
      </x:c>
      <x:c r="B40" s="9" t="str">
        <x:v>Judicial disclosures</x:v>
      </x:c>
      <x:c r="C40" s="9" t="str">
        <x:v>Gorsuch and Duffy</x:v>
      </x:c>
      <x:c r="D40" s="9" t="str">
        <x:v>A sale and buyer-identification reporting are retained.</x:v>
      </x:c>
      <x:c r="E40" s="9" t="str">
        <x:v>The source does not establish a causal case outcome.</x:v>
      </x:c>
      <x:c r="F40" s="9" t="str">
        <x:v>JU-08</x:v>
      </x:c>
      <x:c r="G40" s="9" t="str">
        <x:v>Retains the dated source review; no additional finding made here.</x:v>
      </x:c>
      <x:c r="H40" s="12" t="str">
        <x:f>IFERROR(HYPERLINK(I40,"Open source"),"Open source")</x:f>
        <x:v>Open source</x:v>
      </x:c>
      <x:c r="I40" s="11" t="str">
        <x:v>https://docs.google.com/document/d/1eMHtb7af2W3QsTASP0sfStAy8XuAlmYk4gD3F52qr_w/edit</x:v>
      </x:c>
    </x:row>
    <x:row r="41" ht="39" customHeight="1">
      <x:c r="A41" s="9" t="str">
        <x:v>H37</x:v>
      </x:c>
      <x:c r="B41" s="9" t="str">
        <x:v>Judicial disclosures</x:v>
      </x:c>
      <x:c r="C41" s="9" t="str">
        <x:v>Jane and John Roberts</x:v>
      </x:c>
      <x:c r="D41" s="9" t="str">
        <x:v>Compensation context, reporting and an affidavit are retained.</x:v>
      </x:c>
      <x:c r="E41" s="9" t="str">
        <x:v>The commission-to-firm-to-case-to-participation chain is incomplete.</x:v>
      </x:c>
      <x:c r="F41" s="9" t="str">
        <x:v>JU-09</x:v>
      </x:c>
      <x:c r="G41" s="9" t="str">
        <x:v>Retains the dated source review; no additional finding made here.</x:v>
      </x:c>
      <x:c r="H41" s="12" t="str">
        <x:f>IFERROR(HYPERLINK(I41,"Open source"),"Open source")</x:f>
        <x:v>Open source</x:v>
      </x:c>
      <x:c r="I41" s="11" t="str">
        <x:v>https://docs.google.com/document/d/1eMHtb7af2W3QsTASP0sfStAy8XuAlmYk4gD3F52qr_w/edit</x:v>
      </x:c>
    </x:row>
    <x:row r="42" ht="39" customHeight="1">
      <x:c r="A42" s="9" t="str">
        <x:v>H38</x:v>
      </x:c>
      <x:c r="B42" s="9" t="str">
        <x:v>Judicial disclosures</x:v>
      </x:c>
      <x:c r="C42" s="9" t="str">
        <x:v>Kavanaugh and Barrett</x:v>
      </x:c>
      <x:c r="D42" s="9" t="str">
        <x:v>The register contains annual disclosures.</x:v>
      </x:c>
      <x:c r="E42" s="9" t="str">
        <x:v>It does not identify a comparable personal benefit-to-case link in these entries.</x:v>
      </x:c>
      <x:c r="F42" s="9" t="str">
        <x:v>JU-10</x:v>
      </x:c>
      <x:c r="G42" s="9" t="str">
        <x:v>Retains the dated source review; no additional finding made here.</x:v>
      </x:c>
      <x:c r="H42" s="12" t="str">
        <x:f>IFERROR(HYPERLINK(I42,"Open source"),"Open source")</x:f>
        <x:v>Open source</x:v>
      </x:c>
      <x:c r="I42" s="11" t="str">
        <x:v>https://docs.google.com/document/d/1eMHtb7af2W3QsTASP0sfStAy8XuAlmYk4gD3F52qr_w/edit</x:v>
      </x:c>
    </x:row>
    <x:row r="43" ht="39" customHeight="1">
      <x:c r="A43" s="9" t="str">
        <x:v>H39</x:v>
      </x:c>
      <x:c r="B43" s="9" t="str">
        <x:v>Other asset rows</x:v>
      </x:c>
      <x:c r="C43" s="9" t="str">
        <x:v>Kennedy, Bondi, Gabbard, Hegseth, McConnell</x:v>
      </x:c>
      <x:c r="D43" s="9" t="str">
        <x:v>The review preserves separate historical assets, sales and reported relationships.</x:v>
      </x:c>
      <x:c r="E43" s="9" t="str">
        <x:v>Continuing holdings and matter-specific participation require separate records.</x:v>
      </x:c>
      <x:c r="F43" s="9" t="str">
        <x:v>KL-07</x:v>
      </x:c>
      <x:c r="G43" s="9" t="str">
        <x:v>Retains the dated source review; no additional finding made here.</x:v>
      </x:c>
      <x:c r="H43" s="12" t="str">
        <x:f>IFERROR(HYPERLINK(I43,"Open source"),"Open source")</x:f>
        <x:v>Open source</x:v>
      </x:c>
      <x:c r="I43" s="11" t="str">
        <x:v>https://docs.google.com/document/d/1eMHtb7af2W3QsTASP0sfStAy8XuAlmYk4gD3F52qr_w/edit</x:v>
      </x:c>
    </x:row>
    <x:row r="44" ht="39" customHeight="1">
      <x:c r="A44" s="9" t="str">
        <x:v>H40</x:v>
      </x:c>
      <x:c r="B44" s="9" t="str">
        <x:v>Other official roles</x:v>
      </x:c>
      <x:c r="C44" s="9" t="str">
        <x:v>Miller, Rubio and media transmission</x:v>
      </x:c>
      <x:c r="D44" s="9" t="str">
        <x:v>Public offices and statements are retained.</x:v>
      </x:c>
      <x:c r="E44" s="9" t="str">
        <x:v>Title or similar wording does not identify authorship of a named decision.</x:v>
      </x:c>
      <x:c r="F44" s="9" t="str"/>
      <x:c r="G44" s="9" t="str">
        <x:v>Retains the dated source review; no additional finding made here.</x:v>
      </x:c>
      <x:c r="H44" s="12" t="str">
        <x:f>IFERROR(HYPERLINK(I44,"Open source"),"Open source")</x:f>
        <x:v>Open source</x:v>
      </x:c>
      <x:c r="I44" s="11" t="str">
        <x:v>https://docs.google.com/document/d/1eMHtb7af2W3QsTASP0sfStAy8XuAlmYk4gD3F52qr_w/edit</x:v>
      </x:c>
    </x:row>
    <x:row r="45" ht="39" customHeight="1">
      <x:c r="A45" s="9" t="str">
        <x:v>H41</x:v>
      </x:c>
      <x:c r="B45" s="9" t="str">
        <x:v>Oversight</x:v>
      </x:c>
      <x:c r="C45" s="9" t="str">
        <x:v>Implementation of review outcomes</x:v>
      </x:c>
      <x:c r="D45" s="9" t="str">
        <x:v>The review distinguishes an oversight process from its implementation.</x:v>
      </x:c>
      <x:c r="E45" s="9" t="str">
        <x:v>A specific remedy or interference record is different from institutional existence.</x:v>
      </x:c>
      <x:c r="F45" s="9" t="str"/>
      <x:c r="G45" s="9" t="str">
        <x:v>Retains the dated source review; no additional finding made here.</x:v>
      </x:c>
      <x:c r="H45" s="12" t="str">
        <x:f>IFERROR(HYPERLINK(I45,"Open source"),"Open source")</x:f>
        <x:v>Open source</x:v>
      </x:c>
      <x:c r="I45" s="11" t="str">
        <x:v>https://docs.google.com/document/d/1eMHtb7af2W3QsTASP0sfStAy8XuAlmYk4gD3F52qr_w/edit</x:v>
      </x:c>
    </x:row>
    <x:row r="46" ht="39" customHeight="1">
      <x:c r="A46" s="9" t="str">
        <x:v>H42</x:v>
      </x:c>
      <x:c r="B46" s="9" t="str">
        <x:v>Corporate governance</x:v>
      </x:c>
      <x:c r="C46" s="9" t="str">
        <x:v>OpenAI control and state review</x:v>
      </x:c>
      <x:c r="D46" s="9" t="str">
        <x:v>State records document review and described governance safeguards.</x:v>
      </x:c>
      <x:c r="E46" s="9" t="str">
        <x:v>Underlying charter and valuation materials are not reproduced by commentary.</x:v>
      </x:c>
      <x:c r="F46" s="9" t="str"/>
      <x:c r="G46" s="9" t="str">
        <x:v>California agreement and Delaware review checked; outside review is documented: N-05 and N-06.</x:v>
      </x:c>
      <x:c r="H46" s="12" t="str">
        <x:f>IFERROR(HYPERLINK(I46,"Open source"),"Open source")</x:f>
        <x:v>Open source</x:v>
      </x:c>
      <x:c r="I46" s="11" t="str">
        <x:v>https://docs.google.com/document/d/1eMHtb7af2W3QsTASP0sfStAy8XuAlmYk4gD3F52qr_w/edit</x:v>
      </x:c>
    </x:row>
    <x:row r="47" ht="39" customHeight="1">
      <x:c r="A47" s="9" t="str">
        <x:v>H43</x:v>
      </x:c>
      <x:c r="B47" s="9" t="str">
        <x:v>Corporate transactions</x:v>
      </x:c>
      <x:c r="C47" s="9" t="str">
        <x:v>Altman interests and recusals</x:v>
      </x:c>
      <x:c r="D47" s="9" t="str">
        <x:v>The sources distinguish investments, board roles, proposals and transactions.</x:v>
      </x:c>
      <x:c r="E47" s="9" t="str">
        <x:v>Complete contemporaneous participation records were not recovered.</x:v>
      </x:c>
      <x:c r="F47" s="9" t="str"/>
      <x:c r="G47" s="9" t="str">
        <x:v>Reuters reports March 2026 Helion board departure: N-08.</x:v>
      </x:c>
      <x:c r="H47" s="12" t="str">
        <x:f>IFERROR(HYPERLINK(I47,"Open source"),"Open source")</x:f>
        <x:v>Open source</x:v>
      </x:c>
      <x:c r="I47" s="11" t="str">
        <x:v>https://docs.google.com/document/d/1eMHtb7af2W3QsTASP0sfStAy8XuAlmYk4gD3F52qr_w/edit</x:v>
      </x:c>
    </x:row>
    <x:row r="48" ht="39" customHeight="1">
      <x:c r="A48" s="9" t="str">
        <x:v>H44</x:v>
      </x:c>
      <x:c r="B48" s="9" t="str">
        <x:v>Copyright</x:v>
      </x:c>
      <x:c r="C48" s="9" t="str">
        <x:v>Acquisition, use and remedy</x:v>
      </x:c>
      <x:c r="D48" s="9" t="str">
        <x:v>The source distinguishes training-use analysis from acquisition of copies.</x:v>
      </x:c>
      <x:c r="E48" s="9" t="str">
        <x:v>A settlement is not a universal future-use license.</x:v>
      </x:c>
      <x:c r="F48" s="9" t="str"/>
      <x:c r="G48" s="9" t="str">
        <x:v>Final approval order dated 20 July 2026 checked: N-09.</x:v>
      </x:c>
      <x:c r="H48" s="12" t="str">
        <x:f>IFERROR(HYPERLINK(I48,"Open source"),"Open source")</x:f>
        <x:v>Open source</x:v>
      </x:c>
      <x:c r="I48" s="11" t="str">
        <x:v>https://docs.google.com/document/d/1eMHtb7af2W3QsTASP0sfStAy8XuAlmYk4gD3F52qr_w/edit</x:v>
      </x:c>
    </x:row>
    <x:row r="49" ht="39" customHeight="1">
      <x:c r="A49" s="9" t="str">
        <x:v>H45</x:v>
      </x:c>
      <x:c r="B49" s="9" t="str">
        <x:v>Energy</x:v>
      </x:c>
      <x:c r="C49" s="9" t="str">
        <x:v>Data-center cost allocation</x:v>
      </x:c>
      <x:c r="D49" s="9" t="str">
        <x:v>The collection includes regional studies, tariffs and differing price measures.</x:v>
      </x:c>
      <x:c r="E49" s="9" t="str">
        <x:v>Load or price growth alone does not establish a particular household subsidy.</x:v>
      </x:c>
      <x:c r="F49" s="9" t="str"/>
      <x:c r="G49" s="9" t="str">
        <x:v>Retains the dated source review; no additional finding made here.</x:v>
      </x:c>
      <x:c r="H49" s="12" t="str">
        <x:f>IFERROR(HYPERLINK(I49,"Open source"),"Open source")</x:f>
        <x:v>Open source</x:v>
      </x:c>
      <x:c r="I49" s="11" t="str">
        <x:v>https://docs.google.com/document/d/1eMHtb7af2W3QsTASP0sfStAy8XuAlmYk4gD3F52qr_w/edit</x:v>
      </x:c>
    </x:row>
    <x:row r="50" ht="39" customHeight="1">
      <x:c r="A50" s="9" t="str">
        <x:v>H46</x:v>
      </x:c>
      <x:c r="B50" s="9" t="str">
        <x:v>Defense / religion</x:v>
      </x:c>
      <x:c r="C50" s="9" t="str">
        <x:v>Technology, grants and curriculum</x:v>
      </x:c>
      <x:c r="D50" s="9" t="str">
        <x:v>The index carries dated acts, proposals and research leads.</x:v>
      </x:c>
      <x:c r="E50" s="9" t="str">
        <x:v>It does not establish merged command, completed construction or uniform donor intent.</x:v>
      </x:c>
      <x:c r="F50" s="9" t="str"/>
      <x:c r="G50" s="9" t="str">
        <x:v>Retains the dated source review; no additional finding made here.</x:v>
      </x:c>
      <x:c r="H50" s="12" t="str">
        <x:f>IFERROR(HYPERLINK(I50,"Open source"),"Open source")</x:f>
        <x:v>Open source</x:v>
      </x:c>
      <x:c r="I50" s="11" t="str">
        <x:v>https://docs.google.com/document/d/1eMHtb7af2W3QsTASP0sfStAy8XuAlmYk4gD3F52qr_w/edit</x:v>
      </x:c>
    </x:row>
    <x:row r="51" ht="39" customHeight="1">
      <x:c r="A51" s="9" t="str">
        <x:v>H47</x:v>
      </x:c>
      <x:c r="B51" s="9" t="str">
        <x:v>Constitutional record</x:v>
      </x:c>
      <x:c r="C51" s="9" t="str">
        <x:v>Cross-institution synthesis</x:v>
      </x:c>
      <x:c r="D51" s="9" t="str">
        <x:v>Separate instruments address authority, procedure and review.</x:v>
      </x:c>
      <x:c r="E51" s="9" t="str">
        <x:v>The manuscripts' broad classifications are not adjudicated composite findings.</x:v>
      </x:c>
      <x:c r="F51" s="9" t="str"/>
      <x:c r="G51" s="9" t="str">
        <x:v>Historical Court opinions and EO linked: N-11–N-13.</x:v>
      </x:c>
      <x:c r="H51" s="12" t="str">
        <x:f>IFERROR(HYPERLINK(I51,"Open source"),"Open source")</x:f>
        <x:v>Open source</x:v>
      </x:c>
      <x:c r="I51" s="11" t="str">
        <x:v>https://docs.google.com/document/d/1eMHtb7af2W3QsTASP0sfStAy8XuAlmYk4gD3F52qr_w/edit</x:v>
      </x:c>
    </x:row>
    <x:row r="52" ht="39" customHeight="1">
      <x:c r="A52" s="9" t="str">
        <x:v>H48</x:v>
      </x:c>
      <x:c r="B52" s="9" t="str">
        <x:v>Economic archive</x:v>
      </x:c>
      <x:c r="C52" s="9" t="str">
        <x:v>Wobble version changes</x:v>
      </x:c>
      <x:c r="D52" s="9" t="str">
        <x:v>July and August snapshots preserve different indicators and corrections.</x:v>
      </x:c>
      <x:c r="E52" s="9" t="str">
        <x:v>These are dated source-model descriptions, not a current forecast.</x:v>
      </x:c>
      <x:c r="F52" s="9" t="str"/>
      <x:c r="G52" s="9" t="str">
        <x:v>Retains the dated source review; no additional finding made here.</x:v>
      </x:c>
      <x:c r="H52" s="12" t="str">
        <x:f>IFERROR(HYPERLINK(I52,"Open source"),"Open source")</x:f>
        <x:v>Open source</x:v>
      </x:c>
      <x:c r="I52" s="11" t="str">
        <x:v>https://docs.google.com/document/d/1eMHtb7af2W3QsTASP0sfStAy8XuAlmYk4gD3F52qr_w/edit</x:v>
      </x:c>
    </x:row>
    <x:row r="53" ht="39" customHeight="1">
      <x:c r="A53" s="9" t="str">
        <x:v>H49</x:v>
      </x:c>
      <x:c r="B53" s="9" t="str">
        <x:v>Economic archive</x:v>
      </x:c>
      <x:c r="C53" s="9" t="str">
        <x:v>Scenario definitions and outcomes</x:v>
      </x:c>
      <x:c r="D53" s="9" t="str">
        <x:v>The review records changed scenario formulations and remaining causal questions.</x:v>
      </x:c>
      <x:c r="E53" s="9" t="str">
        <x:v>A revised definition is distinct from new confirming evidence.</x:v>
      </x:c>
      <x:c r="F53" s="9" t="str"/>
      <x:c r="G53" s="9" t="str">
        <x:v>Retains the dated source review; no additional finding made here.</x:v>
      </x:c>
      <x:c r="H53" s="12" t="str">
        <x:f>IFERROR(HYPERLINK(I53,"Open source"),"Open source")</x:f>
        <x:v>Open source</x:v>
      </x:c>
      <x:c r="I53" s="11" t="str">
        <x:v>https://docs.google.com/document/d/1eMHtb7af2W3QsTASP0sfStAy8XuAlmYk4gD3F52qr_w/edit</x:v>
      </x:c>
    </x:row>
    <x:row r="54" ht="39" customHeight="1">
      <x:c r="A54" s="9" t="str">
        <x:v>H50</x:v>
      </x:c>
      <x:c r="B54" s="9" t="str">
        <x:v>Synthetic identity</x:v>
      </x:c>
      <x:c r="C54" s="9" t="str">
        <x:v>Attribution and correction</x:v>
      </x:c>
      <x:c r="D54" s="9" t="str">
        <x:v>The collection contains identity/provenance arguments and recorded behavior reviews.</x:v>
      </x:c>
      <x:c r="E54" s="9" t="str">
        <x:v>A generated explanation is not independent proof of internal cause.</x:v>
      </x:c>
      <x:c r="F54" s="9" t="str"/>
      <x:c r="G54" s="9" t="str">
        <x:v>Disclosed synthetic-presentation report checked: N-10.</x:v>
      </x:c>
      <x:c r="H54" s="12" t="str">
        <x:f>IFERROR(HYPERLINK(I54,"Open source"),"Open source")</x:f>
        <x:v>Open source</x:v>
      </x:c>
      <x:c r="I54" s="11" t="str">
        <x:v>https://docs.google.com/document/d/1eMHtb7af2W3QsTASP0sfStAy8XuAlmYk4gD3F52qr_w/edit</x:v>
      </x:c>
    </x:row>
    <x:row r="55" ht="39" customHeight="1">
      <x:c r="A55" s="9" t="str">
        <x:v>H51</x:v>
      </x:c>
      <x:c r="B55" s="9" t="str">
        <x:v>Conversation audit</x:v>
      </x:c>
      <x:c r="C55" s="9" t="str">
        <x:v>Behavior and attribution</x:v>
      </x:c>
      <x:c r="D55" s="9" t="str">
        <x:v>The review retains reported output failures and internal discrepancies.</x:v>
      </x:c>
      <x:c r="E55" s="9" t="str">
        <x:v>This edition did not reproduce the original conversation coding.</x:v>
      </x:c>
      <x:c r="F55" s="9" t="str"/>
      <x:c r="G55" s="9" t="str">
        <x:v>Retains the dated source review; no additional finding made here.</x:v>
      </x:c>
      <x:c r="H55" s="12" t="str">
        <x:f>IFERROR(HYPERLINK(I55,"Open source"),"Open source")</x:f>
        <x:v>Open source</x:v>
      </x:c>
      <x:c r="I55" s="11" t="str">
        <x:v>https://docs.google.com/document/d/1eMHtb7af2W3QsTASP0sfStAy8XuAlmYk4gD3F52qr_w/edit</x:v>
      </x:c>
    </x:row>
    <x:row r="56" ht="39" customHeight="1">
      <x:c r="A56" s="9" t="str">
        <x:v>H52</x:v>
      </x:c>
      <x:c r="B56" s="9" t="str">
        <x:v>Source history</x:v>
      </x:c>
      <x:c r="C56" s="9" t="str">
        <x:v>Recovered registers and distinct versions</x:v>
      </x:c>
      <x:c r="D56" s="9" t="str">
        <x:v>Both v0.2 source schemes and their companion documents are present.</x:v>
      </x:c>
      <x:c r="E56" s="9" t="str">
        <x:v>Same version label does not establish identical source IDs.</x:v>
      </x:c>
      <x:c r="F56" s="9" t="str"/>
      <x:c r="G56" s="9" t="str">
        <x:v>Retains the dated source review; no additional finding made here.</x:v>
      </x:c>
      <x:c r="H56" s="12" t="str">
        <x:f>IFERROR(HYPERLINK(I56,"Open source"),"Open source")</x:f>
        <x:v>Open source</x:v>
      </x:c>
      <x:c r="I56" s="11" t="str">
        <x:v>https://docs.google.com/document/d/1eMHtb7af2W3QsTASP0sfStAy8XuAlmYk4gD3F52qr_w/edit</x:v>
      </x:c>
    </x:row>
    <x:row r="57" ht="39" customHeight="1">
      <x:c r="A57" s="9" t="str">
        <x:v>H53</x:v>
      </x:c>
      <x:c r="B57" s="9" t="str">
        <x:v>Method history</x:v>
      </x:c>
      <x:c r="C57" s="9" t="str">
        <x:v>Changing proof requirements</x:v>
      </x:c>
      <x:c r="D57" s="9" t="str">
        <x:v>The review records disagreements about source standards and revision rules.</x:v>
      </x:c>
      <x:c r="E57" s="9" t="str">
        <x:v>The workbook preserves those as document history, not new political ratings.</x:v>
      </x:c>
      <x:c r="F57" s="9" t="str"/>
      <x:c r="G57" s="9" t="str">
        <x:v>Retains the dated source review; no additional finding made here.</x:v>
      </x:c>
      <x:c r="H57" s="12" t="str">
        <x:f>IFERROR(HYPERLINK(I57,"Open source"),"Open source")</x:f>
        <x:v>Open source</x:v>
      </x:c>
      <x:c r="I57" s="11" t="str">
        <x:v>https://docs.google.com/document/d/1eMHtb7af2W3QsTASP0sfStAy8XuAlmYk4gD3F52qr_w/edit</x:v>
      </x:c>
    </x:row>
    <x:row r="58" ht="39" customHeight="1">
      <x:c r="A58" s="9" t="str">
        <x:v>H54</x:v>
      </x:c>
      <x:c r="B58" s="9" t="str">
        <x:v>Corpus history</x:v>
      </x:c>
      <x:c r="C58" s="9" t="str">
        <x:v>Duplicates and recurring source leads</x:v>
      </x:c>
      <x:c r="D58" s="9" t="str">
        <x:v>Repeated documents and requests are consolidated while corrections remain visible.</x:v>
      </x:c>
      <x:c r="E58" s="9" t="str">
        <x:v>Duplicate summaries are not additional external witnesses.</x:v>
      </x:c>
      <x:c r="F58" s="9" t="str"/>
      <x:c r="G58" s="9" t="str">
        <x:v>Retains the dated source review; no additional finding made here.</x:v>
      </x:c>
      <x:c r="H58" s="12" t="str">
        <x:f>IFERROR(HYPERLINK(I58,"Open source"),"Open source")</x:f>
        <x:v>Open source</x:v>
      </x:c>
      <x:c r="I58" s="11" t="str">
        <x:v>https://docs.google.com/document/d/1eMHtb7af2W3QsTASP0sfStAy8XuAlmYk4gD3F52qr_w/edit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90a8bf5688340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2" hidden="0" customWidth="1"/>
    <x:col min="3" max="3" width="21" hidden="0" customWidth="1"/>
    <x:col min="4" max="4" width="26" hidden="0" customWidth="1"/>
    <x:col min="5" max="5" width="80" hidden="0" customWidth="1"/>
    <x:col min="6" max="6" width="56" hidden="0" customWidth="1"/>
    <x:col min="7" max="7" width="18" hidden="0" customWidth="1"/>
    <x:col min="8" max="8" width="75" hidden="0" customWidth="1"/>
  </x:cols>
  <x:sheetData>
    <x:row r="1" ht="38" customHeight="1">
      <x:c r="A1" s="4" t="str">
        <x:v>CLAIM LINEAGE · 52 EARLIER ENTRIES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6" t="str">
        <x:v>All RP / CR / TC / PL / PA / JU identifiers are preserved. Topics identify research propositions; the H map contains later corrections.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8" t="str">
        <x:v>ID</x:v>
      </x:c>
      <x:c r="B4" s="8" t="str">
        <x:v>Research topic</x:v>
      </x:c>
      <x:c r="C4" s="8" t="str">
        <x:v>Later H entries</x:v>
      </x:c>
      <x:c r="D4" s="8" t="str">
        <x:v>Source IDs explicitly listed</x:v>
      </x:c>
      <x:c r="E4" s="8" t="str">
        <x:v>Original source lineage</x:v>
      </x:c>
      <x:c r="F4" s="8" t="str">
        <x:v>Context</x:v>
      </x:c>
      <x:c r="G4" s="8" t="str">
        <x:v>Latest review</x:v>
      </x:c>
      <x:c r="H4" s="8" t="str">
        <x:v>Raw URL</x:v>
      </x:c>
    </x:row>
    <x:row r="5" ht="39" customHeight="1">
      <x:c r="A5" s="9" t="str">
        <x:v>RP-01</x:v>
      </x:c>
      <x:c r="B5" s="9" t="str">
        <x:v>Faith Office is formally housed in the DPC with coordinating functions.</x:v>
      </x:c>
      <x:c r="C5" s="9" t="str">
        <x:v>H01</x:v>
      </x:c>
      <x:c r="D5" s="9" t="str">
        <x:v>R-01</x:v>
      </x:c>
      <x:c r="E5" s="9" t="str">
        <x:v>R-01. Lineage SYN-002 §4 RP-01; PROV-001 P005–P006.</x:v>
      </x:c>
      <x:c r="F5" s="9" t="str">
        <x:v>Research proposition from the earlier register; see linked H entries for dated corrections.</x:v>
      </x:c>
      <x:c r="G5" s="12" t="str">
        <x:f>IFERROR(HYPERLINK(H5,"Open H review"),"Open H review")</x:f>
        <x:v>Open H review</x:v>
      </x:c>
      <x:c r="H5" s="11" t="str">
        <x:v>https://docs.google.com/document/d/1eMHtb7af2W3QsTASP0sfStAy8XuAlmYk4gD3F52qr_w/edit</x:v>
      </x:c>
    </x:row>
    <x:row r="6" ht="39" customHeight="1">
      <x:c r="A6" s="9" t="str">
        <x:v>RP-02</x:v>
      </x:c>
      <x:c r="B6" s="9" t="str">
        <x:v>White-Cain has a senior role; the Office may consult faith/community leaders and recommend policy.</x:v>
      </x:c>
      <x:c r="C6" s="9" t="str">
        <x:v>H01</x:v>
      </x:c>
      <x:c r="D6" s="9" t="str">
        <x:v>R-01, R-02</x:v>
      </x:c>
      <x:c r="E6" s="9" t="str">
        <x:v>R-01, R-02. Lineage PROV-001 P006, P015.</x:v>
      </x:c>
      <x:c r="F6" s="9" t="str">
        <x:v>Research proposition from the earlier register; see linked H entries for dated corrections.</x:v>
      </x:c>
      <x:c r="G6" s="12" t="str">
        <x:f>IFERROR(HYPERLINK(H6,"Open H review"),"Open H review")</x:f>
        <x:v>Open H review</x:v>
      </x:c>
      <x:c r="H6" s="11" t="str">
        <x:v>https://docs.google.com/document/d/1eMHtb7af2W3QsTASP0sfStAy8XuAlmYk4gD3F52qr_w/edit</x:v>
      </x:c>
    </x:row>
    <x:row r="7" ht="39" customHeight="1">
      <x:c r="A7" s="9" t="str">
        <x:v>RP-03</x:v>
      </x:c>
      <x:c r="B7" s="9" t="str">
        <x:v>Office may collaborate with AG and coordinate agencies/grants.</x:v>
      </x:c>
      <x:c r="C7" s="9" t="str">
        <x:v>H01</x:v>
      </x:c>
      <x:c r="D7" s="9" t="str">
        <x:v>R-01</x:v>
      </x:c>
      <x:c r="E7" s="9" t="str">
        <x:v>R-01. Lineage PROV-001 P006, P009, P016–P017.</x:v>
      </x:c>
      <x:c r="F7" s="9" t="str">
        <x:v>Research proposition from the earlier register; see linked H entries for dated corrections.</x:v>
      </x:c>
      <x:c r="G7" s="12" t="str">
        <x:f>IFERROR(HYPERLINK(H7,"Open H review"),"Open H review")</x:f>
        <x:v>Open H review</x:v>
      </x:c>
      <x:c r="H7" s="11" t="str">
        <x:v>https://docs.google.com/document/d/1eMHtb7af2W3QsTASP0sfStAy8XuAlmYk4gD3F52qr_w/edit</x:v>
      </x:c>
    </x:row>
    <x:row r="8" ht="39" customHeight="1">
      <x:c r="A8" s="9" t="str">
        <x:v>RP-04</x:v>
      </x:c>
      <x:c r="B8" s="9" t="str">
        <x:v>DOJ-chaired broad interagency anti-Christian-bias task force exists and met.</x:v>
      </x:c>
      <x:c r="C8" s="9" t="str">
        <x:v>H01</x:v>
      </x:c>
      <x:c r="D8" s="9" t="str">
        <x:v>R-03, R-04</x:v>
      </x:c>
      <x:c r="E8" s="9" t="str">
        <x:v>R-03, R-04. Lineage PROV-001 P007, P010, P018–P020.</x:v>
      </x:c>
      <x:c r="F8" s="9" t="str">
        <x:v>Research proposition from the earlier register; see linked H entries for dated corrections.</x:v>
      </x:c>
      <x:c r="G8" s="12" t="str">
        <x:f>IFERROR(HYPERLINK(H8,"Open H review"),"Open H review")</x:f>
        <x:v>Open H review</x:v>
      </x:c>
      <x:c r="H8" s="11" t="str">
        <x:v>https://docs.google.com/document/d/1eMHtb7af2W3QsTASP0sfStAy8XuAlmYk4gD3F52qr_w/edit</x:v>
      </x:c>
    </x:row>
    <x:row r="9" ht="39" customHeight="1">
      <x:c r="A9" s="9" t="str">
        <x:v>RP-05</x:v>
      </x:c>
      <x:c r="B9" s="9" t="str">
        <x:v>Religious-liberty policy converted into government-wide administrative guidance.</x:v>
      </x:c>
      <x:c r="C9" s="9" t="str">
        <x:v>H01</x:v>
      </x:c>
      <x:c r="D9" s="9" t="str">
        <x:v>R-05</x:v>
      </x:c>
      <x:c r="E9" s="9" t="str">
        <x:v>R-05. Lineage PROV-001 P012, P021, P073–P076.</x:v>
      </x:c>
      <x:c r="F9" s="9" t="str">
        <x:v>Research proposition from the earlier register; see linked H entries for dated corrections.</x:v>
      </x:c>
      <x:c r="G9" s="12" t="str">
        <x:f>IFERROR(HYPERLINK(H9,"Open H review"),"Open H review")</x:f>
        <x:v>Open H review</x:v>
      </x:c>
      <x:c r="H9" s="11" t="str">
        <x:v>https://docs.google.com/document/d/1eMHtb7af2W3QsTASP0sfStAy8XuAlmYk4gD3F52qr_w/edit</x:v>
      </x:c>
    </x:row>
    <x:row r="10" ht="39" customHeight="1">
      <x:c r="A10" s="9" t="str">
        <x:v>RP-06</x:v>
      </x:c>
      <x:c r="B10" s="9" t="str">
        <x:v>Application in a named religious-policy matter</x:v>
      </x:c>
      <x:c r="C10" s="9" t="str">
        <x:v>H02</x:v>
      </x:c>
      <x:c r="D10" s="9" t="str">
        <x:v>R-01, R-05</x:v>
      </x:c>
      <x:c r="E10" s="9" t="str">
        <x:v>R-01–R-05 support route only; MISS-RP-01. Lineage PROV-001 P022–P027.</x:v>
      </x:c>
      <x:c r="F10" s="9" t="str">
        <x:v>Research proposition from the earlier register; see linked H entries for dated corrections.</x:v>
      </x:c>
      <x:c r="G10" s="12" t="str">
        <x:f>IFERROR(HYPERLINK(H10,"Open H review"),"Open H review")</x:f>
        <x:v>Open H review</x:v>
      </x:c>
      <x:c r="H10" s="11" t="str">
        <x:v>https://docs.google.com/document/d/1eMHtb7af2W3QsTASP0sfStAy8XuAlmYk4gD3F52qr_w/edit</x:v>
      </x:c>
    </x:row>
    <x:row r="11" ht="39" customHeight="1">
      <x:c r="A11" s="9" t="str">
        <x:v>CR-01</x:v>
      </x:c>
      <x:c r="B11" s="9" t="str">
        <x:v>Blanche entered DOJ with disclosed crypto interests.</x:v>
      </x:c>
      <x:c r="C11" s="9" t="str">
        <x:v>H04</x:v>
      </x:c>
      <x:c r="D11" s="9" t="str">
        <x:v>C-01</x:v>
      </x:c>
      <x:c r="E11" s="9" t="str">
        <x:v>C-01. Lineage PROV-001 P054, P212–P216.</x:v>
      </x:c>
      <x:c r="F11" s="9" t="str">
        <x:v>Research proposition from the earlier register; see linked H entries for dated corrections.</x:v>
      </x:c>
      <x:c r="G11" s="12" t="str">
        <x:f>IFERROR(HYPERLINK(H11,"Open H review"),"Open H review")</x:f>
        <x:v>Open H review</x:v>
      </x:c>
      <x:c r="H11" s="11" t="str">
        <x:v>https://docs.google.com/document/d/1eMHtb7af2W3QsTASP0sfStAy8XuAlmYk4gD3F52qr_w/edit</x:v>
      </x:c>
    </x:row>
    <x:row r="12" ht="39" customHeight="1">
      <x:c r="A12" s="9" t="str">
        <x:v>CR-02</x:v>
      </x:c>
      <x:c r="B12" s="9" t="str">
        <x:v>Ethics agreement required divestiture and interim nonparticipation in covered matters.</x:v>
      </x:c>
      <x:c r="C12" s="9" t="str">
        <x:v>H04</x:v>
      </x:c>
      <x:c r="D12" s="9" t="str">
        <x:v>C-02</x:v>
      </x:c>
      <x:c r="E12" s="9" t="str">
        <x:v>C-02. Lineage PROV-001 P057, P217–P220.</x:v>
      </x:c>
      <x:c r="F12" s="9" t="str">
        <x:v>Research proposition from the earlier register; see linked H entries for dated corrections.</x:v>
      </x:c>
      <x:c r="G12" s="12" t="str">
        <x:f>IFERROR(HYPERLINK(H12,"Open H review"),"Open H review")</x:f>
        <x:v>Open H review</x:v>
      </x:c>
      <x:c r="H12" s="11" t="str">
        <x:v>https://docs.google.com/document/d/1eMHtb7af2W3QsTASP0sfStAy8XuAlmYk4gD3F52qr_w/edit</x:v>
      </x:c>
    </x:row>
    <x:row r="13" ht="39" customHeight="1">
      <x:c r="A13" s="9" t="str">
        <x:v>CR-03</x:v>
      </x:c>
      <x:c r="B13" s="9" t="str">
        <x:v>April 7 memo preceded relevant dispositions.</x:v>
      </x:c>
      <x:c r="C13" s="9" t="str">
        <x:v>H04</x:v>
      </x:c>
      <x:c r="D13" s="9" t="str">
        <x:v>C-02, C-03, C-04</x:v>
      </x:c>
      <x:c r="E13" s="9" t="str">
        <x:v>C-02, C-03, C-04. Lineage PROV-001 P054–P057, P219–P222.</x:v>
      </x:c>
      <x:c r="F13" s="9" t="str">
        <x:v>Research proposition from the earlier register; see linked H entries for dated corrections.</x:v>
      </x:c>
      <x:c r="G13" s="12" t="str">
        <x:f>IFERROR(HYPERLINK(H13,"Open H review"),"Open H review")</x:f>
        <x:v>Open H review</x:v>
      </x:c>
      <x:c r="H13" s="11" t="str">
        <x:v>https://docs.google.com/document/d/1eMHtb7af2W3QsTASP0sfStAy8XuAlmYk4gD3F52qr_w/edit</x:v>
      </x:c>
    </x:row>
    <x:row r="14" ht="39" customHeight="1">
      <x:c r="A14" s="9" t="str">
        <x:v>CR-04</x:v>
      </x:c>
      <x:c r="B14" s="9" t="str">
        <x:v>Memo materially changed digital-asset enforcement.</x:v>
      </x:c>
      <x:c r="C14" s="9" t="str">
        <x:v>H04</x:v>
      </x:c>
      <x:c r="D14" s="9" t="str">
        <x:v>C-03</x:v>
      </x:c>
      <x:c r="E14" s="9" t="str">
        <x:v>C-03. Lineage PROV-001 P054, P220.</x:v>
      </x:c>
      <x:c r="F14" s="9" t="str">
        <x:v>Research proposition from the earlier register; see linked H entries for dated corrections.</x:v>
      </x:c>
      <x:c r="G14" s="12" t="str">
        <x:f>IFERROR(HYPERLINK(H14,"Open H review"),"Open H review")</x:f>
        <x:v>Open H review</x:v>
      </x:c>
      <x:c r="H14" s="11" t="str">
        <x:v>https://docs.google.com/document/d/1eMHtb7af2W3QsTASP0sfStAy8XuAlmYk4gD3F52qr_w/edit</x:v>
      </x:c>
    </x:row>
    <x:row r="15" ht="39" customHeight="1">
      <x:c r="A15" s="9" t="str">
        <x:v>CR-05</x:v>
      </x:c>
      <x:c r="B15" s="9" t="str">
        <x:v>Relevant dispositions occurred after April 7.</x:v>
      </x:c>
      <x:c r="C15" s="9" t="str">
        <x:v>H04, H07</x:v>
      </x:c>
      <x:c r="D15" s="9" t="str">
        <x:v>C-04</x:v>
      </x:c>
      <x:c r="E15" s="9" t="str">
        <x:v>C-04; MISS-CR-02. Lineage PROV-001 P054, P221–P223.</x:v>
      </x:c>
      <x:c r="F15" s="9" t="str">
        <x:v>Research proposition from the earlier register; see linked H entries for dated corrections.</x:v>
      </x:c>
      <x:c r="G15" s="12" t="str">
        <x:f>IFERROR(HYPERLINK(H15,"Open H review"),"Open H review")</x:f>
        <x:v>Open H review</x:v>
      </x:c>
      <x:c r="H15" s="11" t="str">
        <x:v>https://docs.google.com/document/d/1eMHtb7af2W3QsTASP0sfStAy8XuAlmYk4gD3F52qr_w/edit</x:v>
      </x:c>
    </x:row>
    <x:row r="16" ht="39" customHeight="1">
      <x:c r="A16" s="9" t="str">
        <x:v>CR-06</x:v>
      </x:c>
      <x:c r="B16" s="9" t="str">
        <x:v>DOJ asserted prior clearance.</x:v>
      </x:c>
      <x:c r="C16" s="9" t="str">
        <x:v>H05</x:v>
      </x:c>
      <x:c r="D16" s="9" t="str">
        <x:v>C-05</x:v>
      </x:c>
      <x:c r="E16" s="9" t="str">
        <x:v>C-05; MISS-CR-01. Lineage PROV-001 P224–P227.</x:v>
      </x:c>
      <x:c r="F16" s="9" t="str">
        <x:v>Research proposition from the earlier register; see linked H entries for dated corrections.</x:v>
      </x:c>
      <x:c r="G16" s="12" t="str">
        <x:f>IFERROR(HYPERLINK(H16,"Open H review"),"Open H review")</x:f>
        <x:v>Open H review</x:v>
      </x:c>
      <x:c r="H16" s="11" t="str">
        <x:v>https://docs.google.com/document/d/1eMHtb7af2W3QsTASP0sfStAy8XuAlmYk4gD3F52qr_w/edit</x:v>
      </x:c>
    </x:row>
    <x:row r="17" ht="39" customHeight="1">
      <x:c r="A17" s="9" t="str">
        <x:v>CR-07</x:v>
      </x:c>
      <x:c r="B17" s="9" t="str">
        <x:v>Senate requests publicly listed unanswered/insufficient.</x:v>
      </x:c>
      <x:c r="C17" s="9" t="str">
        <x:v>H06</x:v>
      </x:c>
      <x:c r="D17" s="9" t="str">
        <x:v>C-06, C-07</x:v>
      </x:c>
      <x:c r="E17" s="9" t="str">
        <x:v>C-06, C-07. Lineage PROV-001 P228–P231.</x:v>
      </x:c>
      <x:c r="F17" s="9" t="str">
        <x:v>Research proposition from the earlier register; see linked H entries for dated corrections.</x:v>
      </x:c>
      <x:c r="G17" s="12" t="str">
        <x:f>IFERROR(HYPERLINK(H17,"Open H review"),"Open H review")</x:f>
        <x:v>Open H review</x:v>
      </x:c>
      <x:c r="H17" s="11" t="str">
        <x:v>https://docs.google.com/document/d/1eMHtb7af2W3QsTASP0sfStAy8XuAlmYk4gD3F52qr_w/edit</x:v>
      </x:c>
    </x:row>
    <x:row r="18" ht="39" customHeight="1">
      <x:c r="A18" s="9" t="str">
        <x:v>CR-08</x:v>
      </x:c>
      <x:c r="B18" s="9" t="str">
        <x:v>Application of §208 to the April memorandum</x:v>
      </x:c>
      <x:c r="C18" s="9" t="str">
        <x:v>H05</x:v>
      </x:c>
      <x:c r="D18" s="9" t="str">
        <x:v>C-02, C-08, C-10</x:v>
      </x:c>
      <x:c r="E18" s="9" t="str">
        <x:v>C-02, C-08–C-10; MISS-CR-01. Lineage PROV-001 P057, P232–P243.</x:v>
      </x:c>
      <x:c r="F18" s="9" t="str">
        <x:v>Research proposition from the earlier register; see linked H entries for dated corrections.</x:v>
      </x:c>
      <x:c r="G18" s="12" t="str">
        <x:f>IFERROR(HYPERLINK(H18,"Open H review"),"Open H review")</x:f>
        <x:v>Open H review</x:v>
      </x:c>
      <x:c r="H18" s="11" t="str">
        <x:v>https://docs.google.com/document/d/1eMHtb7af2W3QsTASP0sfStAy8XuAlmYk4gD3F52qr_w/edit</x:v>
      </x:c>
    </x:row>
    <x:row r="19" ht="39" customHeight="1">
      <x:c r="A19" s="9" t="str">
        <x:v>CR-09</x:v>
      </x:c>
      <x:c r="B19" s="9" t="str">
        <x:v>Consideration and intent in the crypto-policy chronology</x:v>
      </x:c>
      <x:c r="C19" s="9" t="str">
        <x:v>H08</x:v>
      </x:c>
      <x:c r="D19" s="9" t="str">
        <x:v>C-01, C-07</x:v>
      </x:c>
      <x:c r="E19" s="9" t="str">
        <x:v>Context C-01–C-07; no support; MISS-CR-03. Lineage PROV-001 P244–P247.</x:v>
      </x:c>
      <x:c r="F19" s="9" t="str">
        <x:v>Research proposition from the earlier register; see linked H entries for dated corrections.</x:v>
      </x:c>
      <x:c r="G19" s="12" t="str">
        <x:f>IFERROR(HYPERLINK(H19,"Open H review"),"Open H review")</x:f>
        <x:v>Open H review</x:v>
      </x:c>
      <x:c r="H19" s="11" t="str">
        <x:v>https://docs.google.com/document/d/1eMHtb7af2W3QsTASP0sfStAy8XuAlmYk4gD3F52qr_w/edit</x:v>
      </x:c>
    </x:row>
    <x:row r="20" ht="39" customHeight="1">
      <x:c r="A20" s="9" t="str">
        <x:v>TC-01</x:v>
      </x:c>
      <x:c r="B20" s="9" t="str">
        <x:v>One canonical Trump crypto-income aggregate.</x:v>
      </x:c>
      <x:c r="C20" s="9" t="str">
        <x:v>H10</x:v>
      </x:c>
      <x:c r="D20" s="9" t="str">
        <x:v>T-01, T-03</x:v>
      </x:c>
      <x:c r="E20" s="9" t="str">
        <x:v>T-01–T-03; MISS-TC-01. Lineage PROV-001 P059, P234–P239, P539–P541.</x:v>
      </x:c>
      <x:c r="F20" s="9" t="str">
        <x:v>Research proposition from the earlier register; see linked H entries for dated corrections.</x:v>
      </x:c>
      <x:c r="G20" s="12" t="str">
        <x:f>IFERROR(HYPERLINK(H20,"Open H review"),"Open H review")</x:f>
        <x:v>Open H review</x:v>
      </x:c>
      <x:c r="H20" s="11" t="str">
        <x:v>https://docs.google.com/document/d/1eMHtb7af2W3QsTASP0sfStAy8XuAlmYk4gD3F52qr_w/edit</x:v>
      </x:c>
    </x:row>
    <x:row r="21" ht="39" customHeight="1">
      <x:c r="A21" s="9" t="str">
        <x:v>TC-02</x:v>
      </x:c>
      <x:c r="B21" s="9" t="str">
        <x:v>Major administration crypto policy coincided with large Trump/family crypto income.</x:v>
      </x:c>
      <x:c r="C21" s="9" t="str">
        <x:v>H09</x:v>
      </x:c>
      <x:c r="D21" s="9" t="str">
        <x:v>T-01, T-04, T-06</x:v>
      </x:c>
      <x:c r="E21" s="9" t="str">
        <x:v>T-01, T-04–T-06. Lineage PROV-001 P059–P060, P240–P243.</x:v>
      </x:c>
      <x:c r="F21" s="9" t="str">
        <x:v>Research proposition from the earlier register; see linked H entries for dated corrections.</x:v>
      </x:c>
      <x:c r="G21" s="12" t="str">
        <x:f>IFERROR(HYPERLINK(H21,"Open H review"),"Open H review")</x:f>
        <x:v>Open H review</x:v>
      </x:c>
      <x:c r="H21" s="11" t="str">
        <x:v>https://docs.google.com/document/d/1eMHtb7af2W3QsTASP0sfStAy8XuAlmYk4gD3F52qr_w/edit</x:v>
      </x:c>
    </x:row>
    <x:row r="22" ht="39" customHeight="1">
      <x:c r="A22" s="9" t="str">
        <x:v>TC-03</x:v>
      </x:c>
      <x:c r="B22" s="9" t="str">
        <x:v>USD1/Binance/MGX announcement, earlier criminal resolution, later Zhao pardon.</x:v>
      </x:c>
      <x:c r="C22" s="9" t="str">
        <x:v>H11</x:v>
      </x:c>
      <x:c r="D22" s="9" t="str">
        <x:v>T-07, T-10</x:v>
      </x:c>
      <x:c r="E22" s="9" t="str">
        <x:v>T-07–T-10; MISS-TC-02. Lineage PROV-001 P061–P064, P240–P243.</x:v>
      </x:c>
      <x:c r="F22" s="9" t="str">
        <x:v>Research proposition from the earlier register; see linked H entries for dated corrections.</x:v>
      </x:c>
      <x:c r="G22" s="12" t="str">
        <x:f>IFERROR(HYPERLINK(H22,"Open H review"),"Open H review")</x:f>
        <x:v>Open H review</x:v>
      </x:c>
      <x:c r="H22" s="11" t="str">
        <x:v>https://docs.google.com/document/d/1eMHtb7af2W3QsTASP0sfStAy8XuAlmYk4gD3F52qr_w/edit</x:v>
      </x:c>
    </x:row>
    <x:row r="23" ht="39" customHeight="1">
      <x:c r="A23" s="9" t="str">
        <x:v>TC-04</x:v>
      </x:c>
      <x:c r="B23" s="9" t="str">
        <x:v>Transaction–clemency relationship</x:v>
      </x:c>
      <x:c r="C23" s="9" t="str">
        <x:v>H12</x:v>
      </x:c>
      <x:c r="D23" s="9" t="str">
        <x:v>T-07, T-09, T-11</x:v>
      </x:c>
      <x:c r="E23" s="9" t="str">
        <x:v>Context T-07, T-09–T-11; MISS-TC-02. Lineage PROV-001 P064, P244–P247.</x:v>
      </x:c>
      <x:c r="F23" s="9" t="str">
        <x:v>Research proposition from the earlier register; see linked H entries for dated corrections.</x:v>
      </x:c>
      <x:c r="G23" s="12" t="str">
        <x:f>IFERROR(HYPERLINK(H23,"Open H review"),"Open H review")</x:f>
        <x:v>Open H review</x:v>
      </x:c>
      <x:c r="H23" s="11" t="str">
        <x:v>https://docs.google.com/document/d/1eMHtb7af2W3QsTASP0sfStAy8XuAlmYk4gD3F52qr_w/edit</x:v>
      </x:c>
    </x:row>
    <x:row r="24" ht="39" customHeight="1">
      <x:c r="A24" s="9" t="str">
        <x:v>PL-01</x:v>
      </x:c>
      <x:c r="B24" s="9" t="str">
        <x:v>Palantir has a cross-agency federal footprint.</x:v>
      </x:c>
      <x:c r="C24" s="9" t="str">
        <x:v>H16</x:v>
      </x:c>
      <x:c r="D24" s="9" t="str">
        <x:v>P-01, P-04</x:v>
      </x:c>
      <x:c r="E24" s="9" t="str">
        <x:v>P-01–P-04. Lineage PROV-001 P248–P255, P274–P293.</x:v>
      </x:c>
      <x:c r="F24" s="9" t="str">
        <x:v>Research proposition from the earlier register; see linked H entries for dated corrections.</x:v>
      </x:c>
      <x:c r="G24" s="12" t="str">
        <x:f>IFERROR(HYPERLINK(H24,"Open H review"),"Open H review")</x:f>
        <x:v>Open H review</x:v>
      </x:c>
      <x:c r="H24" s="11" t="str">
        <x:v>https://docs.google.com/document/d/1eMHtb7af2W3QsTASP0sfStAy8XuAlmYk4gD3F52qr_w/edit</x:v>
      </x:c>
    </x:row>
    <x:row r="25" ht="39" customHeight="1">
      <x:c r="A25" s="9" t="str">
        <x:v>PL-02</x:v>
      </x:c>
      <x:c r="B25" s="9" t="str">
        <x:v>Maven modification P00005 to W911QX-24-D-0012 is $795M.</x:v>
      </x:c>
      <x:c r="C25" s="9" t="str">
        <x:v>H16</x:v>
      </x:c>
      <x:c r="D25" s="9" t="str">
        <x:v>P-01</x:v>
      </x:c>
      <x:c r="E25" s="9" t="str">
        <x:v>P-01. Lineage PROV-001 P275, P462, P487–P488.</x:v>
      </x:c>
      <x:c r="F25" s="9" t="str">
        <x:v>Research proposition from the earlier register; see linked H entries for dated corrections.</x:v>
      </x:c>
      <x:c r="G25" s="12" t="str">
        <x:f>IFERROR(HYPERLINK(H25,"Open H review"),"Open H review")</x:f>
        <x:v>Open H review</x:v>
      </x:c>
      <x:c r="H25" s="11" t="str">
        <x:v>https://docs.google.com/document/d/1eMHtb7af2W3QsTASP0sfStAy8XuAlmYk4gD3F52qr_w/edit</x:v>
      </x:c>
    </x:row>
    <x:row r="26" ht="39" customHeight="1">
      <x:c r="A26" s="9" t="str">
        <x:v>PL-03</x:v>
      </x:c>
      <x:c r="B26" s="9" t="str">
        <x:v>Army consolidated 75 contracts under framework capped at $10B over up to ten years.</x:v>
      </x:c>
      <x:c r="C26" s="9" t="str">
        <x:v>H16</x:v>
      </x:c>
      <x:c r="D26" s="9" t="str">
        <x:v>P-02</x:v>
      </x:c>
      <x:c r="E26" s="9" t="str">
        <x:v>P-02. Lineage PROV-001 P275.</x:v>
      </x:c>
      <x:c r="F26" s="9" t="str">
        <x:v>Research proposition from the earlier register; see linked H entries for dated corrections.</x:v>
      </x:c>
      <x:c r="G26" s="12" t="str">
        <x:f>IFERROR(HYPERLINK(H26,"Open H review"),"Open H review")</x:f>
        <x:v>Open H review</x:v>
      </x:c>
      <x:c r="H26" s="11" t="str">
        <x:v>https://docs.google.com/document/d/1eMHtb7af2W3QsTASP0sfStAy8XuAlmYk4gD3F52qr_w/edit</x:v>
      </x:c>
    </x:row>
    <x:row r="27" ht="39" customHeight="1">
      <x:c r="A27" s="9" t="str">
        <x:v>PL-04</x:v>
      </x:c>
      <x:c r="B27" s="9" t="str">
        <x:v>ICE incumbency includes proprietary/operational lock-in.</x:v>
      </x:c>
      <x:c r="C27" s="9" t="str">
        <x:v>H17</x:v>
      </x:c>
      <x:c r="D27" s="9" t="str">
        <x:v>P-03</x:v>
      </x:c>
      <x:c r="E27" s="9" t="str">
        <x:v>P-03; MISS-PL-02. Lineage PROV-001 P254–P260.</x:v>
      </x:c>
      <x:c r="F27" s="9" t="str">
        <x:v>Research proposition from the earlier register; see linked H entries for dated corrections.</x:v>
      </x:c>
      <x:c r="G27" s="12" t="str">
        <x:f>IFERROR(HYPERLINK(H27,"Open H review"),"Open H review")</x:f>
        <x:v>Open H review</x:v>
      </x:c>
      <x:c r="H27" s="11" t="str">
        <x:v>https://docs.google.com/document/d/1eMHtb7af2W3QsTASP0sfStAy8XuAlmYk4gD3F52qr_w/edit</x:v>
      </x:c>
    </x:row>
    <x:row r="28" ht="39" customHeight="1">
      <x:c r="A28" s="9" t="str">
        <x:v>PL-05</x:v>
      </x:c>
      <x:c r="B28" s="9" t="str">
        <x:v>CMS policy requires a formal data-sharing instrument for protected exchanges with outside agencies.</x:v>
      </x:c>
      <x:c r="C28" s="9" t="str">
        <x:v>H19</x:v>
      </x:c>
      <x:c r="D28" s="9" t="str">
        <x:v>P-05, P-06</x:v>
      </x:c>
      <x:c r="E28" s="9" t="str">
        <x:v>P-05, P-06; MISS-PL-03. Lineage PROV-001 P272–P273, P522–P524.</x:v>
      </x:c>
      <x:c r="F28" s="9" t="str">
        <x:v>Research proposition from the earlier register; see linked H entries for dated corrections.</x:v>
      </x:c>
      <x:c r="G28" s="12" t="str">
        <x:f>IFERROR(HYPERLINK(H28,"Open H review"),"Open H review")</x:f>
        <x:v>Open H review</x:v>
      </x:c>
      <x:c r="H28" s="11" t="str">
        <x:v>https://docs.google.com/document/d/1eMHtb7af2W3QsTASP0sfStAy8XuAlmYk4gD3F52qr_w/edit</x:v>
      </x:c>
    </x:row>
    <x:row r="29" ht="39" customHeight="1">
      <x:c r="A29" s="9" t="str">
        <x:v>PL-06</x:v>
      </x:c>
      <x:c r="B29" s="9" t="str">
        <x:v>Narrow custody route: CMS/HHS data → ICE → Palantir personnel.</x:v>
      </x:c>
      <x:c r="C29" s="9" t="str">
        <x:v>H19</x:v>
      </x:c>
      <x:c r="D29" s="9" t="str">
        <x:v>P-06, A-01, A-02, P-07, V-01</x:v>
      </x:c>
      <x:c r="E29" s="9" t="str">
        <x:v>P-06, A-01, A-02, P-07, V-01; MISS-PL-03. Lineage PROV-001 P466, P520–P529, P560.</x:v>
      </x:c>
      <x:c r="F29" s="9" t="str">
        <x:v>Research proposition from the earlier register; see linked H entries for dated corrections.</x:v>
      </x:c>
      <x:c r="G29" s="12" t="str">
        <x:f>IFERROR(HYPERLINK(H29,"Open H review"),"Open H review")</x:f>
        <x:v>Open H review</x:v>
      </x:c>
      <x:c r="H29" s="11" t="str">
        <x:v>https://docs.google.com/document/d/1eMHtb7af2W3QsTASP0sfStAy8XuAlmYk4gD3F52qr_w/edit</x:v>
      </x:c>
    </x:row>
    <x:row r="30" ht="39" customHeight="1">
      <x:c r="A30" s="9" t="str">
        <x:v>PL-07</x:v>
      </x:c>
      <x:c r="B30" s="9" t="str">
        <x:v>Disputed Medicaid dataset generated ELITE targets, leads, arrests, detention, or removals.</x:v>
      </x:c>
      <x:c r="C30" s="9" t="str">
        <x:v>H21</x:v>
      </x:c>
      <x:c r="D30" s="9" t="str"/>
      <x:c r="E30" s="9" t="str">
        <x:v>Context PL-06 sources; MISS-PL-03. Lineage PROV-001 P525–P536, P570.</x:v>
      </x:c>
      <x:c r="F30" s="9" t="str">
        <x:v>Research proposition from the earlier register; see linked H entries for dated corrections.</x:v>
      </x:c>
      <x:c r="G30" s="12" t="str">
        <x:f>IFERROR(HYPERLINK(H30,"Open H review"),"Open H review")</x:f>
        <x:v>Open H review</x:v>
      </x:c>
      <x:c r="H30" s="11" t="str">
        <x:v>https://docs.google.com/document/d/1eMHtb7af2W3QsTASP0sfStAy8XuAlmYk4gD3F52qr_w/edit</x:v>
      </x:c>
    </x:row>
    <x:row r="31" ht="39" customHeight="1">
      <x:c r="A31" s="9" t="str">
        <x:v>PL-08</x:v>
      </x:c>
      <x:c r="B31" s="9" t="str">
        <x:v>Data custody/control failure.</x:v>
      </x:c>
      <x:c r="C31" s="9" t="str">
        <x:v>H20</x:v>
      </x:c>
      <x:c r="D31" s="9" t="str">
        <x:v>A-02, P-07, V-01, P-05, P-06</x:v>
      </x:c>
      <x:c r="E31" s="9" t="str">
        <x:v>A-02, P-07, V-01, P-05, P-06; MISS-PL-03. Lineage PROV-001 P525–P538.</x:v>
      </x:c>
      <x:c r="F31" s="9" t="str">
        <x:v>Research proposition from the earlier register; see linked H entries for dated corrections.</x:v>
      </x:c>
      <x:c r="G31" s="12" t="str">
        <x:f>IFERROR(HYPERLINK(H31,"Open H review"),"Open H review")</x:f>
        <x:v>Open H review</x:v>
      </x:c>
      <x:c r="H31" s="11" t="str">
        <x:v>https://docs.google.com/document/d/1eMHtb7af2W3QsTASP0sfStAy8XuAlmYk4gD3F52qr_w/edit</x:v>
      </x:c>
    </x:row>
    <x:row r="32" ht="39" customHeight="1">
      <x:c r="A32" s="9" t="str">
        <x:v>PL-09</x:v>
      </x:c>
      <x:c r="B32" s="9" t="str">
        <x:v>Barbaccia career sequence: Palantir → federal CIO/TTS; future return reported.</x:v>
      </x:c>
      <x:c r="C32" s="9" t="str">
        <x:v>H23</x:v>
      </x:c>
      <x:c r="D32" s="9" t="str">
        <x:v>V-02, P-08, V-03, V-04</x:v>
      </x:c>
      <x:c r="E32" s="9" t="str">
        <x:v>V-02, P-08, V-03, V-04; MISS-PL-04. Lineage PROV-001 P263–P267, P469–P478.</x:v>
      </x:c>
      <x:c r="F32" s="9" t="str">
        <x:v>Research proposition from the earlier register; see linked H entries for dated corrections.</x:v>
      </x:c>
      <x:c r="G32" s="12" t="str">
        <x:f>IFERROR(HYPERLINK(H32,"Open H review"),"Open H review")</x:f>
        <x:v>Open H review</x:v>
      </x:c>
      <x:c r="H32" s="11" t="str">
        <x:v>https://docs.google.com/document/d/1eMHtb7af2W3QsTASP0sfStAy8XuAlmYk4gD3F52qr_w/edit</x:v>
      </x:c>
    </x:row>
    <x:row r="33" ht="39" customHeight="1">
      <x:c r="A33" s="9" t="str">
        <x:v>PL-10</x:v>
      </x:c>
      <x:c r="B33" s="9" t="str">
        <x:v>Barbaccia retained Palantir stock.</x:v>
      </x:c>
      <x:c r="C33" s="9" t="str">
        <x:v>H24</x:v>
      </x:c>
      <x:c r="D33" s="9" t="str">
        <x:v>P-09, V-05</x:v>
      </x:c>
      <x:c r="E33" s="9" t="str">
        <x:v>P-09 establishes entry holding; V-05 is non-probative absence; MISS-PL-04. Lineage PROV-001 P263, P472–P473.</x:v>
      </x:c>
      <x:c r="F33" s="9" t="str">
        <x:v>Research proposition from the earlier register; see linked H entries for dated corrections.</x:v>
      </x:c>
      <x:c r="G33" s="12" t="str">
        <x:f>IFERROR(HYPERLINK(H33,"Open H review"),"Open H review")</x:f>
        <x:v>Open H review</x:v>
      </x:c>
      <x:c r="H33" s="11" t="str">
        <x:v>https://docs.google.com/document/d/1eMHtb7af2W3QsTASP0sfStAy8XuAlmYk4gD3F52qr_w/edit</x:v>
      </x:c>
    </x:row>
    <x:row r="34" ht="39" customHeight="1">
      <x:c r="A34" s="9" t="str">
        <x:v>PL-11</x:v>
      </x:c>
      <x:c r="B34" s="9" t="str">
        <x:v>Barbaccia participation in a Palantir-related decision</x:v>
      </x:c>
      <x:c r="C34" s="9" t="str">
        <x:v>H24</x:v>
      </x:c>
      <x:c r="D34" s="9" t="str">
        <x:v>P-03, P-08, V-02</x:v>
      </x:c>
      <x:c r="E34" s="9" t="str">
        <x:v>P-03, P-08, V-02 are context only; MISS-PL-04. Lineage PROV-001 P267–P270, P478.</x:v>
      </x:c>
      <x:c r="F34" s="9" t="str">
        <x:v>Research proposition from the earlier register; see linked H entries for dated corrections.</x:v>
      </x:c>
      <x:c r="G34" s="12" t="str">
        <x:f>IFERROR(HYPERLINK(H34,"Open H review"),"Open H review")</x:f>
        <x:v>Open H review</x:v>
      </x:c>
      <x:c r="H34" s="11" t="str">
        <x:v>https://docs.google.com/document/d/1eMHtb7af2W3QsTASP0sfStAy8XuAlmYk4gD3F52qr_w/edit</x:v>
      </x:c>
    </x:row>
    <x:row r="35" ht="39" customHeight="1">
      <x:c r="A35" s="9" t="str">
        <x:v>PL-12</x:v>
      </x:c>
      <x:c r="B35" s="9" t="str">
        <x:v>Patel held Palantir stock, had to divest, and sold on 2025-05-12.</x:v>
      </x:c>
      <x:c r="C35" s="9" t="str">
        <x:v>H25</x:v>
      </x:c>
      <x:c r="D35" s="9" t="str">
        <x:v>P-10, P-11</x:v>
      </x:c>
      <x:c r="E35" s="9" t="str">
        <x:v>P-10, P-11. Lineage PROV-001 P067–P070, P461, P481–P485.</x:v>
      </x:c>
      <x:c r="F35" s="9" t="str">
        <x:v>Research proposition from the earlier register; see linked H entries for dated corrections.</x:v>
      </x:c>
      <x:c r="G35" s="12" t="str">
        <x:f>IFERROR(HYPERLINK(H35,"Open H review"),"Open H review")</x:f>
        <x:v>Open H review</x:v>
      </x:c>
      <x:c r="H35" s="11" t="str">
        <x:v>https://docs.google.com/document/d/1eMHtb7af2W3QsTASP0sfStAy8XuAlmYk4gD3F52qr_w/edit</x:v>
      </x:c>
    </x:row>
    <x:row r="36" ht="39" customHeight="1">
      <x:c r="A36" s="9" t="str">
        <x:v>PL-13</x:v>
      </x:c>
      <x:c r="B36" s="9" t="str">
        <x:v>Patel participation in a Palantir-related decision</x:v>
      </x:c>
      <x:c r="C36" s="9" t="str">
        <x:v>H25</x:v>
      </x:c>
      <x:c r="D36" s="9" t="str">
        <x:v>P-04, P-10, P-11</x:v>
      </x:c>
      <x:c r="E36" s="9" t="str">
        <x:v>P-04, P-10, P-11 are context; MISS-PL-05. Lineage PROV-001 P067–P070, P482–P485.</x:v>
      </x:c>
      <x:c r="F36" s="9" t="str">
        <x:v>Research proposition from the earlier register; see linked H entries for dated corrections.</x:v>
      </x:c>
      <x:c r="G36" s="12" t="str">
        <x:f>IFERROR(HYPERLINK(H36,"Open H review"),"Open H review")</x:f>
        <x:v>Open H review</x:v>
      </x:c>
      <x:c r="H36" s="11" t="str">
        <x:v>https://docs.google.com/document/d/1eMHtb7af2W3QsTASP0sfStAy8XuAlmYk4gD3F52qr_w/edit</x:v>
      </x:c>
    </x:row>
    <x:row r="37" ht="39" customHeight="1">
      <x:c r="A37" s="9" t="str">
        <x:v>PL-14</x:v>
      </x:c>
      <x:c r="B37" s="9" t="str">
        <x:v>Interagency governance and control</x:v>
      </x:c>
      <x:c r="C37" s="9" t="str">
        <x:v>H26</x:v>
      </x:c>
      <x:c r="D37" s="9" t="str">
        <x:v>P-01, P-04</x:v>
      </x:c>
      <x:c r="E37" s="9" t="str">
        <x:v>P-01–P-04 show separate procurements only; MISS-PL-06. Lineage PROV-001 P296–P306.</x:v>
      </x:c>
      <x:c r="F37" s="9" t="str">
        <x:v>Research proposition from the earlier register; see linked H entries for dated corrections.</x:v>
      </x:c>
      <x:c r="G37" s="12" t="str">
        <x:f>IFERROR(HYPERLINK(H37,"Open H review"),"Open H review")</x:f>
        <x:v>Open H review</x:v>
      </x:c>
      <x:c r="H37" s="11" t="str">
        <x:v>https://docs.google.com/document/d/1eMHtb7af2W3QsTASP0sfStAy8XuAlmYk4gD3F52qr_w/edit</x:v>
      </x:c>
    </x:row>
    <x:row r="38" ht="39" customHeight="1">
      <x:c r="A38" s="9" t="str">
        <x:v>PA-01</x:v>
      </x:c>
      <x:c r="B38" s="9" t="str">
        <x:v>Bannon’s apparatus was a consequential external amplifier in one AI-moratorium fight.</x:v>
      </x:c>
      <x:c r="C38" s="9" t="str">
        <x:v>H28</x:v>
      </x:c>
      <x:c r="D38" s="9" t="str">
        <x:v>PA-V01, PA-V02</x:v>
      </x:c>
      <x:c r="E38" s="9" t="str">
        <x:v>PA-V01, PA-V02. Lineage PROV-001 P321–P326.</x:v>
      </x:c>
      <x:c r="F38" s="9" t="str">
        <x:v>Research proposition from the earlier register; see linked H entries for dated corrections.</x:v>
      </x:c>
      <x:c r="G38" s="12" t="str">
        <x:f>IFERROR(HYPERLINK(H38,"Open H review"),"Open H review")</x:f>
        <x:v>Open H review</x:v>
      </x:c>
      <x:c r="H38" s="11" t="str">
        <x:v>https://docs.google.com/document/d/1eMHtb7af2W3QsTASP0sfStAy8XuAlmYk4gD3F52qr_w/edit</x:v>
      </x:c>
    </x:row>
    <x:row r="39" ht="39" customHeight="1">
      <x:c r="A39" s="9" t="str">
        <x:v>PA-02</x:v>
      </x:c>
      <x:c r="B39" s="9" t="str">
        <x:v>Bannon role beyond the bounded campaign</x:v>
      </x:c>
      <x:c r="C39" s="9" t="str">
        <x:v>H28</x:v>
      </x:c>
      <x:c r="D39" s="9" t="str">
        <x:v>PA-V01, PA-V02</x:v>
      </x:c>
      <x:c r="E39" s="9" t="str">
        <x:v>PA-V01, PA-V02 support amplification only; MISS-PA-01. Lineage PROV-001 P325–P326.</x:v>
      </x:c>
      <x:c r="F39" s="9" t="str">
        <x:v>Research proposition from the earlier register; see linked H entries for dated corrections.</x:v>
      </x:c>
      <x:c r="G39" s="12" t="str">
        <x:f>IFERROR(HYPERLINK(H39,"Open H review"),"Open H review")</x:f>
        <x:v>Open H review</x:v>
      </x:c>
      <x:c r="H39" s="11" t="str">
        <x:v>https://docs.google.com/document/d/1eMHtb7af2W3QsTASP0sfStAy8XuAlmYk4gD3F52qr_w/edit</x:v>
      </x:c>
    </x:row>
    <x:row r="40" ht="39" customHeight="1">
      <x:c r="A40" s="9" t="str">
        <x:v>PA-03</x:v>
      </x:c>
      <x:c r="B40" s="9" t="str">
        <x:v>Johnson/Berger bounded early-2025 access architecture.</x:v>
      </x:c>
      <x:c r="C40" s="9" t="str">
        <x:v>H29</x:v>
      </x:c>
      <x:c r="D40" s="9" t="str">
        <x:v>PA-V03, PA-V04</x:v>
      </x:c>
      <x:c r="E40" s="9" t="str">
        <x:v>PA-V03, PA-V04. Lineage PROV-001 P314–P320.</x:v>
      </x:c>
      <x:c r="F40" s="9" t="str">
        <x:v>Research proposition from the earlier register; see linked H entries for dated corrections.</x:v>
      </x:c>
      <x:c r="G40" s="12" t="str">
        <x:f>IFERROR(HYPERLINK(H40,"Open H review"),"Open H review")</x:f>
        <x:v>Open H review</x:v>
      </x:c>
      <x:c r="H40" s="11" t="str">
        <x:v>https://docs.google.com/document/d/1eMHtb7af2W3QsTASP0sfStAy8XuAlmYk4gD3F52qr_w/edit</x:v>
      </x:c>
    </x:row>
    <x:row r="41" ht="39" customHeight="1">
      <x:c r="A41" s="9" t="str">
        <x:v>PA-04</x:v>
      </x:c>
      <x:c r="B41" s="9" t="str">
        <x:v>Johnson access-to-decision relationship</x:v>
      </x:c>
      <x:c r="C41" s="9" t="str">
        <x:v>H30</x:v>
      </x:c>
      <x:c r="D41" s="9" t="str">
        <x:v>PA-V03, PA-V04</x:v>
      </x:c>
      <x:c r="E41" s="9" t="str">
        <x:v>PA-V03, PA-V04; MISS-PA-02. Lineage PROV-001 P318–P320.</x:v>
      </x:c>
      <x:c r="F41" s="9" t="str">
        <x:v>Research proposition from the earlier register; see linked H entries for dated corrections.</x:v>
      </x:c>
      <x:c r="G41" s="12" t="str">
        <x:f>IFERROR(HYPERLINK(H41,"Open H review"),"Open H review")</x:f>
        <x:v>Open H review</x:v>
      </x:c>
      <x:c r="H41" s="11" t="str">
        <x:v>https://docs.google.com/document/d/1eMHtb7af2W3QsTASP0sfStAy8XuAlmYk4gD3F52qr_w/edit</x:v>
      </x:c>
    </x:row>
    <x:row r="42" ht="39" customHeight="1">
      <x:c r="A42" s="9" t="str">
        <x:v>PA-05</x:v>
      </x:c>
      <x:c r="B42" s="9" t="str">
        <x:v>Johnson moved out in March 2025.</x:v>
      </x:c>
      <x:c r="C42" s="9" t="str">
        <x:v>H29</x:v>
      </x:c>
      <x:c r="D42" s="9" t="str">
        <x:v>PA-V05</x:v>
      </x:c>
      <x:c r="E42" s="9" t="str">
        <x:v>PA-V05. Lineage PROV-001 P315.</x:v>
      </x:c>
      <x:c r="F42" s="9" t="str">
        <x:v>Research proposition from the earlier register; see linked H entries for dated corrections.</x:v>
      </x:c>
      <x:c r="G42" s="12" t="str">
        <x:f>IFERROR(HYPERLINK(H42,"Open H review"),"Open H review")</x:f>
        <x:v>Open H review</x:v>
      </x:c>
      <x:c r="H42" s="11" t="str">
        <x:v>https://docs.google.com/document/d/1eMHtb7af2W3QsTASP0sfStAy8XuAlmYk4gD3F52qr_w/edit</x:v>
      </x:c>
    </x:row>
    <x:row r="43" ht="39" customHeight="1">
      <x:c r="A43" s="9" t="str">
        <x:v>PA-06</x:v>
      </x:c>
      <x:c r="B43" s="9" t="str">
        <x:v>Dialog is a private curated/off-record access network; Thiel is a co-founder of Dialog and Palantir.</x:v>
      </x:c>
      <x:c r="C43" s="9" t="str">
        <x:v>H31</x:v>
      </x:c>
      <x:c r="D43" s="9" t="str">
        <x:v>PA-L01, PA-V06, PA-P01</x:v>
      </x:c>
      <x:c r="E43" s="9" t="str">
        <x:v>PA-L01, PA-V06, PA-P01. Lineage PROV-001 P327–P348.</x:v>
      </x:c>
      <x:c r="F43" s="9" t="str">
        <x:v>Research proposition from the earlier register; see linked H entries for dated corrections.</x:v>
      </x:c>
      <x:c r="G43" s="12" t="str">
        <x:f>IFERROR(HYPERLINK(H43,"Open H review"),"Open H review")</x:f>
        <x:v>Open H review</x:v>
      </x:c>
      <x:c r="H43" s="11" t="str">
        <x:v>https://docs.google.com/document/d/1eMHtb7af2W3QsTASP0sfStAy8XuAlmYk4gD3F52qr_w/edit</x:v>
      </x:c>
    </x:row>
    <x:row r="44" ht="39" customHeight="1">
      <x:c r="A44" s="9" t="str">
        <x:v>PA-07</x:v>
      </x:c>
      <x:c r="B44" s="9" t="str">
        <x:v>2026 Powerscourt co-attendance.</x:v>
      </x:c>
      <x:c r="C44" s="9" t="str">
        <x:v>H31</x:v>
      </x:c>
      <x:c r="D44" s="9" t="str">
        <x:v>PA-V07</x:v>
      </x:c>
      <x:c r="E44" s="9" t="str">
        <x:v>PA-V07; MISS-PA-03. Lineage PROV-001 P330–P341.</x:v>
      </x:c>
      <x:c r="F44" s="9" t="str">
        <x:v>Research proposition from the earlier register; see linked H entries for dated corrections.</x:v>
      </x:c>
      <x:c r="G44" s="12" t="str">
        <x:f>IFERROR(HYPERLINK(H44,"Open H review"),"Open H review")</x:f>
        <x:v>Open H review</x:v>
      </x:c>
      <x:c r="H44" s="11" t="str">
        <x:v>https://docs.google.com/document/d/1eMHtb7af2W3QsTASP0sfStAy8XuAlmYk4gD3F52qr_w/edit</x:v>
      </x:c>
    </x:row>
    <x:row r="45" ht="39" customHeight="1">
      <x:c r="A45" s="9" t="str">
        <x:v>PA-08</x:v>
      </x:c>
      <x:c r="B45" s="9" t="str">
        <x:v>Dialog network-to-decision relationship</x:v>
      </x:c>
      <x:c r="C45" s="9" t="str">
        <x:v>H31</x:v>
      </x:c>
      <x:c r="D45" s="9" t="str">
        <x:v>PA-L01</x:v>
      </x:c>
      <x:c r="E45" s="9" t="str">
        <x:v>PA-L01 establishes architecture only; MISS-PA-03. Lineage PROV-001 P339–P348.</x:v>
      </x:c>
      <x:c r="F45" s="9" t="str">
        <x:v>Research proposition from the earlier register; see linked H entries for dated corrections.</x:v>
      </x:c>
      <x:c r="G45" s="12" t="str">
        <x:f>IFERROR(HYPERLINK(H45,"Open H review"),"Open H review")</x:f>
        <x:v>Open H review</x:v>
      </x:c>
      <x:c r="H45" s="11" t="str">
        <x:v>https://docs.google.com/document/d/1eMHtb7af2W3QsTASP0sfStAy8XuAlmYk4gD3F52qr_w/edit</x:v>
      </x:c>
    </x:row>
    <x:row r="46" ht="39" customHeight="1">
      <x:c r="A46" s="9" t="str">
        <x:v>JU-01</x:v>
      </x:c>
      <x:c r="B46" s="9" t="str">
        <x:v>Leonard Leo network had a role in judicial identification, vetting, and confirmation advocacy.</x:v>
      </x:c>
      <x:c r="C46" s="9" t="str">
        <x:v>H32</x:v>
      </x:c>
      <x:c r="D46" s="9" t="str">
        <x:v>JU-A01, JU-V01</x:v>
      </x:c>
      <x:c r="E46" s="9" t="str">
        <x:v>JU-A01, JU-V01. Lineage PROV-001 P408–P417.</x:v>
      </x:c>
      <x:c r="F46" s="9" t="str">
        <x:v>Research proposition from the earlier register; see linked H entries for dated corrections.</x:v>
      </x:c>
      <x:c r="G46" s="12" t="str">
        <x:f>IFERROR(HYPERLINK(H46,"Open H review"),"Open H review")</x:f>
        <x:v>Open H review</x:v>
      </x:c>
      <x:c r="H46" s="11" t="str">
        <x:v>https://docs.google.com/document/d/1eMHtb7af2W3QsTASP0sfStAy8XuAlmYk4gD3F52qr_w/edit</x:v>
      </x:c>
    </x:row>
    <x:row r="47" ht="39" customHeight="1">
      <x:c r="A47" s="9" t="str">
        <x:v>JU-02</x:v>
      </x:c>
      <x:c r="B47" s="9" t="str">
        <x:v>McConnell’s Senate gatekeeping materially affected vacancy timing/confirmation opportunity.</x:v>
      </x:c>
      <x:c r="C47" s="9" t="str">
        <x:v>H32</x:v>
      </x:c>
      <x:c r="D47" s="9" t="str">
        <x:v>JU-P01, JU-V02</x:v>
      </x:c>
      <x:c r="E47" s="9" t="str">
        <x:v>JU-P01, JU-V02. Lineage PROV-001 P411–P422.</x:v>
      </x:c>
      <x:c r="F47" s="9" t="str">
        <x:v>Research proposition from the earlier register; see linked H entries for dated corrections.</x:v>
      </x:c>
      <x:c r="G47" s="12" t="str">
        <x:f>IFERROR(HYPERLINK(H47,"Open H review"),"Open H review")</x:f>
        <x:v>Open H review</x:v>
      </x:c>
      <x:c r="H47" s="11" t="str">
        <x:v>https://docs.google.com/document/d/1eMHtb7af2W3QsTASP0sfStAy8XuAlmYk4gD3F52qr_w/edit</x:v>
      </x:c>
    </x:row>
    <x:row r="48" ht="39" customHeight="1">
      <x:c r="A48" s="9" t="str">
        <x:v>JU-03</x:v>
      </x:c>
      <x:c r="B48" s="9" t="str">
        <x:v>JCN/related organizations ran multimillion-dollar confirmation campaigns.</x:v>
      </x:c>
      <x:c r="C48" s="9" t="str">
        <x:v>H32</x:v>
      </x:c>
      <x:c r="D48" s="9" t="str">
        <x:v>JU-A02, JU-A03, JU-A04</x:v>
      </x:c>
      <x:c r="E48" s="9" t="str">
        <x:v>JU-A02, JU-A03; JU-A04 is derived synthesis. Lineage PROV-001 P448–P451.</x:v>
      </x:c>
      <x:c r="F48" s="9" t="str">
        <x:v>Research proposition from the earlier register; see linked H entries for dated corrections.</x:v>
      </x:c>
      <x:c r="G48" s="12" t="str">
        <x:f>IFERROR(HYPERLINK(H48,"Open H review"),"Open H review")</x:f>
        <x:v>Open H review</x:v>
      </x:c>
      <x:c r="H48" s="11" t="str">
        <x:v>https://docs.google.com/document/d/1eMHtb7af2W3QsTASP0sfStAy8XuAlmYk4gD3F52qr_w/edit</x:v>
      </x:c>
    </x:row>
    <x:row r="49" ht="39" customHeight="1">
      <x:c r="A49" s="9" t="str">
        <x:v>JU-04</x:v>
      </x:c>
      <x:c r="B49" s="9" t="str">
        <x:v>Seid/Marble transfer created a roughly $1.6B-scale Leo-governed vehicle.</x:v>
      </x:c>
      <x:c r="C49" s="9" t="str">
        <x:v>H33</x:v>
      </x:c>
      <x:c r="D49" s="9" t="str">
        <x:v>JU-P02, JU-V03</x:v>
      </x:c>
      <x:c r="E49" s="9" t="str">
        <x:v>JU-P02, JU-V03. Lineage PROV-001 P467, P491–P505.</x:v>
      </x:c>
      <x:c r="F49" s="9" t="str">
        <x:v>Research proposition from the earlier register; see linked H entries for dated corrections.</x:v>
      </x:c>
      <x:c r="G49" s="12" t="str">
        <x:f>IFERROR(HYPERLINK(H49,"Open H review"),"Open H review")</x:f>
        <x:v>Open H review</x:v>
      </x:c>
      <x:c r="H49" s="11" t="str">
        <x:v>https://docs.google.com/document/d/1eMHtb7af2W3QsTASP0sfStAy8XuAlmYk4gD3F52qr_w/edit</x:v>
      </x:c>
    </x:row>
    <x:row r="50" ht="39" customHeight="1">
      <x:c r="A50" s="9" t="str">
        <x:v>JU-05</x:v>
      </x:c>
      <x:c r="B50" s="9" t="str">
        <x:v>Marble financing and confirmation dates</x:v>
      </x:c>
      <x:c r="C50" s="9" t="str">
        <x:v>H33</x:v>
      </x:c>
      <x:c r="D50" s="9" t="str">
        <x:v>JU-P01, JU-P02, JU-V03</x:v>
      </x:c>
      <x:c r="E50" s="9" t="str">
        <x:v>JU-P01, JU-P02, JU-V03; MISS-JU-01. Lineage PROV-001 P467, P496–P507.</x:v>
      </x:c>
      <x:c r="F50" s="9" t="str">
        <x:v>Research proposition from the earlier register; see linked H entries for dated corrections.</x:v>
      </x:c>
      <x:c r="G50" s="12" t="str">
        <x:f>IFERROR(HYPERLINK(H50,"Open H review"),"Open H review")</x:f>
        <x:v>Open H review</x:v>
      </x:c>
      <x:c r="H50" s="11" t="str">
        <x:v>https://docs.google.com/document/d/1eMHtb7af2W3QsTASP0sfStAy8XuAlmYk4gD3F52qr_w/edit</x:v>
      </x:c>
    </x:row>
    <x:row r="51" ht="39" customHeight="1">
      <x:c r="A51" s="9" t="str">
        <x:v>JU-06</x:v>
      </x:c>
      <x:c r="B51" s="9" t="str">
        <x:v>Thomas/Crow access/benefit and amended-disclosure architecture.</x:v>
      </x:c>
      <x:c r="C51" s="9" t="str">
        <x:v>H34</x:v>
      </x:c>
      <x:c r="D51" s="9" t="str">
        <x:v>JU-P03, JU-V04, JU-V06</x:v>
      </x:c>
      <x:c r="E51" s="9" t="str">
        <x:v>JU-P03, JU-V04–JU-V06; MISS-JU-02. Lineage PROV-001 P366, P375–P381.</x:v>
      </x:c>
      <x:c r="F51" s="9" t="str">
        <x:v>Research proposition from the earlier register; see linked H entries for dated corrections.</x:v>
      </x:c>
      <x:c r="G51" s="12" t="str">
        <x:f>IFERROR(HYPERLINK(H51,"Open H review"),"Open H review")</x:f>
        <x:v>Open H review</x:v>
      </x:c>
      <x:c r="H51" s="11" t="str">
        <x:v>https://docs.google.com/document/d/1eMHtb7af2W3QsTASP0sfStAy8XuAlmYk4gD3F52qr_w/edit</x:v>
      </x:c>
    </x:row>
    <x:row r="52" ht="39" customHeight="1">
      <x:c r="A52" s="9" t="str">
        <x:v>JU-07</x:v>
      </x:c>
      <x:c r="B52" s="9" t="str">
        <x:v>Alito/Singer hospitality plus later Singer-linked Court business.</x:v>
      </x:c>
      <x:c r="C52" s="9" t="str">
        <x:v>H35</x:v>
      </x:c>
      <x:c r="D52" s="9" t="str">
        <x:v>JU-V07, JU-P04</x:v>
      </x:c>
      <x:c r="E52" s="9" t="str">
        <x:v>JU-V07, JU-P04; MISS-JU-02. Lineage PROV-001 P367, P382–P389.</x:v>
      </x:c>
      <x:c r="F52" s="9" t="str">
        <x:v>Research proposition from the earlier register; see linked H entries for dated corrections.</x:v>
      </x:c>
      <x:c r="G52" s="12" t="str">
        <x:f>IFERROR(HYPERLINK(H52,"Open H review"),"Open H review")</x:f>
        <x:v>Open H review</x:v>
      </x:c>
      <x:c r="H52" s="11" t="str">
        <x:v>https://docs.google.com/document/d/1eMHtb7af2W3QsTASP0sfStAy8XuAlmYk4gD3F52qr_w/edit</x:v>
      </x:c>
    </x:row>
    <x:row r="53" ht="39" customHeight="1">
      <x:c r="A53" s="9" t="str">
        <x:v>JU-08</x:v>
      </x:c>
      <x:c r="B53" s="9" t="str">
        <x:v>Gorsuch/Duffy/Greenberg Traurig transaction/access fact.</x:v>
      </x:c>
      <x:c r="C53" s="9" t="str">
        <x:v>H36</x:v>
      </x:c>
      <x:c r="D53" s="9" t="str">
        <x:v>JU-P05, JU-V08</x:v>
      </x:c>
      <x:c r="E53" s="9" t="str">
        <x:v>JU-P05, JU-V08; MISS-JU-02. Lineage PROV-001 P368, P390–P396.</x:v>
      </x:c>
      <x:c r="F53" s="9" t="str">
        <x:v>Research proposition from the earlier register; see linked H entries for dated corrections.</x:v>
      </x:c>
      <x:c r="G53" s="12" t="str">
        <x:f>IFERROR(HYPERLINK(H53,"Open H review"),"Open H review")</x:f>
        <x:v>Open H review</x:v>
      </x:c>
      <x:c r="H53" s="11" t="str">
        <x:v>https://docs.google.com/document/d/1eMHtb7af2W3QsTASP0sfStAy8XuAlmYk4gD3F52qr_w/edit</x:v>
      </x:c>
    </x:row>
    <x:row r="54" ht="39" customHeight="1">
      <x:c r="A54" s="9" t="str">
        <x:v>JU-09</x:v>
      </x:c>
      <x:c r="B54" s="9" t="str">
        <x:v>Roberts spouse recruiting created a case-specific recusal problem.</x:v>
      </x:c>
      <x:c r="C54" s="9" t="str">
        <x:v>H37</x:v>
      </x:c>
      <x:c r="D54" s="9" t="str">
        <x:v>JU-P06, JU-P07, JU-A05, JU-V09</x:v>
      </x:c>
      <x:c r="E54" s="9" t="str">
        <x:v>JU-P06, JU-P07, JU-A05, JU-V09; MISS-JU-03. Lineage PROV-001 P369, P397–P402.</x:v>
      </x:c>
      <x:c r="F54" s="9" t="str">
        <x:v>Research proposition from the earlier register; see linked H entries for dated corrections.</x:v>
      </x:c>
      <x:c r="G54" s="12" t="str">
        <x:f>IFERROR(HYPERLINK(H54,"Open H review"),"Open H review")</x:f>
        <x:v>Open H review</x:v>
      </x:c>
      <x:c r="H54" s="11" t="str">
        <x:v>https://docs.google.com/document/d/1eMHtb7af2W3QsTASP0sfStAy8XuAlmYk4gD3F52qr_w/edit</x:v>
      </x:c>
    </x:row>
    <x:row r="55" ht="39" customHeight="1">
      <x:c r="A55" s="9" t="str">
        <x:v>JU-10</x:v>
      </x:c>
      <x:c r="B55" s="9" t="str">
        <x:v>Kavanaugh and Barrett disclosure entries</x:v>
      </x:c>
      <x:c r="C55" s="9" t="str">
        <x:v>H38</x:v>
      </x:c>
      <x:c r="D55" s="9" t="str">
        <x:v>JU-P08, JU-P09</x:v>
      </x:c>
      <x:c r="E55" s="9" t="str">
        <x:v>JU-P08, JU-P09; MISS-JU-04. Lineage PROV-001 P370–P371, P403–P406.</x:v>
      </x:c>
      <x:c r="F55" s="9" t="str">
        <x:v>Research proposition from the earlier register; see linked H entries for dated corrections.</x:v>
      </x:c>
      <x:c r="G55" s="12" t="str">
        <x:f>IFERROR(HYPERLINK(H55,"Open H review"),"Open H review")</x:f>
        <x:v>Open H review</x:v>
      </x:c>
      <x:c r="H55" s="11" t="str">
        <x:v>https://docs.google.com/document/d/1eMHtb7af2W3QsTASP0sfStAy8XuAlmYk4gD3F52qr_w/edit</x:v>
      </x:c>
    </x:row>
    <x:row r="56" ht="54" customHeight="1">
      <x:c r="A56" s="9" t="str">
        <x:v>JU-11</x:v>
      </x:c>
      <x:c r="B56" s="9" t="str">
        <x:v>Outside networks→presidential nomination→Senate confirmation→good-behavior office formed a durable selection pipeline.</x:v>
      </x:c>
      <x:c r="C56" s="9" t="str">
        <x:v>H32</x:v>
      </x:c>
      <x:c r="D56" s="9" t="str">
        <x:v>JU-P10, JU-P11, JU-P01, JU-A01, JU-V01, JU-A02, JU-A03</x:v>
      </x:c>
      <x:c r="E56" s="9" t="str">
        <x:v>JU-P10, JU-P11, JU-P01, JU-A01, JU-V01, JU-A02, JU-A03. Lineage PROV-001 P408–P453.</x:v>
      </x:c>
      <x:c r="F56" s="9" t="str">
        <x:v>Research proposition from the earlier register; see linked H entries for dated corrections.</x:v>
      </x:c>
      <x:c r="G56" s="12" t="str">
        <x:f>IFERROR(HYPERLINK(H56,"Open H review"),"Open H review")</x:f>
        <x:v>Open H review</x:v>
      </x:c>
      <x:c r="H56" s="11" t="str">
        <x:v>https://docs.google.com/document/d/1eMHtb7af2W3QsTASP0sfStAy8XuAlmYk4gD3F52qr_w/edit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00d2d3a48c24c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3" hidden="0" customWidth="1"/>
    <x:col min="3" max="3" width="27" hidden="0" customWidth="1"/>
    <x:col min="4" max="4" width="63" hidden="0" customWidth="1"/>
    <x:col min="5" max="5" width="68" hidden="0" customWidth="1"/>
    <x:col min="6" max="6" width="47" hidden="0" customWidth="1"/>
    <x:col min="7" max="7" width="23" hidden="0" customWidth="1"/>
    <x:col min="8" max="8" width="16" hidden="0" customWidth="1"/>
    <x:col min="9" max="9" width="80" hidden="0" customWidth="1"/>
  </x:cols>
  <x:sheetData>
    <x:row r="1" ht="38" customHeight="1">
      <x:c r="A1" s="4" t="str">
        <x:v>HUMAN-SIDE SOURCE CATALOG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6" t="str">
        <x:v>79 recovered source-register entries plus 15 edition records. Primary documents, reporting and party assertions retain different descriptions.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8" t="str">
        <x:v>ID</x:v>
      </x:c>
      <x:c r="B4" s="8" t="str">
        <x:v>Source title / date</x:v>
      </x:c>
      <x:c r="C4" s="8" t="str">
        <x:v>Source type</x:v>
      </x:c>
      <x:c r="D4" s="8" t="str">
        <x:v>Scope recorded by source register</x:v>
      </x:c>
      <x:c r="E4" s="8" t="str">
        <x:v>Limit or check detail</x:v>
      </x:c>
      <x:c r="F4" s="8" t="str">
        <x:v>Verification in this edition</x:v>
      </x:c>
      <x:c r="G4" s="8" t="str">
        <x:v>Origin</x:v>
      </x:c>
      <x:c r="H4" s="8" t="str">
        <x:v>Source</x:v>
      </x:c>
      <x:c r="I4" s="8" t="str">
        <x:v>Raw URL</x:v>
      </x:c>
    </x:row>
    <x:row r="5" ht="39" customHeight="1">
      <x:c r="A5" s="9" t="str">
        <x:v>R-01</x:v>
      </x:c>
      <x:c r="B5" s="9" t="str">
        <x:v>White House; Establishment of The White House Faith Office; 2025-02-07; Executive Order</x:v>
      </x:c>
      <x:c r="C5" s="9" t="str">
        <x:v>Official instrument or record</x:v>
      </x:c>
      <x:c r="D5" s="9" t="str">
        <x:v>DPC location; coordinating, consultation, AG-collaboration, liaison, and grant functions.</x:v>
      </x:c>
      <x:c r="E5" s="9" t="str">
        <x:v>No actor-specific influence, preference, benefit, exclusion, or capture.</x:v>
      </x:c>
      <x:c r="F5" s="9" t="str">
        <x:v>Checked in this edition</x:v>
      </x:c>
      <x:c r="G5" s="9" t="str">
        <x:v>COR-052</x:v>
      </x:c>
      <x:c r="H5" s="12" t="str">
        <x:f>IFERROR(HYPERLINK(I5,"Open source"),"Open source")</x:f>
        <x:v>Open source</x:v>
      </x:c>
      <x:c r="I5" s="11" t="str">
        <x:v>https://www.whitehouse.gov/presidential-actions/2025/02/establishment-of-the-white-house-faith-office/</x:v>
      </x:c>
    </x:row>
    <x:row r="6" ht="39" customHeight="1">
      <x:c r="A6" s="9" t="str">
        <x:v>R-02</x:v>
      </x:c>
      <x:c r="B6" s="9" t="str">
        <x:v>White House; President Trump Announces Appointments to the White House Faith Office; 2025-02-07; appointment release</x:v>
      </x:c>
      <x:c r="C6" s="9" t="str">
        <x:v>Official instrument or record</x:v>
      </x:c>
      <x:c r="D6" s="9" t="str">
        <x:v>White-Cain appointment/title.</x:v>
      </x:c>
      <x:c r="E6" s="9" t="str">
        <x:v>No acts, advice, or policy consequence.</x:v>
      </x:c>
      <x:c r="F6" s="9" t="str">
        <x:v>Carried by source register; not independently rechecked here</x:v>
      </x:c>
      <x:c r="G6" s="9" t="str">
        <x:v>COR-052</x:v>
      </x:c>
      <x:c r="H6" s="12" t="str">
        <x:f>IFERROR(HYPERLINK(I6,"Open source"),"Open source")</x:f>
        <x:v>Open source</x:v>
      </x:c>
      <x:c r="I6" s="11" t="str">
        <x:v>https://www.whitehouse.gov/presidential-actions/2025/02/president-trump-announces-appointments-to-the-white-house-faith-office/</x:v>
      </x:c>
    </x:row>
    <x:row r="7" ht="39" customHeight="1">
      <x:c r="A7" s="9" t="str">
        <x:v>R-03</x:v>
      </x:c>
      <x:c r="B7" s="9" t="str">
        <x:v>White House; Eradicating Anti-Christian Bias; 2025-02-06; Executive Order</x:v>
      </x:c>
      <x:c r="C7" s="9" t="str">
        <x:v>Official instrument or record</x:v>
      </x:c>
      <x:c r="D7" s="9" t="str">
        <x:v>Task-force creation, AG chair, membership, recommendation route.</x:v>
      </x:c>
      <x:c r="E7" s="9" t="str">
        <x:v>Recitals/accusations about prior conduct are not independently proved.</x:v>
      </x:c>
      <x:c r="F7" s="9" t="str">
        <x:v>Checked in this edition</x:v>
      </x:c>
      <x:c r="G7" s="9" t="str">
        <x:v>COR-052</x:v>
      </x:c>
      <x:c r="H7" s="12" t="str">
        <x:f>IFERROR(HYPERLINK(I7,"Open source"),"Open source")</x:f>
        <x:v>Open source</x:v>
      </x:c>
      <x:c r="I7" s="11" t="str">
        <x:v>https://www.whitehouse.gov/presidential-actions/2025/02/eradicating-anti-christian-bias/</x:v>
      </x:c>
    </x:row>
    <x:row r="8" ht="39" customHeight="1">
      <x:c r="A8" s="9" t="str">
        <x:v>R-04</x:v>
      </x:c>
      <x:c r="B8" s="9" t="str">
        <x:v>DOJ OPA; Attorney General Pamela Bondi Hosts First Task Force Meeting…; 2025-04-22; official release</x:v>
      </x:c>
      <x:c r="C8" s="9" t="str">
        <x:v>Official instrument or record</x:v>
      </x:c>
      <x:c r="D8" s="9" t="str">
        <x:v>Inaugural meeting and named agency attendance.</x:v>
      </x:c>
      <x:c r="E8" s="9" t="str">
        <x:v>Participant allegations remain assertions; no implementation consequence.</x:v>
      </x:c>
      <x:c r="F8" s="9" t="str">
        <x:v>Carried by source register; not independently rechecked here</x:v>
      </x:c>
      <x:c r="G8" s="9" t="str">
        <x:v>COR-052</x:v>
      </x:c>
      <x:c r="H8" s="12" t="str">
        <x:f>IFERROR(HYPERLINK(I8,"Open source"),"Open source")</x:f>
        <x:v>Open source</x:v>
      </x:c>
      <x:c r="I8" s="11" t="str">
        <x:v>https://www.justice.gov/opa/pr/attorney-general-pamela-bondi-hosts-first-task-force-meeting-eradicate-anti-christian-bias</x:v>
      </x:c>
    </x:row>
    <x:row r="9" ht="39" customHeight="1">
      <x:c r="A9" s="9" t="str">
        <x:v>R-05</x:v>
      </x:c>
      <x:c r="B9" s="9" t="str">
        <x:v>Attorney General; Federal Law Protections for Religious Liberty; 2026-07-23; memorandum to all departments/agencies</x:v>
      </x:c>
      <x:c r="C9" s="9" t="str">
        <x:v>Official instrument or record</x:v>
      </x:c>
      <x:c r="D9" s="9" t="str">
        <x:v>Government-wide guidance affecting programs, employment, contracts, grants, rules, and enforcement.</x:v>
      </x:c>
      <x:c r="E9" s="9" t="str">
        <x:v>No unconstitutional, selective, or corrupt application.</x:v>
      </x:c>
      <x:c r="F9" s="9" t="str">
        <x:v>Checked in this edition</x:v>
      </x:c>
      <x:c r="G9" s="9" t="str">
        <x:v>COR-052</x:v>
      </x:c>
      <x:c r="H9" s="12" t="str">
        <x:f>IFERROR(HYPERLINK(I9,"Open source"),"Open source")</x:f>
        <x:v>Open source</x:v>
      </x:c>
      <x:c r="I9" s="11" t="str">
        <x:v>https://www.justice.gov/opa/media/1453756/dl?inline=</x:v>
      </x:c>
    </x:row>
    <x:row r="10" ht="39" customHeight="1">
      <x:c r="A10" s="9" t="str">
        <x:v>C-01</x:v>
      </x:c>
      <x:c r="B10" s="9" t="str">
        <x:v>OGE; Todd Blanche OGE Form 278e; signed 2025-01-18, certified 2025-02-11</x:v>
      </x:c>
      <x:c r="C10" s="9" t="str">
        <x:v>Official instrument or record</x:v>
      </x:c>
      <x:c r="D10" s="9" t="str">
        <x:v>Crypto assets and verbatim value bands.</x:v>
      </x:c>
      <x:c r="E10" s="9" t="str">
        <x:v>Bands are not transaction-day values; no policy effect or motive.</x:v>
      </x:c>
      <x:c r="F10" s="9" t="str">
        <x:v>Checked in this edition</x:v>
      </x:c>
      <x:c r="G10" s="9" t="str">
        <x:v>COR-052</x:v>
      </x:c>
      <x:c r="H10" s="12" t="str">
        <x:f>IFERROR(HYPERLINK(I10,"Open source"),"Open source")</x:f>
        <x:v>Open source</x:v>
      </x:c>
      <x:c r="I10" s="11" t="str">
        <x:v>https://extapps2.oge.gov/201/Presiden.nsf/PAS+Index/4B1E6A519F015E7D85258C30003200C5/$FILE/Blanche%2C%20Todd%20%20final278.pdf</x:v>
      </x:c>
    </x:row>
    <x:row r="11" ht="39" customHeight="1">
      <x:c r="A11" s="9" t="str">
        <x:v>C-02</x:v>
      </x:c>
      <x:c r="B11" s="9" t="str">
        <x:v>Todd Blanche/OGE; Ethics Agreement; 2025-02-10</x:v>
      </x:c>
      <x:c r="C11" s="9" t="str">
        <x:v>Official instrument or record</x:v>
      </x:c>
      <x:c r="D11" s="9" t="str">
        <x:v>Divestiture, interim nonparticipation, waiver/exemption alternatives.</x:v>
      </x:c>
      <x:c r="E11" s="9" t="str">
        <x:v>Does not determine whether the April 7 memorandum was covered or directly/predictably affected an interest.</x:v>
      </x:c>
      <x:c r="F11" s="9" t="str">
        <x:v>Checked in this edition</x:v>
      </x:c>
      <x:c r="G11" s="9" t="str">
        <x:v>COR-052</x:v>
      </x:c>
      <x:c r="H11" s="12" t="str">
        <x:f>IFERROR(HYPERLINK(I11,"Open source"),"Open source")</x:f>
        <x:v>Open source</x:v>
      </x:c>
      <x:c r="I11" s="11" t="str">
        <x:v>https://extapps2.oge.gov/201/Presiden.nsf/PAS+Index/0E4C3EB0ACE8404785258C30003217F2/$FILE/Blanche%2C%20Todd%20%20finalEA.pdf</x:v>
      </x:c>
    </x:row>
    <x:row r="12" ht="39" customHeight="1">
      <x:c r="A12" s="9" t="str">
        <x:v>C-03</x:v>
      </x:c>
      <x:c r="B12" s="9" t="str">
        <x:v>Deputy AG Todd Blanche/DOJ; Ending Regulation By Prosecution; 2025-04-07; memorandum</x:v>
      </x:c>
      <x:c r="C12" s="9" t="str">
        <x:v>Official instrument or record</x:v>
      </x:c>
      <x:c r="D12" s="9" t="str">
        <x:v>Issuance, NCET disbandment, narrowed platform/regulatory cases, retained crime priorities.</x:v>
      </x:c>
      <x:c r="E12" s="9" t="str">
        <x:v>No ethics analysis, asset effect, or intent.</x:v>
      </x:c>
      <x:c r="F12" s="9" t="str">
        <x:v>Checked in this edition</x:v>
      </x:c>
      <x:c r="G12" s="9" t="str">
        <x:v>COR-052</x:v>
      </x:c>
      <x:c r="H12" s="12" t="str">
        <x:f>IFERROR(HYPERLINK(I12,"Open source"),"Open source")</x:f>
        <x:v>Open source</x:v>
      </x:c>
      <x:c r="I12" s="11" t="str">
        <x:v>https://www.justice.gov/dag/media/1395781/dl?inline=</x:v>
      </x:c>
    </x:row>
    <x:row r="13" ht="54" customHeight="1">
      <x:c r="A13" s="9" t="str">
        <x:v>C-04</x:v>
      </x:c>
      <x:c r="B13" s="9" t="str">
        <x:v>OGE; Todd Blanche OGE Form 278-T; filed 2025-06-03, certified 2025-07-10</x:v>
      </x:c>
      <x:c r="C13" s="9" t="str">
        <x:v>Official instrument or record</x:v>
      </x:c>
      <x:c r="D13" s="9" t="str">
        <x:v>Sales dated 2025-05-28 through 2025-06-02; comment reports certain crypto gifted in entirety to adult children/grandchild.</x:v>
      </x:c>
      <x:c r="E13" s="9" t="str">
        <x:v>No retained-interest, imputation, agreement-compliance, certificate, or April 7 clearance determination.</x:v>
      </x:c>
      <x:c r="F13" s="9" t="str">
        <x:v>Checked in this edition</x:v>
      </x:c>
      <x:c r="G13" s="9" t="str">
        <x:v>COR-052</x:v>
      </x:c>
      <x:c r="H13" s="12" t="str">
        <x:f>IFERROR(HYPERLINK(I13,"Open source"),"Open source")</x:f>
        <x:v>Open source</x:v>
      </x:c>
      <x:c r="I13" s="11" t="str">
        <x:v>https://extapps2.oge.gov/201/Presiden.nsf/PAS+Index/9E22E6BED062C62D85258CC5002C7DEA/$FILE/Todd-Blanche-06.03.2025-278T.pdf</x:v>
      </x:c>
    </x:row>
    <x:row r="14" ht="39" customHeight="1">
      <x:c r="A14" s="9" t="str">
        <x:v>C-06</x:v>
      </x:c>
      <x:c r="B14" s="9" t="str">
        <x:v>Office of Sen. Mazie Hirono; oversight letter/release; 2026-01-28</x:v>
      </x:c>
      <x:c r="C14" s="9" t="str">
        <x:v>Party statement, pleading or allegation</x:v>
      </x:c>
      <x:c r="D14" s="9" t="str">
        <x:v>Oversight request, questions, requested records.</x:v>
      </x:c>
      <x:c r="E14" s="9" t="str">
        <x:v>No violation finding.</x:v>
      </x:c>
      <x:c r="F14" s="9" t="str">
        <x:v>Carried by source register; not independently rechecked here</x:v>
      </x:c>
      <x:c r="G14" s="9" t="str">
        <x:v>COR-052</x:v>
      </x:c>
      <x:c r="H14" s="12" t="str">
        <x:f>IFERROR(HYPERLINK(I14,"Open source"),"Open source")</x:f>
        <x:v>Open source</x:v>
      </x:c>
      <x:c r="I14" s="11" t="str">
        <x:v>https://www.hirono.senate.gov/news/press-releases/hirono-warren-durbin-lead-colleagues-in-pressing-deputy-attorney-general-blanche-on-conflicts-of-interest-following-decision-to-ease-prosecution-of-cryptocurrency-related-crimes</x:v>
      </x:c>
    </x:row>
    <x:row r="15" ht="39" customHeight="1">
      <x:c r="A15" s="9" t="str">
        <x:v>C-07</x:v>
      </x:c>
      <x:c r="B15" s="9" t="str">
        <x:v>Senate Judiciary Committee Democrats; oversight-status release; 2026-07-01</x:v>
      </x:c>
      <x:c r="C15" s="9" t="str">
        <x:v>Party statement, pleading or allegation</x:v>
      </x:c>
      <x:c r="D15" s="9" t="str">
        <x:v>Committee’s public response tracking.</x:v>
      </x:c>
      <x:c r="E15" s="9" t="str">
        <x:v>Nonresponse does not establish absent clearance or noncompliance.</x:v>
      </x:c>
      <x:c r="F15" s="9" t="str">
        <x:v>Carried by source register; not independently rechecked here</x:v>
      </x:c>
      <x:c r="G15" s="9" t="str">
        <x:v>COR-052</x:v>
      </x:c>
      <x:c r="H15" s="12" t="str">
        <x:f>IFERROR(HYPERLINK(I15,"Open source"),"Open source")</x:f>
        <x:v>Open source</x:v>
      </x:c>
      <x:c r="I15" s="11" t="str">
        <x:v>https://www.judiciary.senate.gov/press/dem/releases/senate-judiciary-democrats-demand-todd-blanche-answer-to-dozens-of-oversight-requests-ignored-by-justice-department</x:v>
      </x:c>
    </x:row>
    <x:row r="16" ht="39" customHeight="1">
      <x:c r="A16" s="9" t="str">
        <x:v>C-08</x:v>
      </x:c>
      <x:c r="B16" s="9" t="str">
        <x:v>U.S. Code; 18 U.S.C. §208</x:v>
      </x:c>
      <x:c r="C16" s="9" t="str">
        <x:v>Official instrument or record</x:v>
      </x:c>
      <x:c r="D16" s="9" t="str">
        <x:v>Elements and individualized §208(b)(1) waiver route.</x:v>
      </x:c>
      <x:c r="E16" s="9" t="str">
        <x:v>Does not adjudicate Blanche.</x:v>
      </x:c>
      <x:c r="F16" s="9" t="str">
        <x:v>Checked in this edition</x:v>
      </x:c>
      <x:c r="G16" s="9" t="str">
        <x:v>COR-052</x:v>
      </x:c>
      <x:c r="H16" s="12" t="str">
        <x:f>IFERROR(HYPERLINK(I16,"Open source"),"Open source")</x:f>
        <x:v>Open source</x:v>
      </x:c>
      <x:c r="I16" s="11" t="str">
        <x:v>https://www.govinfo.gov/link/uscode/18/208</x:v>
      </x:c>
    </x:row>
    <x:row r="17" ht="39" customHeight="1">
      <x:c r="A17" s="9" t="str">
        <x:v>C-09</x:v>
      </x:c>
      <x:c r="B17" s="9" t="str">
        <x:v>eCFR; 5 C.F.R. Part 2640; current through 2026-08-18</x:v>
      </x:c>
      <x:c r="C17" s="9" t="str">
        <x:v>Official instrument or record</x:v>
      </x:c>
      <x:c r="D17" s="9" t="str">
        <x:v>Exemptions, waivers, direct-and-predictable-effect framework.</x:v>
      </x:c>
      <x:c r="E17" s="9" t="str">
        <x:v>No Blanche-specific determination.</x:v>
      </x:c>
      <x:c r="F17" s="9" t="str">
        <x:v>Carried by source register; not independently rechecked here</x:v>
      </x:c>
      <x:c r="G17" s="9" t="str">
        <x:v>COR-052</x:v>
      </x:c>
      <x:c r="H17" s="12" t="str">
        <x:f>IFERROR(HYPERLINK(I17,"Open source"),"Open source")</x:f>
        <x:v>Open source</x:v>
      </x:c>
      <x:c r="I17" s="11" t="str">
        <x:v>https://www.ecfr.gov/current/title-5/chapter-XVI/subchapter-B/part-2640</x:v>
      </x:c>
    </x:row>
    <x:row r="18" ht="39" customHeight="1">
      <x:c r="A18" s="9" t="str">
        <x:v>C-10</x:v>
      </x:c>
      <x:c r="B18" s="9" t="str">
        <x:v>OGE; 18 U.S.C. §208(a) Job Aid; 2026</x:v>
      </x:c>
      <x:c r="C18" s="9" t="str">
        <x:v>Official instrument or record</x:v>
      </x:c>
      <x:c r="D18" s="9" t="str">
        <x:v>Official explanation of particular matters and direct/predictable effect.</x:v>
      </x:c>
      <x:c r="E18" s="9" t="str">
        <x:v>Guidance, not adjudication.</x:v>
      </x:c>
      <x:c r="F18" s="9" t="str">
        <x:v>Carried by source register; not independently rechecked here</x:v>
      </x:c>
      <x:c r="G18" s="9" t="str">
        <x:v>COR-052</x:v>
      </x:c>
      <x:c r="H18" s="12" t="str">
        <x:f>IFERROR(HYPERLINK(I18,"Open source"),"Open source")</x:f>
        <x:v>Open source</x:v>
      </x:c>
      <x:c r="I18" s="11" t="str">
        <x:v>https://extapps2.oge.gov/Training/OGETraining.nsf/xsp/.ibmmodres/domino/OpenAttachment/training/ogetraining.nsf/D699B9D62E9E16B885258D77004F256A/Body/18%20U.S.C.%20208%28a%29%20Job%20Aid.pdf</x:v>
      </x:c>
    </x:row>
    <x:row r="19" ht="39" customHeight="1">
      <x:c r="A19" s="9" t="str">
        <x:v>T-01</x:v>
      </x:c>
      <x:c r="B19" s="9" t="str">
        <x:v>OGE; Donald J. Trump annual OGE Form 278e for 2025; received 2026-06-29</x:v>
      </x:c>
      <x:c r="C19" s="9" t="str">
        <x:v>Official instrument or record</x:v>
      </x:c>
      <x:c r="D19" s="9" t="str">
        <x:v>Recoverable World Liberty and digital-asset-linked components.</x:v>
      </x:c>
      <x:c r="E19" s="9" t="str">
        <x:v>Does not supply one defined “crypto income” aggregate.</x:v>
      </x:c>
      <x:c r="F19" s="9" t="str">
        <x:v>Carried by source register; not independently rechecked here</x:v>
      </x:c>
      <x:c r="G19" s="9" t="str">
        <x:v>COR-052</x:v>
      </x:c>
      <x:c r="H19" s="12" t="str">
        <x:f>IFERROR(HYPERLINK(I19,"Open source"),"Open source")</x:f>
        <x:v>Open source</x:v>
      </x:c>
      <x:c r="I19" s="11" t="str">
        <x:v>https://extapps2.oge.gov/201/Presiden.nsf/PAS%2BIndex/69AEAA9D7455ACD585258E27002DDEE1/%24FILE/Donald-J-Trump-2026-278ANNUAL.pdf</x:v>
      </x:c>
    </x:row>
    <x:row r="20" ht="39" customHeight="1">
      <x:c r="A20" s="9" t="str">
        <x:v>T-04</x:v>
      </x:c>
      <x:c r="B20" s="9" t="str">
        <x:v>White House; Strengthening American Leadership in Digital Financial Technology; 2025-01-23; Executive Order</x:v>
      </x:c>
      <x:c r="C20" s="9" t="str">
        <x:v>Official instrument or record</x:v>
      </x:c>
      <x:c r="D20" s="9" t="str">
        <x:v>Administration-wide digital-asset policy/working-group architecture.</x:v>
      </x:c>
      <x:c r="E20" s="9" t="str">
        <x:v>No tailoring to Trump ventures or corrupt purpose.</x:v>
      </x:c>
      <x:c r="F20" s="9" t="str">
        <x:v>Carried by source register; not independently rechecked here</x:v>
      </x:c>
      <x:c r="G20" s="9" t="str">
        <x:v>COR-052</x:v>
      </x:c>
      <x:c r="H20" s="12" t="str">
        <x:f>IFERROR(HYPERLINK(I20,"Open source"),"Open source")</x:f>
        <x:v>Open source</x:v>
      </x:c>
      <x:c r="I20" s="11" t="str">
        <x:v>https://www.whitehouse.gov/presidential-actions/2025/01/strengthening-american-leadership-in-digital-financial-technology/</x:v>
      </x:c>
    </x:row>
    <x:row r="21" ht="39" customHeight="1">
      <x:c r="A21" s="9" t="str">
        <x:v>T-05</x:v>
      </x:c>
      <x:c r="B21" s="9" t="str">
        <x:v>White House; Establishment of the Strategic Bitcoin Reserve…; 2025-03-06; Executive Order</x:v>
      </x:c>
      <x:c r="C21" s="9" t="str">
        <x:v>Official instrument or record</x:v>
      </x:c>
      <x:c r="D21" s="9" t="str">
        <x:v>Major digital-asset policy action.</x:v>
      </x:c>
      <x:c r="E21" s="9" t="str">
        <x:v>No private-benefit causal join.</x:v>
      </x:c>
      <x:c r="F21" s="9" t="str">
        <x:v>Carried by source register; not independently rechecked here</x:v>
      </x:c>
      <x:c r="G21" s="9" t="str">
        <x:v>COR-052</x:v>
      </x:c>
      <x:c r="H21" s="12" t="str">
        <x:f>IFERROR(HYPERLINK(I21,"Open source"),"Open source")</x:f>
        <x:v>Open source</x:v>
      </x:c>
      <x:c r="I21" s="11" t="str">
        <x:v>https://www.whitehouse.gov/presidential-actions/2025/03/establishment-of-the-strategic-bitcoin-reserve-and-united-states-digital-asset-stockpile/</x:v>
      </x:c>
    </x:row>
    <x:row r="22" ht="39" customHeight="1">
      <x:c r="A22" s="9" t="str">
        <x:v>T-06</x:v>
      </x:c>
      <x:c r="B22" s="9" t="str">
        <x:v>U.S. Code; 18 U.S.C. §202(c)</x:v>
      </x:c>
      <x:c r="C22" s="9" t="str">
        <x:v>Official instrument or record</x:v>
      </x:c>
      <x:c r="D22" s="9" t="str">
        <x:v>Presidential exclusion from the employee definition for §§203, 205, and 207–209.</x:v>
      </x:c>
      <x:c r="E22" s="9" t="str">
        <x:v>Does not resolve other ethics, constitutional, disclosure, or political questions.</x:v>
      </x:c>
      <x:c r="F22" s="9" t="str">
        <x:v>Carried by source register; not independently rechecked here</x:v>
      </x:c>
      <x:c r="G22" s="9" t="str">
        <x:v>COR-052</x:v>
      </x:c>
      <x:c r="H22" s="12" t="str">
        <x:f>IFERROR(HYPERLINK(I22,"Open source"),"Open source")</x:f>
        <x:v>Open source</x:v>
      </x:c>
      <x:c r="I22" s="11" t="str">
        <x:v>https://www.govinfo.gov/link/uscode/18/202</x:v>
      </x:c>
    </x:row>
    <x:row r="23" ht="39" customHeight="1">
      <x:c r="A23" s="9" t="str">
        <x:v>T-08</x:v>
      </x:c>
      <x:c r="B23" s="9" t="str">
        <x:v>DOJ OPA; Binance and CEO Plead Guilty to Federal Charges in $4B Resolution; 2023-11-21</x:v>
      </x:c>
      <x:c r="C23" s="9" t="str">
        <x:v>Official instrument or record</x:v>
      </x:c>
      <x:c r="D23" s="9" t="str">
        <x:v>Binance/Zhao criminal resolution.</x:v>
      </x:c>
      <x:c r="E23" s="9" t="str">
        <x:v>No link to USD1 or clemency.</x:v>
      </x:c>
      <x:c r="F23" s="9" t="str">
        <x:v>Carried by source register; not independently rechecked here</x:v>
      </x:c>
      <x:c r="G23" s="9" t="str">
        <x:v>COR-052</x:v>
      </x:c>
      <x:c r="H23" s="12" t="str">
        <x:f>IFERROR(HYPERLINK(I23,"Open source"),"Open source")</x:f>
        <x:v>Open source</x:v>
      </x:c>
      <x:c r="I23" s="11" t="str">
        <x:v>https://www.justice.gov/archives/opa/pr/binance-and-ceo-plead-guilty-federal-charges-4b-resolution</x:v>
      </x:c>
    </x:row>
    <x:row r="24" ht="39" customHeight="1">
      <x:c r="A24" s="9" t="str">
        <x:v>T-09</x:v>
      </x:c>
      <x:c r="B24" s="9" t="str">
        <x:v>President/DOJ Pardon Office; Pardon — Changpeng Zhao; 2025-10-21</x:v>
      </x:c>
      <x:c r="C24" s="9" t="str">
        <x:v>Official instrument or record</x:v>
      </x:c>
      <x:c r="D24" s="9" t="str">
        <x:v>Pardon fact/date.</x:v>
      </x:c>
      <x:c r="E24" s="9" t="str">
        <x:v>No rationale, recommendation trail, contacts, lobbying, or consideration.</x:v>
      </x:c>
      <x:c r="F24" s="9" t="str">
        <x:v>Carried by source register; not independently rechecked here</x:v>
      </x:c>
      <x:c r="G24" s="9" t="str">
        <x:v>COR-052</x:v>
      </x:c>
      <x:c r="H24" s="12" t="str">
        <x:f>IFERROR(HYPERLINK(I24,"Open source"),"Open source")</x:f>
        <x:v>Open source</x:v>
      </x:c>
      <x:c r="I24" s="11" t="str">
        <x:v>https://www.justice.gov/pardon/media/1416576/dl?inline=</x:v>
      </x:c>
    </x:row>
    <x:row r="25" ht="39" customHeight="1">
      <x:c r="A25" s="9" t="str">
        <x:v>T-11</x:v>
      </x:c>
      <x:c r="B25" s="9" t="str">
        <x:v>Office of Rep. Sean Casten; congressional letter/release; 2025-11-06</x:v>
      </x:c>
      <x:c r="C25" s="9" t="str">
        <x:v>Party statement, pleading or allegation</x:v>
      </x:c>
      <x:c r="D25" s="9" t="str">
        <x:v>Congressional concern/request.</x:v>
      </x:c>
      <x:c r="E25" s="9" t="str">
        <x:v>No causal or intent finding.</x:v>
      </x:c>
      <x:c r="F25" s="9" t="str">
        <x:v>Carried by source register; not independently rechecked here</x:v>
      </x:c>
      <x:c r="G25" s="9" t="str">
        <x:v>COR-052</x:v>
      </x:c>
      <x:c r="H25" s="12" t="str">
        <x:f>IFERROR(HYPERLINK(I25,"Open source"),"Open source")</x:f>
        <x:v>Open source</x:v>
      </x:c>
      <x:c r="I25" s="11" t="str">
        <x:v>https://casten.house.gov/media/press-releases/casten-27-house-dems-condemn-pardon-of-binance-founder</x:v>
      </x:c>
    </x:row>
    <x:row r="26" ht="39" customHeight="1">
      <x:c r="A26" s="9" t="str">
        <x:v>P-01</x:v>
      </x:c>
      <x:c r="B26" s="9" t="str">
        <x:v>Department of Defense; Contracts For May 21, 2025; award 2025-05-20; modification P00005/W911QX-24-D-0012</x:v>
      </x:c>
      <x:c r="C26" s="9" t="str">
        <x:v>Official instrument or record</x:v>
      </x:c>
      <x:c r="D26" s="9" t="str">
        <x:v>$795M Maven Smart System license modification; estimated completion 2029-05-28.</x:v>
      </x:c>
      <x:c r="E26" s="9" t="str">
        <x:v>Does not mean $795M obligated/spent or prove operational use.</x:v>
      </x:c>
      <x:c r="F26" s="9" t="str">
        <x:v>Checked in this edition</x:v>
      </x:c>
      <x:c r="G26" s="9" t="str">
        <x:v>COR-052</x:v>
      </x:c>
      <x:c r="H26" s="12" t="str">
        <x:f>IFERROR(HYPERLINK(I26,"Open source"),"Open source")</x:f>
        <x:v>Open source</x:v>
      </x:c>
      <x:c r="I26" s="11" t="str">
        <x:v>https://www.war.gov/News/Contracts/Contract/Article/4194643/</x:v>
      </x:c>
    </x:row>
    <x:row r="27" ht="39" customHeight="1">
      <x:c r="A27" s="9" t="str">
        <x:v>P-02</x:v>
      </x:c>
      <x:c r="B27" s="9" t="str">
        <x:v>U.S. Army; enterprise service agreement announcement; 2025-07-31</x:v>
      </x:c>
      <x:c r="C27" s="9" t="str">
        <x:v>Official instrument or record</x:v>
      </x:c>
      <x:c r="D27" s="9" t="str">
        <x:v>75-contract consolidation, up-to-10-year term, $10B cap.</x:v>
      </x:c>
      <x:c r="E27" s="9" t="str">
        <x:v>Army says cap is not a commitment and cites efficiency/competition.</x:v>
      </x:c>
      <x:c r="F27" s="9" t="str">
        <x:v>Checked in this edition</x:v>
      </x:c>
      <x:c r="G27" s="9" t="str">
        <x:v>COR-052</x:v>
      </x:c>
      <x:c r="H27" s="12" t="str">
        <x:f>IFERROR(HYPERLINK(I27,"Open source"),"Open source")</x:f>
        <x:v>Open source</x:v>
      </x:c>
      <x:c r="I27" s="11" t="str">
        <x:v>https://www.army.mil/article/287506/u_s_army_awards_enterprise_service_agreement_to_enhance_military_readiness_and_drive_operational_efficiency</x:v>
      </x:c>
    </x:row>
    <x:row r="28" ht="39" customHeight="1">
      <x:c r="A28" s="9" t="str">
        <x:v>P-03</x:v>
      </x:c>
      <x:c r="B28" s="9" t="str">
        <x:v>ICE/SAM; ICM and Investigative Analytics modernization notice; posted 2026-01-16; J&amp;A-25-0266</x:v>
      </x:c>
      <x:c r="C28" s="9" t="str">
        <x:v>Official instrument or record</x:v>
      </x:c>
      <x:c r="D28" s="9" t="str">
        <x:v>Gotham incumbency, O&amp;M through 2027, proprietary IP, FedRAMP, 42-vendor research, claimed migration risk.</x:v>
      </x:c>
      <x:c r="E28" s="9" t="str">
        <x:v>Redactions and underlying research remain missing; sole source is not automatically unlawful.</x:v>
      </x:c>
      <x:c r="F28" s="9" t="str">
        <x:v>Carried by source register; not independently rechecked here</x:v>
      </x:c>
      <x:c r="G28" s="9" t="str">
        <x:v>COR-052</x:v>
      </x:c>
      <x:c r="H28" s="12" t="str">
        <x:f>IFERROR(HYPERLINK(I28,"Open source"),"Open source")</x:f>
        <x:v>Open source</x:v>
      </x:c>
      <x:c r="I28" s="11" t="str">
        <x:v>https://sam.gov/opp/5477991867424397affe85e2fad8b5fc/view</x:v>
      </x:c>
    </x:row>
    <x:row r="29" ht="39" customHeight="1">
      <x:c r="A29" s="9" t="str">
        <x:v>P-04</x:v>
      </x:c>
      <x:c r="B29" s="9" t="str">
        <x:v>FBI/DOJ; USAspending award 15F06723C0002443; 2023-09-20</x:v>
      </x:c>
      <x:c r="C29" s="9" t="str">
        <x:v>Official instrument or record</x:v>
      </x:c>
      <x:c r="D29" s="9" t="str">
        <x:v>EKAP O&amp;M covering Mint/Gotham/Raven and Palantir-accepted vendor requirement.</x:v>
      </x:c>
      <x:c r="E29" s="9" t="str">
        <x:v>No Patel participation.</x:v>
      </x:c>
      <x:c r="F29" s="9" t="str">
        <x:v>Carried by source register; not independently rechecked here</x:v>
      </x:c>
      <x:c r="G29" s="9" t="str">
        <x:v>COR-052</x:v>
      </x:c>
      <x:c r="H29" s="12" t="str">
        <x:f>IFERROR(HYPERLINK(I29,"Open source"),"Open source")</x:f>
        <x:v>Open source</x:v>
      </x:c>
      <x:c r="I29" s="11" t="str">
        <x:v>https://www.usaspending.gov/keyword_search/15F06723C0002443</x:v>
      </x:c>
    </x:row>
    <x:row r="30" ht="39" customHeight="1">
      <x:c r="A30" s="9" t="str">
        <x:v>P-05</x:v>
      </x:c>
      <x:c r="B30" s="9" t="str">
        <x:v>CMS; Data Sharing Agreements; modified 2026-01-23</x:v>
      </x:c>
      <x:c r="C30" s="9" t="str">
        <x:v>Official instrument or record</x:v>
      </x:c>
      <x:c r="D30" s="9" t="str">
        <x:v>IEA requirement for exchange of protected data with outside agencies.</x:v>
      </x:c>
      <x:c r="E30" s="9" t="str">
        <x:v>Does not establish transaction-specific compliance or violation.</x:v>
      </x:c>
      <x:c r="F30" s="9" t="str">
        <x:v>Carried by source register; not independently rechecked here</x:v>
      </x:c>
      <x:c r="G30" s="9" t="str">
        <x:v>COR-052</x:v>
      </x:c>
      <x:c r="H30" s="12" t="str">
        <x:f>IFERROR(HYPERLINK(I30,"Open source"),"Open source")</x:f>
        <x:v>Open source</x:v>
      </x:c>
      <x:c r="I30" s="11" t="str">
        <x:v>https://www.cms.gov/about-cms/information-systems/privacy/data-sharing-agreements</x:v>
      </x:c>
    </x:row>
    <x:row r="31" ht="39" customHeight="1">
      <x:c r="A31" s="9" t="str">
        <x:v>P-06</x:v>
      </x:c>
      <x:c r="B31" s="9" t="str">
        <x:v>N.D. Cal.; California v. HHS, No. 3:25-cv-05536-VC, ECF 98; preliminary-injunction order; 2025-08-12</x:v>
      </x:c>
      <x:c r="C31" s="9" t="str">
        <x:v>Official instrument or record</x:v>
      </x:c>
      <x:c r="D31" s="9" t="str">
        <x:v>CMS began sharing data with ICE in June 2025 and entered formal agreement in July; limited injunction.</x:v>
      </x:c>
      <x:c r="E31" s="9" t="str">
        <x:v>Sharing not categorically unlawful; legal landscape described as complex.</x:v>
      </x:c>
      <x:c r="F31" s="9" t="str">
        <x:v>Carried by source register; not independently rechecked here</x:v>
      </x:c>
      <x:c r="G31" s="9" t="str">
        <x:v>COR-052</x:v>
      </x:c>
      <x:c r="H31" s="12" t="str">
        <x:f>IFERROR(HYPERLINK(I31,"Open source"),"Open source")</x:f>
        <x:v>Open source</x:v>
      </x:c>
      <x:c r="I31" s="11" t="str">
        <x:v>https://oag.ca.gov/system/files/attachments/press-docs/98%20Order%20Granting%20in%20Part%20and%20Denying%20in%20Part%20PI.pdf</x:v>
      </x:c>
    </x:row>
    <x:row r="32" ht="39" customHeight="1">
      <x:c r="A32" s="9" t="str">
        <x:v>P-07</x:v>
      </x:c>
      <x:c r="B32" s="9" t="str">
        <x:v>Same docket, ECF 182-2; redacted Exhibit A; filed 2026-07</x:v>
      </x:c>
      <x:c r="C32" s="9" t="str">
        <x:v>Official instrument or record</x:v>
      </x:c>
      <x:c r="D32" s="9" t="str">
        <x:v>Apparent ICE request to Palantir personnel to delete the file.</x:v>
      </x:c>
      <x:c r="E32" s="9" t="str">
        <x:v>Redacted/incomplete; no production ingestion or downstream use.</x:v>
      </x:c>
      <x:c r="F32" s="9" t="str">
        <x:v>Carried by source register; not independently rechecked here</x:v>
      </x:c>
      <x:c r="G32" s="9" t="str">
        <x:v>COR-052</x:v>
      </x:c>
      <x:c r="H32" s="12" t="str">
        <x:f>IFERROR(HYPERLINK(I32,"Open source"),"Open source")</x:f>
        <x:v>Open source</x:v>
      </x:c>
      <x:c r="I32" s="11" t="str">
        <x:v>https://www.courtlistener.com/docket/70687026/182/2/state-of-california-v-us-department-of-health-and-human-services/</x:v>
      </x:c>
    </x:row>
    <x:row r="33" ht="39" customHeight="1">
      <x:c r="A33" s="9" t="str">
        <x:v>P-08</x:v>
      </x:c>
      <x:c r="B33" s="9" t="str">
        <x:v>GSA; Greg Barbaccia Appointed Acting Director…; 2026-02-19</x:v>
      </x:c>
      <x:c r="C33" s="9" t="str">
        <x:v>Official instrument or record</x:v>
      </x:c>
      <x:c r="D33" s="9" t="str">
        <x:v>Appointment effective immediately.</x:v>
      </x:c>
      <x:c r="E33" s="9" t="str">
        <x:v>Corrects May 7: that date was a profile update, not appointment.</x:v>
      </x:c>
      <x:c r="F33" s="9" t="str">
        <x:v>Carried by source register; not independently rechecked here</x:v>
      </x:c>
      <x:c r="G33" s="9" t="str">
        <x:v>COR-052</x:v>
      </x:c>
      <x:c r="H33" s="12" t="str">
        <x:f>IFERROR(HYPERLINK(I33,"Open source"),"Open source")</x:f>
        <x:v>Open source</x:v>
      </x:c>
      <x:c r="I33" s="11" t="str">
        <x:v>https://www.gsa.gov/about-gsa/newsroom/news-releases/greg-barbaccia-appointed-acting-director-of-the-tts-02192026</x:v>
      </x:c>
    </x:row>
    <x:row r="34" ht="39" customHeight="1">
      <x:c r="A34" s="9" t="str">
        <x:v>P-09</x:v>
      </x:c>
      <x:c r="B34" s="9" t="str">
        <x:v>OMB ethics filing; Gregory J. Barbaccia new-entrant OGE Form 278e; certified 2025-04-03</x:v>
      </x:c>
      <x:c r="C34" s="9" t="str">
        <x:v>Official instrument or record</x:v>
      </x:c>
      <x:c r="D34" s="9" t="str">
        <x:v>Entry-period Palantir stock $1,001–$15,000.</x:v>
      </x:c>
      <x:c r="E34" s="9" t="str">
        <x:v>Does not establish later retention.</x:v>
      </x:c>
      <x:c r="F34" s="9" t="str">
        <x:v>Carried by source register; not independently rechecked here</x:v>
      </x:c>
      <x:c r="G34" s="9" t="str">
        <x:v>COR-052</x:v>
      </x:c>
      <x:c r="H34" s="12" t="str">
        <x:f>IFERROR(HYPERLINK(I34,"Open source"),"Open source")</x:f>
        <x:v>Open source</x:v>
      </x:c>
      <x:c r="I34" s="11" t="str">
        <x:v>https://www.documentcloud.org/documents/26102482-barbaccia-gregory-j-general-278s-new-entrant-278-2025/</x:v>
      </x:c>
    </x:row>
    <x:row r="35" ht="39" customHeight="1">
      <x:c r="A35" s="9" t="str">
        <x:v>P-10</x:v>
      </x:c>
      <x:c r="B35" s="9" t="str">
        <x:v>DOJ/OGE; Kash Patel Ethics Agreement; 2025-01-28</x:v>
      </x:c>
      <x:c r="C35" s="9" t="str">
        <x:v>Official instrument or record</x:v>
      </x:c>
      <x:c r="D35" s="9" t="str">
        <x:v>Palantir divestiture and interim nonparticipation requirement.</x:v>
      </x:c>
      <x:c r="E35" s="9" t="str">
        <x:v>Does not establish participation or wrongdoing.</x:v>
      </x:c>
      <x:c r="F35" s="9" t="str">
        <x:v>Carried by source register; not independently rechecked here</x:v>
      </x:c>
      <x:c r="G35" s="9" t="str">
        <x:v>COR-052</x:v>
      </x:c>
      <x:c r="H35" s="12" t="str">
        <x:f>IFERROR(HYPERLINK(I35,"Open source"),"Open source")</x:f>
        <x:v>Open source</x:v>
      </x:c>
      <x:c r="I35" s="11" t="str">
        <x:v>https://extapps2.oge.gov/201/Presiden.nsf/PAS+Index/730D7A12BBF6654785258C240032196E/%24FILE/Patel%2C%20Kashyap%20%20finalEA.pdf</x:v>
      </x:c>
    </x:row>
    <x:row r="36" ht="39" customHeight="1">
      <x:c r="A36" s="9" t="str">
        <x:v>P-11</x:v>
      </x:c>
      <x:c r="B36" s="9" t="str">
        <x:v>Kash Patel; OGE Form 278-T; signed 2025-07-21, certified 2025-08-01</x:v>
      </x:c>
      <x:c r="C36" s="9" t="str">
        <x:v>Official instrument or record</x:v>
      </x:c>
      <x:c r="D36" s="9" t="str">
        <x:v>Sale of $50,001–$100,000 Palantir shares on 2025-05-12.</x:v>
      </x:c>
      <x:c r="E36" s="9" t="str">
        <x:v>Required mitigation is neither guilt nor independent exoneration.</x:v>
      </x:c>
      <x:c r="F36" s="9" t="str">
        <x:v>Carried by source register; not independently rechecked here</x:v>
      </x:c>
      <x:c r="G36" s="9" t="str">
        <x:v>COR-052</x:v>
      </x:c>
      <x:c r="H36" s="12" t="str">
        <x:f>IFERROR(HYPERLINK(I36,"Open source"),"Open source")</x:f>
        <x:v>Open source</x:v>
      </x:c>
      <x:c r="I36" s="11" t="str">
        <x:v>https://static.notus.org/3b/61/46d6712d4aff9412d01276fbf797/kashyap-patel-07-21-2025-278t.pdf</x:v>
      </x:c>
    </x:row>
    <x:row r="37" ht="39" customHeight="1">
      <x:c r="A37" s="9" t="str">
        <x:v>PA-P01</x:v>
      </x:c>
      <x:c r="B37" s="9" t="str">
        <x:v>Palantir Technologies Investor Relations; Board of Directors; checked 2026-08-17</x:v>
      </x:c>
      <x:c r="C37" s="9" t="str">
        <x:v>Official instrument or record</x:v>
      </x:c>
      <x:c r="D37" s="9" t="str">
        <x:v>Peter Thiel is a Palantir co-founder/chairman.</x:v>
      </x:c>
      <x:c r="E37" s="9" t="str">
        <x:v>Says nothing about Dialog influence or command.</x:v>
      </x:c>
      <x:c r="F37" s="9" t="str">
        <x:v>Carried by source register; not independently rechecked here</x:v>
      </x:c>
      <x:c r="G37" s="9" t="str">
        <x:v>COR-052</x:v>
      </x:c>
      <x:c r="H37" s="12" t="str">
        <x:f>IFERROR(HYPERLINK(I37,"Open source"),"Open source")</x:f>
        <x:v>Open source</x:v>
      </x:c>
      <x:c r="I37" s="11" t="str">
        <x:v>https://investors.palantir.com/governance/board-of-directors</x:v>
      </x:c>
    </x:row>
    <x:row r="38" ht="39" customHeight="1">
      <x:c r="A38" s="9" t="str">
        <x:v>JU-P01</x:v>
      </x:c>
      <x:c r="B38" s="9" t="str">
        <x:v>U.S. Senate; Supreme Court Nominations (1789–Present); current table</x:v>
      </x:c>
      <x:c r="C38" s="9" t="str">
        <x:v>Official instrument or record</x:v>
      </x:c>
      <x:c r="D38" s="9" t="str">
        <x:v>Nomination, vote, disposition dates.</x:v>
      </x:c>
      <x:c r="E38" s="9" t="str">
        <x:v>No motive, misconduct, or external control.</x:v>
      </x:c>
      <x:c r="F38" s="9" t="str">
        <x:v>Checked in this edition</x:v>
      </x:c>
      <x:c r="G38" s="9" t="str">
        <x:v>COR-052</x:v>
      </x:c>
      <x:c r="H38" s="12" t="str">
        <x:f>IFERROR(HYPERLINK(I38,"Open source"),"Open source")</x:f>
        <x:v>Open source</x:v>
      </x:c>
      <x:c r="I38" s="11" t="str">
        <x:v>https://www.senate.gov/legislative/nominations/SupremeCourtNominations1789present.htm</x:v>
      </x:c>
    </x:row>
    <x:row r="39" ht="39" customHeight="1">
      <x:c r="A39" s="9" t="str">
        <x:v>JU-P02</x:v>
      </x:c>
      <x:c r="B39" s="9" t="str">
        <x:v>Marble Freedom Trust; Form 990 for tax period ending Apr. 2021; filing ID 202240749349301569</x:v>
      </x:c>
      <x:c r="C39" s="9" t="str">
        <x:v>Official instrument or record</x:v>
      </x:c>
      <x:c r="D39" s="9" t="str">
        <x:v>Approximately $1.6B contribution scale and governance.</x:v>
      </x:c>
      <x:c r="E39" s="9" t="str">
        <x:v>Does not identify every donor or downstream use.</x:v>
      </x:c>
      <x:c r="F39" s="9" t="str">
        <x:v>Carried by source register; not independently rechecked here</x:v>
      </x:c>
      <x:c r="G39" s="9" t="str">
        <x:v>COR-052</x:v>
      </x:c>
      <x:c r="H39" s="12" t="str">
        <x:f>IFERROR(HYPERLINK(I39,"Open source"),"Open source")</x:f>
        <x:v>Open source</x:v>
      </x:c>
      <x:c r="I39" s="11" t="str">
        <x:v>https://projects.propublica.org/nonprofits/organizations/850784793/202240749349301569/IRS990</x:v>
      </x:c>
    </x:row>
    <x:row r="40" ht="39" customHeight="1">
      <x:c r="A40" s="9" t="str">
        <x:v>JU-P03</x:v>
      </x:c>
      <x:c r="B40" s="9" t="str">
        <x:v>Clarence Thomas; 2023 financial disclosure, amended language; filed 2024-05-15</x:v>
      </x:c>
      <x:c r="C40" s="9" t="str">
        <x:v>Official instrument or record</x:v>
      </x:c>
      <x:c r="D40" s="9" t="str">
        <x:v>Amendment concerning 2019 Crow-provided travel/hospitality.</x:v>
      </x:c>
      <x:c r="E40" s="9" t="str">
        <x:v>No adjudication of influence or every omission.</x:v>
      </x:c>
      <x:c r="F40" s="9" t="str">
        <x:v>Carried by source register; not independently rechecked here</x:v>
      </x:c>
      <x:c r="G40" s="9" t="str">
        <x:v>COR-052</x:v>
      </x:c>
      <x:c r="H40" s="12" t="str">
        <x:f>IFERROR(HYPERLINK(I40,"Open source"),"Open source")</x:f>
        <x:v>Open source</x:v>
      </x:c>
      <x:c r="I40" s="11" t="str">
        <x:v>https://www.documentcloud.org/documents/24737890-thomas-clarence-annual-2023#document/p6</x:v>
      </x:c>
    </x:row>
    <x:row r="41" ht="39" customHeight="1">
      <x:c r="A41" s="9" t="str">
        <x:v>JU-P04</x:v>
      </x:c>
      <x:c r="B41" s="9" t="str">
        <x:v>Supreme Court; Republic of Argentina v. NML Capital, 573 U.S. 134; 2014-06-16</x:v>
      </x:c>
      <x:c r="C41" s="9" t="str">
        <x:v>Official instrument or record</x:v>
      </x:c>
      <x:c r="D41" s="9" t="str">
        <x:v>Alito participated; 7–1 result.</x:v>
      </x:c>
      <x:c r="E41" s="9" t="str">
        <x:v>No adjudication of hospitality or recusal.</x:v>
      </x:c>
      <x:c r="F41" s="9" t="str">
        <x:v>Carried by source register; not independently rechecked here</x:v>
      </x:c>
      <x:c r="G41" s="9" t="str">
        <x:v>COR-052</x:v>
      </x:c>
      <x:c r="H41" s="12" t="str">
        <x:f>IFERROR(HYPERLINK(I41,"Open source"),"Open source")</x:f>
        <x:v>Open source</x:v>
      </x:c>
      <x:c r="I41" s="11" t="str">
        <x:v>https://www.supremecourt.gov/opinions/13pdf/12-842_6j37.pdf</x:v>
      </x:c>
    </x:row>
    <x:row r="42" ht="39" customHeight="1">
      <x:c r="A42" s="9" t="str">
        <x:v>JU-P05</x:v>
      </x:c>
      <x:c r="B42" s="9" t="str">
        <x:v>Neil Gorsuch; 2017 financial disclosure</x:v>
      </x:c>
      <x:c r="C42" s="9" t="str">
        <x:v>Official instrument or record</x:v>
      </x:c>
      <x:c r="D42" s="9" t="str">
        <x:v>Walden Group LLC sale and $250,001–$500,000 proceeds.</x:v>
      </x:c>
      <x:c r="E42" s="9" t="str">
        <x:v>Buyer blank; no case or causation join.</x:v>
      </x:c>
      <x:c r="F42" s="9" t="str">
        <x:v>Carried by source register; not independently rechecked here</x:v>
      </x:c>
      <x:c r="G42" s="9" t="str">
        <x:v>COR-052</x:v>
      </x:c>
      <x:c r="H42" s="12" t="str">
        <x:f>IFERROR(HYPERLINK(I42,"Open source"),"Open source")</x:f>
        <x:v>Open source</x:v>
      </x:c>
      <x:c r="I42" s="11" t="str">
        <x:v>https://fixthecourt.com/wp-content/uploads/2018/06/Gorsuch-NM-J3.-SUP_R_17.pdf</x:v>
      </x:c>
    </x:row>
    <x:row r="43" ht="39" customHeight="1">
      <x:c r="A43" s="9" t="str">
        <x:v>JU-P06</x:v>
      </x:c>
      <x:c r="B43" s="9" t="str">
        <x:v>John Roberts; 2022 financial disclosure</x:v>
      </x:c>
      <x:c r="C43" s="9" t="str">
        <x:v>Official instrument or record</x:v>
      </x:c>
      <x:c r="D43" s="9" t="str">
        <x:v>Jane Roberts’s Macrae income described as base salary and commission.</x:v>
      </x:c>
      <x:c r="E43" s="9" t="str">
        <x:v>No amount, client, case, or recusal join.</x:v>
      </x:c>
      <x:c r="F43" s="9" t="str">
        <x:v>Carried by source register; not independently rechecked here</x:v>
      </x:c>
      <x:c r="G43" s="9" t="str">
        <x:v>COR-052</x:v>
      </x:c>
      <x:c r="H43" s="12" t="str">
        <x:f>IFERROR(HYPERLINK(I43,"Open source"),"Open source")</x:f>
        <x:v>Open source</x:v>
      </x:c>
      <x:c r="I43" s="11" t="str">
        <x:v>https://www.documentcloud.org/documents/24216443-john-roberts-2022-financial-disclosure/</x:v>
      </x:c>
    </x:row>
    <x:row r="44" ht="39" customHeight="1">
      <x:c r="A44" s="9" t="str">
        <x:v>JU-P07</x:v>
      </x:c>
      <x:c r="B44" s="9" t="str">
        <x:v>Committee on Codes of Conduct; Advisory Opinion 107; 2011-03</x:v>
      </x:c>
      <x:c r="C44" s="9" t="str">
        <x:v>Official instrument or record</x:v>
      </x:c>
      <x:c r="D44" s="9" t="str">
        <x:v>Fact-specific spouse/recruiter recusal framework.</x:v>
      </x:c>
      <x:c r="E44" s="9" t="str">
        <x:v>Not Roberts-specific.</x:v>
      </x:c>
      <x:c r="F44" s="9" t="str">
        <x:v>Carried by source register; not independently rechecked here</x:v>
      </x:c>
      <x:c r="G44" s="9" t="str">
        <x:v>COR-052</x:v>
      </x:c>
      <x:c r="H44" s="12" t="str">
        <x:f>IFERROR(HYPERLINK(I44,"Open source"),"Open source")</x:f>
        <x:v>Open source</x:v>
      </x:c>
      <x:c r="I44" s="11" t="str">
        <x:v>https://www.uscourts.gov/sites/default/files/vol02b-ch02.pdf#page=203</x:v>
      </x:c>
    </x:row>
    <x:row r="45" ht="39" customHeight="1">
      <x:c r="A45" s="9" t="str">
        <x:v>JU-P08</x:v>
      </x:c>
      <x:c r="B45" s="9" t="str">
        <x:v>Brett Kavanaugh; 2025 AO Form 10; signed 2026-05-15</x:v>
      </x:c>
      <x:c r="C45" s="9" t="str">
        <x:v>Official instrument or record</x:v>
      </x:c>
      <x:c r="D45" s="9" t="str">
        <x:v>Reported positions, income, reimbursements, assets; no gifts/liabilities reported.</x:v>
      </x:c>
      <x:c r="E45" s="9" t="str">
        <x:v>Thresholds/exemptions apply; absence is search-bounded.</x:v>
      </x:c>
      <x:c r="F45" s="9" t="str">
        <x:v>Carried by source register; not independently rechecked here</x:v>
      </x:c>
      <x:c r="G45" s="9" t="str">
        <x:v>COR-052</x:v>
      </x:c>
      <x:c r="H45" s="12" t="str">
        <x:f>IFERROR(HYPERLINK(I45,"Open source"),"Open source")</x:f>
        <x:v>Open source</x:v>
      </x:c>
      <x:c r="I45" s="11" t="str">
        <x:v>https://fixthecourt.com/wp-content/uploads/2026/06/Kavanaugh-Brett-M-Annual-2025.pdf</x:v>
      </x:c>
    </x:row>
    <x:row r="46" ht="39" customHeight="1">
      <x:c r="A46" s="9" t="str">
        <x:v>JU-P09</x:v>
      </x:c>
      <x:c r="B46" s="9" t="str">
        <x:v>Amy C. Barrett; 2025 AO Form 10; signed 2026-05-21</x:v>
      </x:c>
      <x:c r="C46" s="9" t="str">
        <x:v>Official instrument or record</x:v>
      </x:c>
      <x:c r="D46" s="9" t="str">
        <x:v>Reported income, reimbursements, liabilities, investments; no gifts reported.</x:v>
      </x:c>
      <x:c r="E46" s="9" t="str">
        <x:v>Same disclosure limitations.</x:v>
      </x:c>
      <x:c r="F46" s="9" t="str">
        <x:v>Carried by source register; not independently rechecked here</x:v>
      </x:c>
      <x:c r="G46" s="9" t="str">
        <x:v>COR-052</x:v>
      </x:c>
      <x:c r="H46" s="12" t="str">
        <x:f>IFERROR(HYPERLINK(I46,"Open source"),"Open source")</x:f>
        <x:v>Open source</x:v>
      </x:c>
      <x:c r="I46" s="11" t="str">
        <x:v>https://fixthecourt.com/wp-content/uploads/2026/06/Barrett-Amy-C-Annual-2025.pdf</x:v>
      </x:c>
    </x:row>
    <x:row r="47" ht="39" customHeight="1">
      <x:c r="A47" s="9" t="str">
        <x:v>JU-P10</x:v>
      </x:c>
      <x:c r="B47" s="9" t="str">
        <x:v>Library of Congress/CRS; Constitution Annotated, Art. II §2 cl. 2</x:v>
      </x:c>
      <x:c r="C47" s="9" t="str">
        <x:v>Official instrument or record</x:v>
      </x:c>
      <x:c r="D47" s="9" t="str">
        <x:v>Nomination/advice-and-consent mechanism.</x:v>
      </x:c>
      <x:c r="E47" s="9" t="str">
        <x:v>No informal-selection proof.</x:v>
      </x:c>
      <x:c r="F47" s="9" t="str">
        <x:v>Carried by source register; not independently rechecked here</x:v>
      </x:c>
      <x:c r="G47" s="9" t="str">
        <x:v>COR-052</x:v>
      </x:c>
      <x:c r="H47" s="12" t="str">
        <x:f>IFERROR(HYPERLINK(I47,"Open source"),"Open source")</x:f>
        <x:v>Open source</x:v>
      </x:c>
      <x:c r="I47" s="11" t="str">
        <x:v>https://constitution.congress.gov/browse/article-2/section-2/clause-2/</x:v>
      </x:c>
    </x:row>
    <x:row r="48" ht="39" customHeight="1">
      <x:c r="A48" s="9" t="str">
        <x:v>JU-P11</x:v>
      </x:c>
      <x:c r="B48" s="9" t="str">
        <x:v>Library of Congress/CRS; Constitution Annotated, Art. III §1</x:v>
      </x:c>
      <x:c r="C48" s="9" t="str">
        <x:v>Official instrument or record</x:v>
      </x:c>
      <x:c r="D48" s="9" t="str">
        <x:v>Good-behavior tenure.</x:v>
      </x:c>
      <x:c r="E48" s="9" t="str">
        <x:v>No post-confirmation command.</x:v>
      </x:c>
      <x:c r="F48" s="9" t="str">
        <x:v>Carried by source register; not independently rechecked here</x:v>
      </x:c>
      <x:c r="G48" s="9" t="str">
        <x:v>COR-052</x:v>
      </x:c>
      <x:c r="H48" s="12" t="str">
        <x:f>IFERROR(HYPERLINK(I48,"Open source"),"Open source")</x:f>
        <x:v>Open source</x:v>
      </x:c>
      <x:c r="I48" s="11" t="str">
        <x:v>https://constitution.congress.gov/browse/article-3/section-1/</x:v>
      </x:c>
    </x:row>
    <x:row r="49" ht="39" customHeight="1">
      <x:c r="A49" s="9" t="str">
        <x:v>C-05</x:v>
      </x:c>
      <x:c r="B49" s="9" t="str">
        <x:v>ProPublica; Six Senators Accuse Deputy Attorney General of ‘Glaring’ Crypto Conflict…; 2026-01-29</x:v>
      </x:c>
      <x:c r="C49" s="9" t="str">
        <x:v>Reporting</x:v>
      </x:c>
      <x:c r="D49" s="9" t="str">
        <x:v>Unique recovered carrier of DOJ statement that orders were flagged, addressed, and cleared in advance.</x:v>
      </x:c>
      <x:c r="E49" s="9" t="str">
        <x:v>Does not identify clearer, pathway, reasoning, instrument, or timing; single-source dependency.</x:v>
      </x:c>
      <x:c r="F49" s="9" t="str">
        <x:v>Carried by source register; not independently rechecked here</x:v>
      </x:c>
      <x:c r="G49" s="9" t="str">
        <x:v>COR-052</x:v>
      </x:c>
      <x:c r="H49" s="12" t="str">
        <x:f>IFERROR(HYPERLINK(I49,"Open source"),"Open source")</x:f>
        <x:v>Open source</x:v>
      </x:c>
      <x:c r="I49" s="11" t="str">
        <x:v>https://www.propublica.org/article/todd-blanche-crypto-conflict-senator-letter</x:v>
      </x:c>
    </x:row>
    <x:row r="50" ht="39" customHeight="1">
      <x:c r="A50" s="9" t="str">
        <x:v>T-02</x:v>
      </x:c>
      <x:c r="B50" s="9" t="str">
        <x:v>Reuters; Trump reports over $1.4 billion in income from crypto ventures; 2026-06-30</x:v>
      </x:c>
      <x:c r="C50" s="9" t="str">
        <x:v>Reporting</x:v>
      </x:c>
      <x:c r="D50" s="9" t="str">
        <x:v>Reuters aggregation.</x:v>
      </x:c>
      <x:c r="E50" s="9" t="str">
        <x:v>Same T-01 filing as AP; different denominator is not corroboration.</x:v>
      </x:c>
      <x:c r="F50" s="9" t="str">
        <x:v>Carried by source register; not independently rechecked here</x:v>
      </x:c>
      <x:c r="G50" s="9" t="str">
        <x:v>COR-052</x:v>
      </x:c>
      <x:c r="H50" s="12" t="str">
        <x:f>IFERROR(HYPERLINK(I50,"Open source"),"Open source")</x:f>
        <x:v>Open source</x:v>
      </x:c>
      <x:c r="I50" s="11" t="str">
        <x:v>https://www.reuters.com/world/us/trump-reports-over-14-billion-income-crypto-ventures-2026-06-30/</x:v>
      </x:c>
    </x:row>
    <x:row r="51" ht="39" customHeight="1">
      <x:c r="A51" s="9" t="str">
        <x:v>T-03</x:v>
      </x:c>
      <x:c r="B51" s="9" t="str">
        <x:v>Associated Press; Trump filing shows he took in about $1.2 billion…; 2026-07-01</x:v>
      </x:c>
      <x:c r="C51" s="9" t="str">
        <x:v>Reporting</x:v>
      </x:c>
      <x:c r="D51" s="9" t="str">
        <x:v>AP aggregation.</x:v>
      </x:c>
      <x:c r="E51" s="9" t="str">
        <x:v>Not the lower endpoint of a clean Reuters–AP range.</x:v>
      </x:c>
      <x:c r="F51" s="9" t="str">
        <x:v>Carried by source register; not independently rechecked here</x:v>
      </x:c>
      <x:c r="G51" s="9" t="str">
        <x:v>COR-052</x:v>
      </x:c>
      <x:c r="H51" s="12" t="str">
        <x:f>IFERROR(HYPERLINK(I51,"Open source"),"Open source")</x:f>
        <x:v>Open source</x:v>
      </x:c>
      <x:c r="I51" s="11" t="str">
        <x:v>https://apnews.com/article/trump-financial-disclosure-crypto-060c15062b8fedc6104159ea13775463</x:v>
      </x:c>
    </x:row>
    <x:row r="52" ht="39" customHeight="1">
      <x:c r="A52" s="9" t="str">
        <x:v>T-07</x:v>
      </x:c>
      <x:c r="B52" s="9" t="str">
        <x:v>Reuters; Trump-linked stablecoin to close Abu Dhabi investment in Binance…; 2025-05-01</x:v>
      </x:c>
      <x:c r="C52" s="9" t="str">
        <x:v>Reporting</x:v>
      </x:c>
      <x:c r="D52" s="9" t="str">
        <x:v>Public announcement that USD1 was selected for MGX’s $2B Binance investment.</x:v>
      </x:c>
      <x:c r="E52" s="9" t="str">
        <x:v>No contract, closing ledger, or independently verified settlement.</x:v>
      </x:c>
      <x:c r="F52" s="9" t="str">
        <x:v>Carried by source register; not independently rechecked here</x:v>
      </x:c>
      <x:c r="G52" s="9" t="str">
        <x:v>COR-052</x:v>
      </x:c>
      <x:c r="H52" s="12" t="str">
        <x:f>IFERROR(HYPERLINK(I52,"Open source"),"Open source")</x:f>
        <x:v>Open source</x:v>
      </x:c>
      <x:c r="I52" s="11" t="str">
        <x:v>https://www.reuters.com/world/middle-east/wlfs-zach-witkoff-usd1-selected-official-stablecoin-mgx-investment-binance-2025-05-01/</x:v>
      </x:c>
    </x:row>
    <x:row r="53" ht="39" customHeight="1">
      <x:c r="A53" s="9" t="str">
        <x:v>T-10</x:v>
      </x:c>
      <x:c r="B53" s="9" t="str">
        <x:v>Reuters; Trump pardons convicted Binance founder Zhao…; 2025-10-23</x:v>
      </x:c>
      <x:c r="C53" s="9" t="str">
        <x:v>Reporting</x:v>
      </x:c>
      <x:c r="D53" s="9" t="str">
        <x:v>Public pardon reporting and White House explanation.</x:v>
      </x:c>
      <x:c r="E53" s="9" t="str">
        <x:v>Explanation is interested-party; no quid-pro-quo proof.</x:v>
      </x:c>
      <x:c r="F53" s="9" t="str">
        <x:v>Carried by source register; not independently rechecked here</x:v>
      </x:c>
      <x:c r="G53" s="9" t="str">
        <x:v>COR-052</x:v>
      </x:c>
      <x:c r="H53" s="12" t="str">
        <x:f>IFERROR(HYPERLINK(I53,"Open source"),"Open source")</x:f>
        <x:v>Open source</x:v>
      </x:c>
      <x:c r="I53" s="11" t="str">
        <x:v>https://www.reuters.com/world/us/trump-pardons-convicted-binance-founder-zhao-white-house-says-2025-10-23/</x:v>
      </x:c>
    </x:row>
    <x:row r="54" ht="54" customHeight="1">
      <x:c r="A54" s="9" t="str">
        <x:v>V-01</x:v>
      </x:c>
      <x:c r="B54" s="9" t="str">
        <x:v>NPR/KPBS; ICE shared Medicaid data it wasn't supposed to have with Palantir; 2026-07-17, updated 2026-07-18</x:v>
      </x:c>
      <x:c r="C54" s="9" t="str">
        <x:v>Reporting</x:v>
      </x:c>
      <x:c r="D54" s="9" t="str">
        <x:v>Source-bearing account of ICE→Palantir custody, Teams mechanism, deletion/purge and government no-use statements.</x:v>
      </x:c>
      <x:c r="E54" s="9" t="str">
        <x:v>No exact residual-copy/user count; no production ingestion or downstream harm.</x:v>
      </x:c>
      <x:c r="F54" s="9" t="str">
        <x:v>Checked in this edition</x:v>
      </x:c>
      <x:c r="G54" s="9" t="str">
        <x:v>COR-052</x:v>
      </x:c>
      <x:c r="H54" s="12" t="str">
        <x:f>IFERROR(HYPERLINK(I54,"Open source"),"Open source")</x:f>
        <x:v>Open source</x:v>
      </x:c>
      <x:c r="I54" s="11" t="str">
        <x:v>https://www.kpbs.org/news/health/2026/07/17/ice-shared-medicaid-data-it-wasnt-supposed-to-have-with-palantir</x:v>
      </x:c>
    </x:row>
    <x:row r="55" ht="39" customHeight="1">
      <x:c r="A55" s="9" t="str">
        <x:v>V-02</x:v>
      </x:c>
      <x:c r="B55" s="9" t="str">
        <x:v>Nextgov/FCW; Gregory Barbaccia named federal CIO; 2025-01-27</x:v>
      </x:c>
      <x:c r="C55" s="9" t="str">
        <x:v>Reporting</x:v>
      </x:c>
      <x:c r="D55" s="9" t="str">
        <x:v>Federal CIO start and prior decade at Palantir.</x:v>
      </x:c>
      <x:c r="E55" s="9" t="str">
        <x:v>No conflict or steering evidence.</x:v>
      </x:c>
      <x:c r="F55" s="9" t="str">
        <x:v>Carried by source register; not independently rechecked here</x:v>
      </x:c>
      <x:c r="G55" s="9" t="str">
        <x:v>COR-052</x:v>
      </x:c>
      <x:c r="H55" s="12" t="str">
        <x:f>IFERROR(HYPERLINK(I55,"Open source"),"Open source")</x:f>
        <x:v>Open source</x:v>
      </x:c>
      <x:c r="I55" s="11" t="str">
        <x:v>https://www.nextgov.com/people/2025/01/gregory-barbacia-named-federal-cio/402501/</x:v>
      </x:c>
    </x:row>
    <x:row r="56" ht="39" customHeight="1">
      <x:c r="A56" s="9" t="str">
        <x:v>V-03</x:v>
      </x:c>
      <x:c r="B56" s="9" t="str">
        <x:v>Federal News Network; Federal CIO Barbaccia leaving in August; 2026-07-07</x:v>
      </x:c>
      <x:c r="C56" s="9" t="str">
        <x:v>Reporting</x:v>
      </x:c>
      <x:c r="D56" s="9" t="str">
        <x:v>OMB confirmation that Aug. 31 was planned last day.</x:v>
      </x:c>
      <x:c r="E56" s="9" t="str">
        <x:v>Departure was future at cutoff.</x:v>
      </x:c>
      <x:c r="F56" s="9" t="str">
        <x:v>Carried by source register; not independently rechecked here</x:v>
      </x:c>
      <x:c r="G56" s="9" t="str">
        <x:v>COR-052</x:v>
      </x:c>
      <x:c r="H56" s="12" t="str">
        <x:f>IFERROR(HYPERLINK(I56,"Open source"),"Open source")</x:f>
        <x:v>Open source</x:v>
      </x:c>
      <x:c r="I56" s="11" t="str">
        <x:v>https://federalnewsnetwork.com/cio-news/2026/07/federal-cio-barbaccia-leaving-in-august/</x:v>
      </x:c>
    </x:row>
    <x:row r="57" ht="39" customHeight="1">
      <x:c r="A57" s="9" t="str">
        <x:v>V-04</x:v>
      </x:c>
      <x:c r="B57" s="9" t="str">
        <x:v>Nextgov/FCW; Greg Barbaccia to return to Palantir after leaving government; 2026-07-31</x:v>
      </x:c>
      <x:c r="C57" s="9" t="str">
        <x:v>Reporting</x:v>
      </x:c>
      <x:c r="D57" s="9" t="str">
        <x:v>Reported future plan to return.</x:v>
      </x:c>
      <x:c r="E57" s="9" t="str">
        <x:v>Role/start unknown; return not completed at cutoff.</x:v>
      </x:c>
      <x:c r="F57" s="9" t="str">
        <x:v>Carried by source register; not independently rechecked here</x:v>
      </x:c>
      <x:c r="G57" s="9" t="str">
        <x:v>COR-052</x:v>
      </x:c>
      <x:c r="H57" s="12" t="str">
        <x:f>IFERROR(HYPERLINK(I57,"Open source"),"Open source")</x:f>
        <x:v>Open source</x:v>
      </x:c>
      <x:c r="I57" s="11" t="str">
        <x:v>https://www.nextgov.com/people/2026/07/greg-barbaccia-return-palantir-after-leaving-government/415149/</x:v>
      </x:c>
    </x:row>
    <x:row r="58" ht="39" customHeight="1">
      <x:c r="A58" s="9" t="str">
        <x:v>V-05</x:v>
      </x:c>
      <x:c r="B58" s="9" t="str">
        <x:v>ProPublica; Barbaccia financial-disclosure index; live</x:v>
      </x:c>
      <x:c r="C58" s="9" t="str">
        <x:v>Reporting</x:v>
      </x:c>
      <x:c r="D58" s="9" t="str">
        <x:v>Parsing/index of P-09.</x:v>
      </x:c>
      <x:c r="E58" s="9" t="str">
        <x:v>Omitted transaction in a summary is not evidence of stock retention; not corroboration of P-09.</x:v>
      </x:c>
      <x:c r="F58" s="9" t="str">
        <x:v>Carried by source register; not independently rechecked here</x:v>
      </x:c>
      <x:c r="G58" s="9" t="str">
        <x:v>COR-052</x:v>
      </x:c>
      <x:c r="H58" s="12" t="str">
        <x:f>IFERROR(HYPERLINK(I58,"Open source"),"Open source")</x:f>
        <x:v>Open source</x:v>
      </x:c>
      <x:c r="I58" s="11" t="str">
        <x:v>https://projects.propublica.org/trump-team-financial-disclosures/appointees/barbaccia-gregory-j/</x:v>
      </x:c>
    </x:row>
    <x:row r="59" ht="39" customHeight="1">
      <x:c r="A59" s="9" t="str">
        <x:v>V-06</x:v>
      </x:c>
      <x:c r="B59" s="9" t="str">
        <x:v>ProPublica; Kash Patel financial-disclosure index; live</x:v>
      </x:c>
      <x:c r="C59" s="9" t="str">
        <x:v>Reporting</x:v>
      </x:c>
      <x:c r="D59" s="9" t="str">
        <x:v>Parsing aid for P-10/P-11.</x:v>
      </x:c>
      <x:c r="E59" s="9" t="str">
        <x:v>Not independent corroboration of those instruments.</x:v>
      </x:c>
      <x:c r="F59" s="9" t="str">
        <x:v>Carried by source register; not independently rechecked here</x:v>
      </x:c>
      <x:c r="G59" s="9" t="str">
        <x:v>COR-052</x:v>
      </x:c>
      <x:c r="H59" s="12" t="str">
        <x:f>IFERROR(HYPERLINK(I59,"Open source"),"Open source")</x:f>
        <x:v>Open source</x:v>
      </x:c>
      <x:c r="I59" s="11" t="str">
        <x:v>https://projects.propublica.org/trump-team-financial-disclosures/appointees/patel-kashyap-p/</x:v>
      </x:c>
    </x:row>
    <x:row r="60" ht="39" customHeight="1">
      <x:c r="A60" s="9" t="str">
        <x:v>PA-V01</x:v>
      </x:c>
      <x:c r="B60" s="9" t="str">
        <x:v>The Verge; The unholy alliance that killed the AI moratorium; 2025-07-11</x:v>
      </x:c>
      <x:c r="C60" s="9" t="str">
        <x:v>Reporting</x:v>
      </x:c>
      <x:c r="D60" s="9" t="str">
        <x:v>Named-source account of War Room pressure/backchannels in one fight.</x:v>
      </x:c>
      <x:c r="E60" s="9" t="str">
        <x:v>Bounded attribution; no general command.</x:v>
      </x:c>
      <x:c r="F60" s="9" t="str">
        <x:v>Carried by source register; not independently rechecked here</x:v>
      </x:c>
      <x:c r="G60" s="9" t="str">
        <x:v>COR-052</x:v>
      </x:c>
      <x:c r="H60" s="12" t="str">
        <x:f>IFERROR(HYPERLINK(I60,"Open source"),"Open source")</x:f>
        <x:v>Open source</x:v>
      </x:c>
      <x:c r="I60" s="11" t="str">
        <x:v>https://www.theverge.com/politics/704424/ai-moratorium-ted-cruz-steve-bannon-trump</x:v>
      </x:c>
    </x:row>
    <x:row r="61" ht="39" customHeight="1">
      <x:c r="A61" s="9" t="str">
        <x:v>PA-V02</x:v>
      </x:c>
      <x:c r="B61" s="9" t="str">
        <x:v>Associated Press; How a GOP rift doomed a ban on state AI laws…; 2025-07-02</x:v>
      </x:c>
      <x:c r="C61" s="9" t="str">
        <x:v>Reporting</x:v>
      </x:c>
      <x:c r="D61" s="9" t="str">
        <x:v>Bannon urged calls; broader multi-actor coalition.</x:v>
      </x:c>
      <x:c r="E61" s="9" t="str">
        <x:v>Counterweight to monocausal framing.</x:v>
      </x:c>
      <x:c r="F61" s="9" t="str">
        <x:v>Carried by source register; not independently rechecked here</x:v>
      </x:c>
      <x:c r="G61" s="9" t="str">
        <x:v>COR-052</x:v>
      </x:c>
      <x:c r="H61" s="12" t="str">
        <x:f>IFERROR(HYPERLINK(I61,"Open source"),"Open source")</x:f>
        <x:v>Open source</x:v>
      </x:c>
      <x:c r="I61" s="11" t="str">
        <x:v>https://apnews.com/article/artificial-intelligence-republicans-trump-tax-bill-97d700da09cac62aa510eb4411bab24e</x:v>
      </x:c>
    </x:row>
    <x:row r="62" ht="39" customHeight="1">
      <x:c r="A62" s="9" t="str">
        <x:v>PA-V03</x:v>
      </x:c>
      <x:c r="B62" s="9" t="str">
        <x:v>ProPublica; Mike Johnson Is Living With an Evangelical Influence Seeker; 2025-02-28</x:v>
      </x:c>
      <x:c r="C62" s="9" t="str">
        <x:v>Reporting</x:v>
      </x:c>
      <x:c r="D62" s="9" t="str">
        <x:v>Residence/access architecture; spokesperson’s fair-market-rent and no-policy-discussion denial.</x:v>
      </x:c>
      <x:c r="E62" s="9" t="str">
        <x:v>Berger’s influence claims are party assertions; no consequence join.</x:v>
      </x:c>
      <x:c r="F62" s="9" t="str">
        <x:v>Carried by source register; not independently rechecked here</x:v>
      </x:c>
      <x:c r="G62" s="9" t="str">
        <x:v>COR-052</x:v>
      </x:c>
      <x:c r="H62" s="12" t="str">
        <x:f>IFERROR(HYPERLINK(I62,"Open source"),"Open source")</x:f>
        <x:v>Open source</x:v>
      </x:c>
      <x:c r="I62" s="11" t="str">
        <x:v>https://www.propublica.org/article/mike-johnson-evangelical-pastor-steve-berger-roommates</x:v>
      </x:c>
    </x:row>
    <x:row r="63" ht="39" customHeight="1">
      <x:c r="A63" s="9" t="str">
        <x:v>PA-V04</x:v>
      </x:c>
      <x:c r="B63" s="9" t="str">
        <x:v>ProPublica; Secretive D.C. Influence Project…; 2025-03-06</x:v>
      </x:c>
      <x:c r="C63" s="9" t="str">
        <x:v>Reporting</x:v>
      </x:c>
      <x:c r="D63" s="9" t="str">
        <x:v>Bounded group-house/influence-project architecture.</x:v>
      </x:c>
      <x:c r="E63" s="9" t="str">
        <x:v>Same ProPublica source family as PA-V03; no Johnson decision join.</x:v>
      </x:c>
      <x:c r="F63" s="9" t="str">
        <x:v>Carried by source register; not independently rechecked here</x:v>
      </x:c>
      <x:c r="G63" s="9" t="str">
        <x:v>COR-052</x:v>
      </x:c>
      <x:c r="H63" s="12" t="str">
        <x:f>IFERROR(HYPERLINK(I63,"Open source"),"Open source")</x:f>
        <x:v>Open source</x:v>
      </x:c>
      <x:c r="I63" s="11" t="str">
        <x:v>https://www.propublica.org/article/roommates-steve-berger-mike-johnson-andy-ogles-right-wing-influence-townhouse</x:v>
      </x:c>
    </x:row>
    <x:row r="64" ht="39" customHeight="1">
      <x:c r="A64" s="9" t="str">
        <x:v>PA-V05</x:v>
      </x:c>
      <x:c r="B64" s="9" t="str">
        <x:v>Courthouse News Service; Watchdog says Mike Johnson used campaign funds…; 2025-08-08</x:v>
      </x:c>
      <x:c r="C64" s="9" t="str">
        <x:v>Reporting</x:v>
      </x:c>
      <x:c r="D64" s="9" t="str">
        <x:v>Secondary support for reported March 2025 move.</x:v>
      </x:c>
      <x:c r="E64" s="9" t="str">
        <x:v>No primary housing instrument; no legal conclusion adopted.</x:v>
      </x:c>
      <x:c r="F64" s="9" t="str">
        <x:v>Carried by source register; not independently rechecked here</x:v>
      </x:c>
      <x:c r="G64" s="9" t="str">
        <x:v>COR-052</x:v>
      </x:c>
      <x:c r="H64" s="12" t="str">
        <x:f>IFERROR(HYPERLINK(I64,"Open source"),"Open source")</x:f>
        <x:v>Open source</x:v>
      </x:c>
      <x:c r="I64" s="11" t="str">
        <x:v>https://www.courthousenews.com/watchdog-says-mike-johnson-used-campaign-funds-to-rent-from-gop-lawmaker/</x:v>
      </x:c>
    </x:row>
    <x:row r="65" ht="54" customHeight="1">
      <x:c r="A65" s="9" t="str">
        <x:v>PA-L01</x:v>
      </x:c>
      <x:c r="B65" s="9" t="str">
        <x:v>WIRED; Leak Exposes Members of Peter Thiel’s Secretive ‘Dialog’ Society; 2026-06-16, updated</x:v>
      </x:c>
      <x:c r="C65" s="9" t="str">
        <x:v>Leak-based reporting</x:v>
      </x:c>
      <x:c r="D65" s="9" t="str">
        <x:v>Authenticated internal records and invitation-only/off-record architecture.</x:v>
      </x:c>
      <x:c r="E65" s="9" t="str">
        <x:v>Update corrected Jeffrey Epstein/Jeff Epstein identity conflation; not a wholesale retraction. Registration is not attendance.</x:v>
      </x:c>
      <x:c r="F65" s="9" t="str">
        <x:v>Carried by source register; not independently rechecked here</x:v>
      </x:c>
      <x:c r="G65" s="9" t="str">
        <x:v>COR-052</x:v>
      </x:c>
      <x:c r="H65" s="12" t="str">
        <x:f>IFERROR(HYPERLINK(I65,"Open source"),"Open source")</x:f>
        <x:v>Open source</x:v>
      </x:c>
      <x:c r="I65" s="11" t="str">
        <x:v>https://www.wired.com/story/leak-exposes-members-of-peter-thiels-secretive-dialog-society/</x:v>
      </x:c>
    </x:row>
    <x:row r="66" ht="39" customHeight="1">
      <x:c r="A66" s="9" t="str">
        <x:v>PA-V06</x:v>
      </x:c>
      <x:c r="B66" s="9" t="str">
        <x:v>Axios; Dialog, a secretive forum, plans D.C.-area campus; 2025-08-07</x:v>
      </x:c>
      <x:c r="C66" s="9" t="str">
        <x:v>Reporting</x:v>
      </x:c>
      <x:c r="D66" s="9" t="str">
        <x:v>Dialog founding/access description.</x:v>
      </x:c>
      <x:c r="E66" s="9" t="str">
        <x:v>No decision or procurement consequence.</x:v>
      </x:c>
      <x:c r="F66" s="9" t="str">
        <x:v>Carried by source register; not independently rechecked here</x:v>
      </x:c>
      <x:c r="G66" s="9" t="str">
        <x:v>COR-052</x:v>
      </x:c>
      <x:c r="H66" s="12" t="str">
        <x:f>IFERROR(HYPERLINK(I66,"Open source"),"Open source")</x:f>
        <x:v>Open source</x:v>
      </x:c>
      <x:c r="I66" s="11" t="str">
        <x:v>https://www.axios.com/2025/08/07/dialog-secret-network-thiel-hoffman</x:v>
      </x:c>
    </x:row>
    <x:row r="67" ht="39" customHeight="1">
      <x:c r="A67" s="9" t="str">
        <x:v>PA-V07</x:v>
      </x:c>
      <x:c r="B67" s="9" t="str">
        <x:v>TheJournal.ie; Wicklow hotel cancels Peter Thiel-linked ‘Dialog’ conference; 2026-07-03</x:v>
      </x:c>
      <x:c r="C67" s="9" t="str">
        <x:v>Reporting</x:v>
      </x:c>
      <x:c r="D67" s="9" t="str">
        <x:v>Carries Powerscourt Estate cancellation statement.</x:v>
      </x:c>
      <x:c r="E67" s="9" t="str">
        <x:v>No relocation or alternative attendance.</x:v>
      </x:c>
      <x:c r="F67" s="9" t="str">
        <x:v>Carried by source register; not independently rechecked here</x:v>
      </x:c>
      <x:c r="G67" s="9" t="str">
        <x:v>COR-052</x:v>
      </x:c>
      <x:c r="H67" s="12" t="str">
        <x:f>IFERROR(HYPERLINK(I67,"Open source"),"Open source")</x:f>
        <x:v>Open source</x:v>
      </x:c>
      <x:c r="I67" s="11" t="str">
        <x:v>https://www.thejournal.ie/wicklow-hotel-powerscourt-dialog-cancelled-7089941-Jul2026/</x:v>
      </x:c>
    </x:row>
    <x:row r="68" ht="39" customHeight="1">
      <x:c r="A68" s="9" t="str">
        <x:v>JU-V01</x:v>
      </x:c>
      <x:c r="B68" s="9" t="str">
        <x:v>Washington Post; Federalist Society’s Leonard Leo is helping Trump make landmark judicial choices; 2019-05-21</x:v>
      </x:c>
      <x:c r="C68" s="9" t="str">
        <x:v>Reporting</x:v>
      </x:c>
      <x:c r="D68" s="9" t="str">
        <x:v>Identification, vetting, and advocacy role.</x:v>
      </x:c>
      <x:c r="E68" s="9" t="str">
        <x:v>No post-confirmation control.</x:v>
      </x:c>
      <x:c r="F68" s="9" t="str">
        <x:v>Carried by source register; not independently rechecked here</x:v>
      </x:c>
      <x:c r="G68" s="9" t="str">
        <x:v>COR-052</x:v>
      </x:c>
      <x:c r="H68" s="12" t="str">
        <x:f>IFERROR(HYPERLINK(I68,"Open source"),"Open source")</x:f>
        <x:v>Open source</x:v>
      </x:c>
      <x:c r="I68" s="11" t="str">
        <x:v>https://www.washingtonpost.com/graphics/2019/investigations/leonard-leo-federalists-society-courts/</x:v>
      </x:c>
    </x:row>
    <x:row r="69" ht="39" customHeight="1">
      <x:c r="A69" s="9" t="str">
        <x:v>JU-V02</x:v>
      </x:c>
      <x:c r="B69" s="9" t="str">
        <x:v>TIME; Mitch McConnell Explains His Strategy on Judges; 2018-02-08</x:v>
      </x:c>
      <x:c r="C69" s="9" t="str">
        <x:v>Reporting</x:v>
      </x:c>
      <x:c r="D69" s="9" t="str">
        <x:v>Direct interview on judicial priority, list discussions, and Senate strategy.</x:v>
      </x:c>
      <x:c r="E69" s="9" t="str">
        <x:v>No misconduct finding.</x:v>
      </x:c>
      <x:c r="F69" s="9" t="str">
        <x:v>Carried by source register; not independently rechecked here</x:v>
      </x:c>
      <x:c r="G69" s="9" t="str">
        <x:v>COR-052</x:v>
      </x:c>
      <x:c r="H69" s="12" t="str">
        <x:f>IFERROR(HYPERLINK(I69,"Open source"),"Open source")</x:f>
        <x:v>Open source</x:v>
      </x:c>
      <x:c r="I69" s="11" t="str">
        <x:v>https://time.com/5138247/mitch-mcconnell-judicial-strategy/</x:v>
      </x:c>
    </x:row>
    <x:row r="70" ht="39" customHeight="1">
      <x:c r="A70" s="9" t="str">
        <x:v>JU-V03</x:v>
      </x:c>
      <x:c r="B70" s="9" t="str">
        <x:v>ProPublica; How a Secretive Billionaire Handed His Fortune…; 2022-08-22</x:v>
      </x:c>
      <x:c r="C70" s="9" t="str">
        <x:v>Reporting</x:v>
      </x:c>
      <x:c r="D70" s="9" t="str">
        <x:v>Seid, Tripp Lite transfer/sale chronology, Leo/Marble role.</x:v>
      </x:c>
      <x:c r="E70" s="9" t="str">
        <x:v>No tracing to earlier confirmations.</x:v>
      </x:c>
      <x:c r="F70" s="9" t="str">
        <x:v>Carried by source register; not independently rechecked here</x:v>
      </x:c>
      <x:c r="G70" s="9" t="str">
        <x:v>COR-052</x:v>
      </x:c>
      <x:c r="H70" s="12" t="str">
        <x:f>IFERROR(HYPERLINK(I70,"Open source"),"Open source")</x:f>
        <x:v>Open source</x:v>
      </x:c>
      <x:c r="I70" s="11" t="str">
        <x:v>https://www.propublica.org/article/dark-money-leonard-leo-barre-seid</x:v>
      </x:c>
    </x:row>
    <x:row r="71" ht="39" customHeight="1">
      <x:c r="A71" s="9" t="str">
        <x:v>JU-V04</x:v>
      </x:c>
      <x:c r="B71" s="9" t="str">
        <x:v>ProPublica; Justice Clarence Thomas Acknowledges He Should Have Disclosed…; 2024-06-07</x:v>
      </x:c>
      <x:c r="C71" s="9" t="str">
        <x:v>Reporting</x:v>
      </x:c>
      <x:c r="D71" s="9" t="str">
        <x:v>Connects amendment to Crow trips.</x:v>
      </x:c>
      <x:c r="E71" s="9" t="str">
        <x:v>No purchased-outcome proof.</x:v>
      </x:c>
      <x:c r="F71" s="9" t="str">
        <x:v>Carried by source register; not independently rechecked here</x:v>
      </x:c>
      <x:c r="G71" s="9" t="str">
        <x:v>COR-052</x:v>
      </x:c>
      <x:c r="H71" s="12" t="str">
        <x:f>IFERROR(HYPERLINK(I71,"Open source"),"Open source")</x:f>
        <x:v>Open source</x:v>
      </x:c>
      <x:c r="I71" s="11" t="str">
        <x:v>https://www.propublica.org/article/clarence-thomas-gift-disclosures-harlan-crow</x:v>
      </x:c>
    </x:row>
    <x:row r="72" ht="39" customHeight="1">
      <x:c r="A72" s="9" t="str">
        <x:v>JU-V05</x:v>
      </x:c>
      <x:c r="B72" s="9" t="str">
        <x:v>ProPublica; Clarence Thomas Secretly Accepted Luxury Trips…; 2023-04-06</x:v>
      </x:c>
      <x:c r="C72" s="9" t="str">
        <x:v>Reporting</x:v>
      </x:c>
      <x:c r="D72" s="9" t="str">
        <x:v>Hospitality/access reporting.</x:v>
      </x:c>
      <x:c r="E72" s="9" t="str">
        <x:v>No specific purchased decision.</x:v>
      </x:c>
      <x:c r="F72" s="9" t="str">
        <x:v>Carried by source register; not independently rechecked here</x:v>
      </x:c>
      <x:c r="G72" s="9" t="str">
        <x:v>COR-052</x:v>
      </x:c>
      <x:c r="H72" s="12" t="str">
        <x:f>IFERROR(HYPERLINK(I72,"Open source"),"Open source")</x:f>
        <x:v>Open source</x:v>
      </x:c>
      <x:c r="I72" s="11" t="str">
        <x:v>https://www.propublica.org/article/clarence-thomas-scotus-undisclosed-luxury-travel-gifts-crow</x:v>
      </x:c>
    </x:row>
    <x:row r="73" ht="39" customHeight="1">
      <x:c r="A73" s="9" t="str">
        <x:v>JU-V06</x:v>
      </x:c>
      <x:c r="B73" s="9" t="str">
        <x:v>Reuters; US Supreme Court’s Thomas will not be referred to Justice Department…; 2025-01-02</x:v>
      </x:c>
      <x:c r="C73" s="9" t="str">
        <x:v>Reporting</x:v>
      </x:c>
      <x:c r="D73" s="9" t="str">
        <x:v>Judicial Conference declined referral.</x:v>
      </x:c>
      <x:c r="E73" s="9" t="str">
        <x:v>Procedural counterevidence, not blanket exoneration.</x:v>
      </x:c>
      <x:c r="F73" s="9" t="str">
        <x:v>Carried by source register; not independently rechecked here</x:v>
      </x:c>
      <x:c r="G73" s="9" t="str">
        <x:v>COR-052</x:v>
      </x:c>
      <x:c r="H73" s="12" t="str">
        <x:f>IFERROR(HYPERLINK(I73,"Open source"),"Open source")</x:f>
        <x:v>Open source</x:v>
      </x:c>
      <x:c r="I73" s="11" t="str">
        <x:v>https://www.reuters.com/legal/us-supreme-courts-thomas-will-not-be-referred-justice-department-judiciary-says-2025-01-02/</x:v>
      </x:c>
    </x:row>
    <x:row r="74" ht="39" customHeight="1">
      <x:c r="A74" s="9" t="str">
        <x:v>JU-V07</x:v>
      </x:c>
      <x:c r="B74" s="9" t="str">
        <x:v>ProPublica; Justice Samuel Alito Took Luxury Fishing Vacation…; 2023-06-20</x:v>
      </x:c>
      <x:c r="C74" s="9" t="str">
        <x:v>Reporting</x:v>
      </x:c>
      <x:c r="D74" s="9" t="str">
        <x:v>2008 hospitality and later Singer-linked Court business.</x:v>
      </x:c>
      <x:c r="E74" s="9" t="str">
        <x:v>Requires docket-specific recusal analysis.</x:v>
      </x:c>
      <x:c r="F74" s="9" t="str">
        <x:v>Carried by source register; not independently rechecked here</x:v>
      </x:c>
      <x:c r="G74" s="9" t="str">
        <x:v>COR-052</x:v>
      </x:c>
      <x:c r="H74" s="12" t="str">
        <x:f>IFERROR(HYPERLINK(I74,"Open source"),"Open source")</x:f>
        <x:v>Open source</x:v>
      </x:c>
      <x:c r="I74" s="11" t="str">
        <x:v>https://www.propublica.org/article/samuel-alito-luxury-fishing-trip-paul-singer-scotus-supreme-court</x:v>
      </x:c>
    </x:row>
    <x:row r="75" ht="39" customHeight="1">
      <x:c r="A75" s="9" t="str">
        <x:v>JU-V08</x:v>
      </x:c>
      <x:c r="B75" s="9" t="str">
        <x:v>Washington Post; Gorsuch property sale renews calls…; 2023-04-25</x:v>
      </x:c>
      <x:c r="C75" s="9" t="str">
        <x:v>Reporting</x:v>
      </x:c>
      <x:c r="D75" s="9" t="str">
        <x:v>Duffy/Greenberg identity and later appearances.</x:v>
      </x:c>
      <x:c r="E75" s="9" t="str">
        <x:v>Derived from Politico; not an independent second brick.</x:v>
      </x:c>
      <x:c r="F75" s="9" t="str">
        <x:v>Carried by source register; not independently rechecked here</x:v>
      </x:c>
      <x:c r="G75" s="9" t="str">
        <x:v>COR-052</x:v>
      </x:c>
      <x:c r="H75" s="12" t="str">
        <x:f>IFERROR(HYPERLINK(I75,"Open source"),"Open source")</x:f>
        <x:v>Open source</x:v>
      </x:c>
      <x:c r="I75" s="11" t="str">
        <x:v>https://www.washingtonpost.com/politics/2023/04/25/neil-gorsuch-property-sale-law-firm-ethics/</x:v>
      </x:c>
    </x:row>
    <x:row r="76" ht="39" customHeight="1">
      <x:c r="A76" s="9" t="str">
        <x:v>JU-V09</x:v>
      </x:c>
      <x:c r="B76" s="9" t="str">
        <x:v>Business Insider; Jane Roberts… made $10.3 million in commissions…; 2023-04-28</x:v>
      </x:c>
      <x:c r="C76" s="9" t="str">
        <x:v>Reporting</x:v>
      </x:c>
      <x:c r="D76" s="9" t="str">
        <x:v>Document review of 2007–14 commission spreadsheet and counterevidence.</x:v>
      </x:c>
      <x:c r="E76" s="9" t="str">
        <x:v>No complete firm→case→Roberts-participation join.</x:v>
      </x:c>
      <x:c r="F76" s="9" t="str">
        <x:v>Carried by source register; not independently rechecked here</x:v>
      </x:c>
      <x:c r="G76" s="9" t="str">
        <x:v>COR-052</x:v>
      </x:c>
      <x:c r="H76" s="12" t="str">
        <x:f>IFERROR(HYPERLINK(I76,"Open source"),"Open source")</x:f>
        <x:v>Open source</x:v>
      </x:c>
      <x:c r="I76" s="11" t="str">
        <x:v>https://www.businessinsider.com/jane-roberts-chief-justice-wife-10-million-commissions-2023-4</x:v>
      </x:c>
    </x:row>
    <x:row r="77" ht="54" customHeight="1">
      <x:c r="A77" s="9" t="str">
        <x:v>A-01</x:v>
      </x:c>
      <x:c r="B77" s="9" t="str">
        <x:v>Plaintiffs’ motion to enforce, California v. HHS, ECF 151; filed 2026-03-26</x:v>
      </x:c>
      <x:c r="C77" s="9" t="str">
        <x:v>Party statement, pleading or allegation</x:v>
      </x:c>
      <x:c r="D77" s="9" t="str">
        <x:v>Plaintiffs assert HHS shared a large dataset outside permitted scope and seek discovery; not an adjudicated finding.</x:v>
      </x:c>
      <x:c r="E77" s="9" t="str"/>
      <x:c r="F77" s="9" t="str">
        <x:v>Carried by source register; not independently rechecked here</x:v>
      </x:c>
      <x:c r="G77" s="9" t="str">
        <x:v>COR-052</x:v>
      </x:c>
      <x:c r="H77" s="12" t="str">
        <x:f>IFERROR(HYPERLINK(I77,"Open source"),"Open source")</x:f>
        <x:v>Open source</x:v>
      </x:c>
      <x:c r="I77" s="11" t="str">
        <x:v>https://oag.ca.gov/system/files/attachments/press-docs/151%20Pls%20Mot%20to%20Enforce.pdf</x:v>
      </x:c>
    </x:row>
    <x:row r="78" ht="39" customHeight="1">
      <x:c r="A78" s="9" t="str">
        <x:v>A-02</x:v>
      </x:c>
      <x:c r="B78" s="9" t="str">
        <x:v>Declaration of Anna Rich, same docket, ECF 182-1; filed 2026-07</x:v>
      </x:c>
      <x:c r="C78" s="9" t="str">
        <x:v>Party statement, pleading or allegation</x:v>
      </x:c>
      <x:c r="D78" s="9" t="str">
        <x:v>Reports defendants’ Teams-transfer/removal response; declaration status must remain visible.</x:v>
      </x:c>
      <x:c r="E78" s="9" t="str"/>
      <x:c r="F78" s="9" t="str">
        <x:v>Carried by source register; not independently rechecked here</x:v>
      </x:c>
      <x:c r="G78" s="9" t="str">
        <x:v>COR-052</x:v>
      </x:c>
      <x:c r="H78" s="12" t="str">
        <x:f>IFERROR(HYPERLINK(I78,"Open source"),"Open source")</x:f>
        <x:v>Open source</x:v>
      </x:c>
      <x:c r="I78" s="11" t="str">
        <x:v>https://www.courtlistener.com/docket/70687026/182/1/state-of-california-v-us-department-of-health-and-human-services/</x:v>
      </x:c>
    </x:row>
    <x:row r="79" ht="39" customHeight="1">
      <x:c r="A79" s="9" t="str">
        <x:v>JU-A01</x:v>
      </x:c>
      <x:c r="B79" s="9" t="str">
        <x:v>Federalist Society; Leonard A. Leo biography; checked 2026-08-18</x:v>
      </x:c>
      <x:c r="C79" s="9" t="str">
        <x:v>Party statement, pleading or allegation</x:v>
      </x:c>
      <x:c r="D79" s="9" t="str">
        <x:v>Interested-party admission of advising/assisting selection and confirmation; no post-confirmation control.</x:v>
      </x:c>
      <x:c r="E79" s="9" t="str"/>
      <x:c r="F79" s="9" t="str">
        <x:v>Carried by source register; not independently rechecked here</x:v>
      </x:c>
      <x:c r="G79" s="9" t="str">
        <x:v>COR-052</x:v>
      </x:c>
      <x:c r="H79" s="12" t="str">
        <x:f>IFERROR(HYPERLINK(I79,"Open source"),"Open source")</x:f>
        <x:v>Open source</x:v>
      </x:c>
      <x:c r="I79" s="11" t="str">
        <x:v>https://fedsoc.org/bio/leonard-leo</x:v>
      </x:c>
    </x:row>
    <x:row r="80" ht="39" customHeight="1">
      <x:c r="A80" s="9" t="str">
        <x:v>JU-A02</x:v>
      </x:c>
      <x:c r="B80" s="9" t="str">
        <x:v>JCN; Confirm Kavanaugh, a $1.4 Million Ad Buy; 2018-07-09</x:v>
      </x:c>
      <x:c r="C80" s="9" t="str">
        <x:v>Party statement, pleading or allegation</x:v>
      </x:c>
      <x:c r="D80" s="9" t="str">
        <x:v>Party admission of ad buy/prior campaigns; not audited final spend.</x:v>
      </x:c>
      <x:c r="E80" s="9" t="str"/>
      <x:c r="F80" s="9" t="str">
        <x:v>Carried by source register; not independently rechecked here</x:v>
      </x:c>
      <x:c r="G80" s="9" t="str">
        <x:v>COR-052</x:v>
      </x:c>
      <x:c r="H80" s="12" t="str">
        <x:f>IFERROR(HYPERLINK(I80,"Open source"),"Open source")</x:f>
        <x:v>Open source</x:v>
      </x:c>
      <x:c r="I80" s="11" t="str">
        <x:v>https://confirmkavanaugh.com/2018/07/judicial-crisis-network-launches-confirm-kavanaugh-a-1-4-million-ad-buy-national-al-in-nd-wv/</x:v>
      </x:c>
    </x:row>
    <x:row r="81" ht="39" customHeight="1">
      <x:c r="A81" s="9" t="str">
        <x:v>JU-A03</x:v>
      </x:c>
      <x:c r="B81" s="9" t="str">
        <x:v>JCN; JCN Continues Drumbeat for Judge Amy Coney Barrett…; 2020 campaign</x:v>
      </x:c>
      <x:c r="C81" s="9" t="str">
        <x:v>Party statement, pleading or allegation</x:v>
      </x:c>
      <x:c r="D81" s="9" t="str">
        <x:v>Party stated $7.3M spent and ≥$10M expected; planned total is not audited final.</x:v>
      </x:c>
      <x:c r="E81" s="9" t="str"/>
      <x:c r="F81" s="9" t="str">
        <x:v>Carried by source register; not independently rechecked here</x:v>
      </x:c>
      <x:c r="G81" s="9" t="str">
        <x:v>COR-052</x:v>
      </x:c>
      <x:c r="H81" s="12" t="str">
        <x:f>IFERROR(HYPERLINK(I81,"Open source"),"Open source")</x:f>
        <x:v>Open source</x:v>
      </x:c>
      <x:c r="I81" s="11" t="str">
        <x:v>https://judicialnetwork.com/in-the-news/jcn-continues-drumbeat-for-acb/</x:v>
      </x:c>
    </x:row>
    <x:row r="82" ht="39" customHeight="1">
      <x:c r="A82" s="9" t="str">
        <x:v>JU-A04</x:v>
      </x:c>
      <x:c r="B82" s="9" t="str">
        <x:v>Brennan Center; Conservative Group Behind Kavanaugh Confirmation…; 2018-09-12</x:v>
      </x:c>
      <x:c r="C82" s="9" t="str">
        <x:v>Party statement, pleading or allegation</x:v>
      </x:c>
      <x:c r="D82" s="9" t="str">
        <x:v>Interested-party synthesis of JCN campaign amounts; not independent corroboration of JCN announcements.</x:v>
      </x:c>
      <x:c r="E82" s="9" t="str"/>
      <x:c r="F82" s="9" t="str">
        <x:v>Carried by source register; not independently rechecked here</x:v>
      </x:c>
      <x:c r="G82" s="9" t="str">
        <x:v>COR-052</x:v>
      </x:c>
      <x:c r="H82" s="12" t="str">
        <x:f>IFERROR(HYPERLINK(I82,"Open source"),"Open source")</x:f>
        <x:v>Open source</x:v>
      </x:c>
      <x:c r="I82" s="11" t="str">
        <x:v>https://www.brennancenter.org/our-work/analysis-opinion/conservative-group-behind-kavanaugh-confirmation-has-spent-years</x:v>
      </x:c>
    </x:row>
    <x:row r="83" ht="39" customHeight="1">
      <x:c r="A83" s="9" t="str">
        <x:v>JU-A05</x:v>
      </x:c>
      <x:c r="B83" s="9" t="str">
        <x:v>Kendal B. Price; sworn affidavit; 2022-12-02</x:v>
      </x:c>
      <x:c r="C83" s="9" t="str">
        <x:v>Party statement, pleading or allegation</x:v>
      </x:c>
      <x:c r="D83" s="9" t="str">
        <x:v>Sworn allegations and claimed commission records; not an adjudicated fact.</x:v>
      </x:c>
      <x:c r="E83" s="9" t="str"/>
      <x:c r="F83" s="9" t="str">
        <x:v>Carried by source register; not independently rechecked here</x:v>
      </x:c>
      <x:c r="G83" s="9" t="str">
        <x:v>COR-052</x:v>
      </x:c>
      <x:c r="H83" s="12" t="str">
        <x:f>IFERROR(HYPERLINK(I83,"Open source"),"Open source")</x:f>
        <x:v>Open source</x:v>
      </x:c>
      <x:c r="I83" s="11" t="str">
        <x:v>https://www.documentcloud.org/documents/23791123-2-of-8-sworn-affidavit-of-kendal-b-price-12-02-2022/</x:v>
      </x:c>
    </x:row>
    <x:row r="84" ht="39" customHeight="1">
      <x:c r="A84" s="9" t="str">
        <x:v>N-01</x:v>
      </x:c>
      <x:c r="B84" s="9" t="str">
        <x:v>Blanche compliance certification, 5 June 2025</x:v>
      </x:c>
      <x:c r="C84" s="9" t="str">
        <x:v>Official instrument or record</x:v>
      </x:c>
      <x:c r="D84" s="9" t="str">
        <x:v>No selected for §208 waiver; signed 5 June 2025.</x:v>
      </x:c>
      <x:c r="E84" s="9" t="str">
        <x:v>Official signed filing; page 3 checkbox and page 4 signature visually checked</x:v>
      </x:c>
      <x:c r="F84" s="9" t="str">
        <x:v>Checked in this edition</x:v>
      </x:c>
      <x:c r="G84" s="9" t="str">
        <x:v>Public-source check for this edition</x:v>
      </x:c>
      <x:c r="H84" s="12" t="str">
        <x:f>IFERROR(HYPERLINK(I84,"Open source"),"Open source")</x:f>
        <x:v>Open source</x:v>
      </x:c>
      <x:c r="I84" s="11" t="str">
        <x:v>https://extapps2.oge.gov/201/Presiden.nsf/PAS%2BIndex/92E6C79E88537F4485258CA1002C2338/%24FILE/Blanche%20EA%20Certification%201%20of%201.pdf</x:v>
      </x:c>
    </x:row>
    <x:row r="85" ht="39" customHeight="1">
      <x:c r="A85" s="9" t="str">
        <x:v>N-02</x:v>
      </x:c>
      <x:c r="B85" s="9" t="str">
        <x:v>Blanche Senate answers, July 2026</x:v>
      </x:c>
      <x:c r="C85" s="9" t="str">
        <x:v>Official instrument or record</x:v>
      </x:c>
      <x:c r="D85" s="9" t="str">
        <x:v>Affirms written pre-memo §208(b)(1) determination; underlying text not supplied in answer.</x:v>
      </x:c>
      <x:c r="E85" s="9" t="str">
        <x:v>Official Senate PDF; physical page 193 checked</x:v>
      </x:c>
      <x:c r="F85" s="9" t="str">
        <x:v>Checked in this edition</x:v>
      </x:c>
      <x:c r="G85" s="9" t="str">
        <x:v>Public-source check for this edition</x:v>
      </x:c>
      <x:c r="H85" s="12" t="str">
        <x:f>IFERROR(HYPERLINK(I85,"Open source"),"Open source")</x:f>
        <x:v>Open source</x:v>
      </x:c>
      <x:c r="I85" s="11" t="str">
        <x:v>https://www.judiciary.senate.gov/imo/media/doc/blanche_-_qfrs.pdf</x:v>
      </x:c>
    </x:row>
    <x:row r="86" ht="39" customHeight="1">
      <x:c r="A86" s="9" t="str">
        <x:v>N-03</x:v>
      </x:c>
      <x:c r="B86" s="9" t="str">
        <x:v>5 CFR §2640.304, public availability of waivers</x:v>
      </x:c>
      <x:c r="C86" s="9" t="str">
        <x:v>Official instrument or record</x:v>
      </x:c>
      <x:c r="D86" s="9" t="str">
        <x:v>Public availability framework, subject to authorized withholding.</x:v>
      </x:c>
      <x:c r="E86" s="9" t="str">
        <x:v>Current regulation text checked</x:v>
      </x:c>
      <x:c r="F86" s="9" t="str">
        <x:v>Checked in this edition</x:v>
      </x:c>
      <x:c r="G86" s="9" t="str">
        <x:v>Public-source check for this edition</x:v>
      </x:c>
      <x:c r="H86" s="12" t="str">
        <x:f>IFERROR(HYPERLINK(I86,"Open source"),"Open source")</x:f>
        <x:v>Open source</x:v>
      </x:c>
      <x:c r="I86" s="11" t="str">
        <x:v>https://www.ecfr.gov/current/title-5/chapter-XVI/subchapter-B/part-2640/subpart-C/section-2640.304</x:v>
      </x:c>
    </x:row>
    <x:row r="87" ht="39" customHeight="1">
      <x:c r="A87" s="9" t="str">
        <x:v>N-04</x:v>
      </x:c>
      <x:c r="B87" s="9" t="str">
        <x:v>DOJ religious-liberty guidance release, 23 July 2026</x:v>
      </x:c>
      <x:c r="C87" s="9" t="str">
        <x:v>Official instrument or record</x:v>
      </x:c>
      <x:c r="D87" s="9" t="str">
        <x:v>Release of government-wide religious-liberty guidance.</x:v>
      </x:c>
      <x:c r="E87" s="9" t="str">
        <x:v>Official publication checked</x:v>
      </x:c>
      <x:c r="F87" s="9" t="str">
        <x:v>Checked in this edition</x:v>
      </x:c>
      <x:c r="G87" s="9" t="str">
        <x:v>Public-source check for this edition</x:v>
      </x:c>
      <x:c r="H87" s="12" t="str">
        <x:f>IFERROR(HYPERLINK(I87,"Open source"),"Open source")</x:f>
        <x:v>Open source</x:v>
      </x:c>
      <x:c r="I87" s="11" t="str">
        <x:v>https://www.justice.gov/opa/pr/acting-attorney-general-blanche-issues-updated-guidance-strengthen-federal-religious-liberty</x:v>
      </x:c>
    </x:row>
    <x:row r="88" ht="39" customHeight="1">
      <x:c r="A88" s="9" t="str">
        <x:v>N-05</x:v>
      </x:c>
      <x:c r="B88" s="9" t="str">
        <x:v>California–OpenAI agreement, 27 October 2025</x:v>
      </x:c>
      <x:c r="C88" s="9" t="str">
        <x:v>Official instrument or record</x:v>
      </x:c>
      <x:c r="D88" s="9" t="str">
        <x:v>Governance, reporting and conditions of non-objection.</x:v>
      </x:c>
      <x:c r="E88" s="9" t="str">
        <x:v>Executed public agreement checked</x:v>
      </x:c>
      <x:c r="F88" s="9" t="str">
        <x:v>Checked in this edition</x:v>
      </x:c>
      <x:c r="G88" s="9" t="str">
        <x:v>Public-source check for this edition</x:v>
      </x:c>
      <x:c r="H88" s="12" t="str">
        <x:f>IFERROR(HYPERLINK(I88,"Open source"),"Open source")</x:f>
        <x:v>Open source</x:v>
      </x:c>
      <x:c r="I88" s="11" t="str">
        <x:v>https://oag.ca.gov/system/files/attachments/press-docs/Final%20Executed%20MOU%20Between%20OpenAI%20and%20California%20AG%20re%20Notice%20of%20Conditions%20of%20Non-Objection%20%2810.27.2025%29%20%28Signed%20by%20OpenAI%29%20%28Signed%20by%20CA%20DOJ%29.pdf</x:v>
      </x:c>
    </x:row>
    <x:row r="89" ht="39" customHeight="1">
      <x:c r="A89" s="9" t="str">
        <x:v>N-06</x:v>
      </x:c>
      <x:c r="B89" s="9" t="str">
        <x:v>Delaware recapitalization review, 28 October 2025</x:v>
      </x:c>
      <x:c r="C89" s="9" t="str">
        <x:v>Official instrument or record</x:v>
      </x:c>
      <x:c r="D89" s="9" t="str">
        <x:v>Review, financial adviser and governance safeguards described.</x:v>
      </x:c>
      <x:c r="E89" s="9" t="str">
        <x:v>Official Attorney General account checked</x:v>
      </x:c>
      <x:c r="F89" s="9" t="str">
        <x:v>Checked in this edition</x:v>
      </x:c>
      <x:c r="G89" s="9" t="str">
        <x:v>Public-source check for this edition</x:v>
      </x:c>
      <x:c r="H89" s="12" t="str">
        <x:f>IFERROR(HYPERLINK(I89,"Open source"),"Open source")</x:f>
        <x:v>Open source</x:v>
      </x:c>
      <x:c r="I89" s="11" t="str">
        <x:v>https://news.delaware.gov/2025/10/28/ag-jennings-completes-review-of-openai-recapitalization/</x:v>
      </x:c>
    </x:row>
    <x:row r="90" ht="39" customHeight="1">
      <x:c r="A90" s="9" t="str">
        <x:v>N-07</x:v>
      </x:c>
      <x:c r="B90" s="9" t="str">
        <x:v>House Oversight letter to Sam Altman, May 2026</x:v>
      </x:c>
      <x:c r="C90" s="9" t="str">
        <x:v>Official instrument or record</x:v>
      </x:c>
      <x:c r="D90" s="9" t="str">
        <x:v>Records the committee letter; does not adjudicate its allegations.</x:v>
      </x:c>
      <x:c r="E90" s="9" t="str">
        <x:v>Official letter landing page recovered; subject also described in retained Conduct Docket</x:v>
      </x:c>
      <x:c r="F90" s="9" t="str">
        <x:v>Landing page recovered</x:v>
      </x:c>
      <x:c r="G90" s="9" t="str">
        <x:v>Public-source check for this edition</x:v>
      </x:c>
      <x:c r="H90" s="12" t="str">
        <x:f>IFERROR(HYPERLINK(I90,"Open source"),"Open source")</x:f>
        <x:v>Open source</x:v>
      </x:c>
      <x:c r="I90" s="11" t="str">
        <x:v>https://oversight.house.gov/letter/letter-to-sam-altman/altman-openai-letter-050826/</x:v>
      </x:c>
    </x:row>
    <x:row r="91" ht="39" customHeight="1">
      <x:c r="A91" s="9" t="str">
        <x:v>N-08</x:v>
      </x:c>
      <x:c r="B91" s="9" t="str">
        <x:v>Reuters: Altman counterparty investments, 13 May 2026</x:v>
      </x:c>
      <x:c r="C91" s="9" t="str">
        <x:v>Reporting</x:v>
      </x:c>
      <x:c r="D91" s="9" t="str">
        <x:v>Court-record report; recusal testimony and March 2026 Helion board departure.</x:v>
      </x:c>
      <x:c r="E91" s="9" t="str">
        <x:v>Named-source reporting checked</x:v>
      </x:c>
      <x:c r="F91" s="9" t="str">
        <x:v>Checked in this edition</x:v>
      </x:c>
      <x:c r="G91" s="9" t="str">
        <x:v>Public-source check for this edition</x:v>
      </x:c>
      <x:c r="H91" s="12" t="str">
        <x:f>IFERROR(HYPERLINK(I91,"Open source"),"Open source")</x:f>
        <x:v>Open source</x:v>
      </x:c>
      <x:c r="I91" s="11" t="str">
        <x:v>https://www.reuters.com/legal/government/openai-chief-altman-has-over-2-billion-stake-companies-that-dealt-with-openai-2026-05-13/</x:v>
      </x:c>
    </x:row>
    <x:row r="92" ht="39" customHeight="1">
      <x:c r="A92" s="9" t="str">
        <x:v>N-09</x:v>
      </x:c>
      <x:c r="B92" s="9" t="str">
        <x:v>Bartz v. Anthropic, final approval order, ECF 680</x:v>
      </x:c>
      <x:c r="C92" s="9" t="str">
        <x:v>Official instrument or record</x:v>
      </x:c>
      <x:c r="D92" s="9" t="str">
        <x:v>20 July 2026 approval; limited release; continuing implementation jurisdiction.</x:v>
      </x:c>
      <x:c r="E92" s="9" t="str">
        <x:v>Full court order reproduced by Justia checked</x:v>
      </x:c>
      <x:c r="F92" s="9" t="str">
        <x:v>Checked in this edition</x:v>
      </x:c>
      <x:c r="G92" s="9" t="str">
        <x:v>Public-source check for this edition</x:v>
      </x:c>
      <x:c r="H92" s="12" t="str">
        <x:f>IFERROR(HYPERLINK(I92,"Open source"),"Open source")</x:f>
        <x:v>Open source</x:v>
      </x:c>
      <x:c r="I92" s="11" t="str">
        <x:v>https://law.justia.com/cases/federal/district-courts/california/candce/4:2024cv05417/434709/680/</x:v>
      </x:c>
    </x:row>
    <x:row r="93" ht="39" customHeight="1">
      <x:c r="A93" s="9" t="str">
        <x:v>N-10</x:v>
      </x:c>
      <x:c r="B93" s="9" t="str">
        <x:v>AP: synthetic Kirk presentation, September 2025</x:v>
      </x:c>
      <x:c r="C93" s="9" t="str">
        <x:v>Reporting</x:v>
      </x:c>
      <x:c r="D93" s="9" t="str">
        <x:v>Disclosed synthetic representation in a church setting.</x:v>
      </x:c>
      <x:c r="E93" s="9" t="str">
        <x:v>Reported presentation checked</x:v>
      </x:c>
      <x:c r="F93" s="9" t="str">
        <x:v>Checked in this edition</x:v>
      </x:c>
      <x:c r="G93" s="9" t="str">
        <x:v>Public-source check for this edition</x:v>
      </x:c>
      <x:c r="H93" s="12" t="str">
        <x:f>IFERROR(HYPERLINK(I93,"Open source"),"Open source")</x:f>
        <x:v>Open source</x:v>
      </x:c>
      <x:c r="I93" s="11" t="str">
        <x:v>https://apnews.com/article/charlie-kirk-artificial-intelligence-worship-services-6c0f9b7e7ec6360a18df418d22cf9418</x:v>
      </x:c>
    </x:row>
    <x:row r="94" ht="39" customHeight="1">
      <x:c r="A94" s="9" t="str">
        <x:v>N-11</x:v>
      </x:c>
      <x:c r="B94" s="9" t="str">
        <x:v>Trump v. United States, 1 July 2024</x:v>
      </x:c>
      <x:c r="C94" s="9" t="str">
        <x:v>Official instrument or record</x:v>
      </x:c>
      <x:c r="D94" s="9" t="str">
        <x:v>Different criminal-immunity treatment for core, other official, and unofficial acts.</x:v>
      </x:c>
      <x:c r="E94" s="9" t="str">
        <x:v>Official Court opinion checked</x:v>
      </x:c>
      <x:c r="F94" s="9" t="str">
        <x:v>Checked in this edition</x:v>
      </x:c>
      <x:c r="G94" s="9" t="str">
        <x:v>Public-source check for this edition</x:v>
      </x:c>
      <x:c r="H94" s="12" t="str">
        <x:f>IFERROR(HYPERLINK(I94,"Open source"),"Open source")</x:f>
        <x:v>Open source</x:v>
      </x:c>
      <x:c r="I94" s="11" t="str">
        <x:v>https://www.supremecourt.gov/opinions/23pdf/23-939_e2pg.pdf</x:v>
      </x:c>
    </x:row>
    <x:row r="95" ht="39" customHeight="1">
      <x:c r="A95" s="9" t="str">
        <x:v>N-12</x:v>
      </x:c>
      <x:c r="B95" s="9" t="str">
        <x:v>Executive Order 14215, 18 February 2025</x:v>
      </x:c>
      <x:c r="C95" s="9" t="str">
        <x:v>Official instrument or record</x:v>
      </x:c>
      <x:c r="D95" s="9" t="str">
        <x:v>Executive supervision and executive-branch legal-interpretation instructions.</x:v>
      </x:c>
      <x:c r="E95" s="9" t="str">
        <x:v>Official executive order checked</x:v>
      </x:c>
      <x:c r="F95" s="9" t="str">
        <x:v>Checked in this edition</x:v>
      </x:c>
      <x:c r="G95" s="9" t="str">
        <x:v>Public-source check for this edition</x:v>
      </x:c>
      <x:c r="H95" s="12" t="str">
        <x:f>IFERROR(HYPERLINK(I95,"Open source"),"Open source")</x:f>
        <x:v>Open source</x:v>
      </x:c>
      <x:c r="I95" s="11" t="str">
        <x:v>https://www.whitehouse.gov/presidential-actions/2025/02/ensuring-accountability-for-all-agencies/</x:v>
      </x:c>
    </x:row>
    <x:row r="96" ht="39" customHeight="1">
      <x:c r="A96" s="9" t="str">
        <x:v>N-13</x:v>
      </x:c>
      <x:c r="B96" s="9" t="str">
        <x:v>Trump v. CASA, 27 June 2025</x:v>
      </x:c>
      <x:c r="C96" s="9" t="str">
        <x:v>Official instrument or record</x:v>
      </x:c>
      <x:c r="D96" s="9" t="str">
        <x:v>Universal-injunction ruling; underlying citizenship merits not decided in this opinion.</x:v>
      </x:c>
      <x:c r="E96" s="9" t="str">
        <x:v>Official Court opinion checked</x:v>
      </x:c>
      <x:c r="F96" s="9" t="str">
        <x:v>Checked in this edition</x:v>
      </x:c>
      <x:c r="G96" s="9" t="str">
        <x:v>Public-source check for this edition</x:v>
      </x:c>
      <x:c r="H96" s="12" t="str">
        <x:f>IFERROR(HYPERLINK(I96,"Open source"),"Open source")</x:f>
        <x:v>Open source</x:v>
      </x:c>
      <x:c r="I96" s="11" t="str">
        <x:v>https://www.supremecourt.gov/opinions/24pdf/24a884_8n59.pdf</x:v>
      </x:c>
    </x:row>
    <x:row r="97" ht="54" customHeight="1">
      <x:c r="A97" s="9" t="str">
        <x:v>N-14</x:v>
      </x:c>
      <x:c r="B97" s="9" t="str">
        <x:v>DOJ Epstein-files production release, 30 January 2026</x:v>
      </x:c>
      <x:c r="C97" s="9" t="str">
        <x:v>Official instrument or record</x:v>
      </x:c>
      <x:c r="D97" s="9" t="str">
        <x:v>DOJ reports nearly 3.5 million pages in combined releases; announcement distinguishes production from authenticity of public submissions.</x:v>
      </x:c>
      <x:c r="E97" s="9" t="str">
        <x:v>Official production announcement checked</x:v>
      </x:c>
      <x:c r="F97" s="9" t="str">
        <x:v>Checked in this edition</x:v>
      </x:c>
      <x:c r="G97" s="9" t="str">
        <x:v>Public-source check for this edition</x:v>
      </x:c>
      <x:c r="H97" s="12" t="str">
        <x:f>IFERROR(HYPERLINK(I97,"Open source"),"Open source")</x:f>
        <x:v>Open source</x:v>
      </x:c>
      <x:c r="I97" s="11" t="str">
        <x:v>https://www.justice.gov/opa/pr/department-justice-publishes-35-million-responsive-pages-compliance-epstein-files</x:v>
      </x:c>
    </x:row>
    <x:row r="98" ht="39" customHeight="1">
      <x:c r="A98" s="9" t="str">
        <x:v>N-15</x:v>
      </x:c>
      <x:c r="B98" s="9" t="str">
        <x:v>AP: Thiel Antichrist lecture series in Rome, March 2026</x:v>
      </x:c>
      <x:c r="C98" s="9" t="str">
        <x:v>Reporting</x:v>
      </x:c>
      <x:c r="D98" s="9" t="str">
        <x:v>Reports a four-part lecture series; records university denials of sponsorship.</x:v>
      </x:c>
      <x:c r="E98" s="9" t="str">
        <x:v>Indexed AP report checked; full article did not open</x:v>
      </x:c>
      <x:c r="F98" s="9" t="str">
        <x:v>Indexed report checked</x:v>
      </x:c>
      <x:c r="G98" s="9" t="str">
        <x:v>Public-source check for this edition</x:v>
      </x:c>
      <x:c r="H98" s="12" t="str">
        <x:f>IFERROR(HYPERLINK(I98,"Open source"),"Open source")</x:f>
        <x:v>Open source</x:v>
      </x:c>
      <x:c r="I98" s="11" t="str">
        <x:v>https://apnews.com/article/c3a6c7d2daba501caf8152558ac2d743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8f9d21c4ab244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9" hidden="0" customWidth="1"/>
    <x:col min="3" max="3" width="82" hidden="0" customWidth="1"/>
    <x:col min="4" max="4" width="14" hidden="0" customWidth="1"/>
    <x:col min="5" max="5" width="16" hidden="0" customWidth="1"/>
    <x:col min="6" max="6" width="85" hidden="0" customWidth="1"/>
  </x:cols>
  <x:sheetData>
    <x:row r="1" ht="38" customHeight="1">
      <x:c r="A1" s="4" t="str">
        <x:v>PEOPLE · PUBLIC ACTORS AND SOURCE AUTHORS</x:v>
      </x:c>
      <x:c r="B1" s="4"/>
      <x:c r="C1" s="4"/>
      <x:c r="D1" s="4"/>
      <x:c r="E1" s="4"/>
      <x:c r="F1" s="4"/>
    </x:row>
    <x:row r="2" ht="30" customHeight="1">
      <x:c r="A2" s="6" t="str">
        <x:v>Names are indexed by their role in the recovered material. This is an attribution aid, not an allegation list or an attendance roster.</x:v>
      </x:c>
      <x:c r="B2" s="2"/>
      <x:c r="C2" s="2"/>
      <x:c r="D2" s="2"/>
      <x:c r="E2" s="2"/>
      <x:c r="F2" s="2"/>
    </x:row>
    <x:row r="3" ht="30" customHeight="1">
      <x:c r="A3" s="2"/>
      <x:c r="B3" s="2"/>
      <x:c r="C3" s="2"/>
      <x:c r="D3" s="2"/>
      <x:c r="E3" s="2"/>
      <x:c r="F3" s="2"/>
    </x:row>
    <x:row r="4" ht="30" customHeight="1">
      <x:c r="A4" s="8" t="str">
        <x:v>Name</x:v>
      </x:c>
      <x:c r="B4" s="8" t="str">
        <x:v>Role in recovered material</x:v>
      </x:c>
      <x:c r="C4" s="8" t="str">
        <x:v>Documented subject / source context</x:v>
      </x:c>
      <x:c r="D4" s="8" t="str">
        <x:v>Origin</x:v>
      </x:c>
      <x:c r="E4" s="8" t="str">
        <x:v>Source</x:v>
      </x:c>
      <x:c r="F4" s="8" t="str">
        <x:v>Raw URL</x:v>
      </x:c>
    </x:row>
    <x:row r="5" ht="34" customHeight="1">
      <x:c r="A5" s="9" t="str">
        <x:v>Todd Blanche</x:v>
      </x:c>
      <x:c r="B5" s="9" t="str">
        <x:v>Public official / record author</x:v>
      </x:c>
      <x:c r="C5" s="9" t="str">
        <x:v>DOJ memorandum, asset disclosures, certification and Senate responses</x:v>
      </x:c>
      <x:c r="D5" s="9" t="str">
        <x:v>COR-010</x:v>
      </x:c>
      <x:c r="E5" s="12" t="str">
        <x:f>IFERROR(HYPERLINK(F5,"Open source"),"Open source")</x:f>
        <x:v>Open source</x:v>
      </x:c>
      <x:c r="F5" s="11" t="str">
        <x:v>https://docs.google.com/document/d/1L_7R_A6JmpGGeu4Uc3CvirsrBdmscT-mU7csiaWz-z8/edit?usp=drivesdk</x:v>
      </x:c>
    </x:row>
    <x:row r="6" ht="34" customHeight="1">
      <x:c r="A6" s="9" t="str">
        <x:v>Pamela Bondi</x:v>
      </x:c>
      <x:c r="B6" s="9" t="str">
        <x:v>Public official</x:v>
      </x:c>
      <x:c r="C6" s="9" t="str">
        <x:v>DOJ task-force meeting and separate financial/relationship entries</x:v>
      </x:c>
      <x:c r="D6" s="9" t="str">
        <x:v>COR-020</x:v>
      </x:c>
      <x:c r="E6" s="12" t="str">
        <x:f>IFERROR(HYPERLINK(F6,"Open source"),"Open source")</x:f>
        <x:v>Open source</x:v>
      </x:c>
      <x:c r="F6" s="11" t="str">
        <x:v>https://docs.google.com/document/d/1eMHtb7af2W3QsTASP0sfStAy8XuAlmYk4gD3F52qr_w/edit?usp=drivesdk</x:v>
      </x:c>
    </x:row>
    <x:row r="7" ht="34" customHeight="1">
      <x:c r="A7" s="9" t="str">
        <x:v>Paula White-Cain</x:v>
      </x:c>
      <x:c r="B7" s="9" t="str">
        <x:v>Office appointee</x:v>
      </x:c>
      <x:c r="C7" s="9" t="str">
        <x:v>White House Faith Office appointment and functions</x:v>
      </x:c>
      <x:c r="D7" s="9" t="str">
        <x:v>COR-052</x:v>
      </x:c>
      <x:c r="E7" s="12" t="str">
        <x:f>IFERROR(HYPERLINK(F7,"Open source"),"Open source")</x:f>
        <x:v>Open source</x:v>
      </x:c>
      <x:c r="F7" s="11" t="str">
        <x:v>sandbox:/workspace/scratch/f26806cbdc5e/sources/library/HUMAN_SIDE_SOURCE_REGISTER_v0.2_review(10).md</x:v>
      </x:c>
    </x:row>
    <x:row r="8" ht="34" customHeight="1">
      <x:c r="A8" s="9" t="str">
        <x:v>Donald J. Trump</x:v>
      </x:c>
      <x:c r="B8" s="9" t="str">
        <x:v>Public official / disclosed interests</x:v>
      </x:c>
      <x:c r="C8" s="9" t="str">
        <x:v>Executive orders, financial disclosures and clemency records</x:v>
      </x:c>
      <x:c r="D8" s="9" t="str">
        <x:v>COR-052</x:v>
      </x:c>
      <x:c r="E8" s="12" t="str">
        <x:f>IFERROR(HYPERLINK(F8,"Open source"),"Open source")</x:f>
        <x:v>Open source</x:v>
      </x:c>
      <x:c r="F8" s="11" t="str">
        <x:v>sandbox:/workspace/scratch/f26806cbdc5e/sources/library/HUMAN_SIDE_SOURCE_REGISTER_v0.2_review(10).md</x:v>
      </x:c>
    </x:row>
    <x:row r="9" ht="34" customHeight="1">
      <x:c r="A9" s="9" t="str">
        <x:v>Kash Patel</x:v>
      </x:c>
      <x:c r="B9" s="9" t="str">
        <x:v>Public official / disclosed interests</x:v>
      </x:c>
      <x:c r="C9" s="9" t="str">
        <x:v>Ethics agreement, Palantir sale and separate FBI procurement record</x:v>
      </x:c>
      <x:c r="D9" s="9" t="str">
        <x:v>COR-052</x:v>
      </x:c>
      <x:c r="E9" s="12" t="str">
        <x:f>IFERROR(HYPERLINK(F9,"Open source"),"Open source")</x:f>
        <x:v>Open source</x:v>
      </x:c>
      <x:c r="F9" s="11" t="str">
        <x:v>sandbox:/workspace/scratch/f26806cbdc5e/sources/library/HUMAN_SIDE_SOURCE_REGISTER_v0.2_review(10).md</x:v>
      </x:c>
    </x:row>
    <x:row r="10" ht="39" customHeight="1">
      <x:c r="A10" s="9" t="str">
        <x:v>Gregory Barbaccia</x:v>
      </x:c>
      <x:c r="B10" s="9" t="str">
        <x:v>Government and company career subject</x:v>
      </x:c>
      <x:c r="C10" s="9" t="str">
        <x:v>Government appointments, previous Palantir employment and reported return plan</x:v>
      </x:c>
      <x:c r="D10" s="9" t="str">
        <x:v>COR-052</x:v>
      </x:c>
      <x:c r="E10" s="12" t="str">
        <x:f>IFERROR(HYPERLINK(F10,"Open source"),"Open source")</x:f>
        <x:v>Open source</x:v>
      </x:c>
      <x:c r="F10" s="11" t="str">
        <x:v>sandbox:/workspace/scratch/f26806cbdc5e/sources/library/HUMAN_SIDE_SOURCE_REGISTER_v0.2_review(10).md</x:v>
      </x:c>
    </x:row>
    <x:row r="11" ht="39" customHeight="1">
      <x:c r="A11" s="9" t="str">
        <x:v>Clark Minor</x:v>
      </x:c>
      <x:c r="B11" s="9" t="str">
        <x:v>Career-history research subject</x:v>
      </x:c>
      <x:c r="C11" s="9" t="str">
        <x:v>Reported Palantir/HHS roles; transfer-authorization role not established</x:v>
      </x:c>
      <x:c r="D11" s="9" t="str">
        <x:v>COR-020</x:v>
      </x:c>
      <x:c r="E11" s="12" t="str">
        <x:f>IFERROR(HYPERLINK(F11,"Open source"),"Open source")</x:f>
        <x:v>Open source</x:v>
      </x:c>
      <x:c r="F11" s="11" t="str">
        <x:v>https://docs.google.com/document/d/1eMHtb7af2W3QsTASP0sfStAy8XuAlmYk4gD3F52qr_w/edit?usp=drivesdk</x:v>
      </x:c>
    </x:row>
    <x:row r="12" ht="34" customHeight="1">
      <x:c r="A12" s="9" t="str">
        <x:v>Robert F. Kennedy Jr.</x:v>
      </x:c>
      <x:c r="B12" s="9" t="str">
        <x:v>Public official / asset lead</x:v>
      </x:c>
      <x:c r="C12" s="9" t="str">
        <x:v>Reported Bitcoin holding and mitigation question</x:v>
      </x:c>
      <x:c r="D12" s="9" t="str">
        <x:v>COR-075</x:v>
      </x:c>
      <x:c r="E12" s="12" t="str">
        <x:f>IFERROR(HYPERLINK(F12,"Open source"),"Open source")</x:f>
        <x:v>Open source</x:v>
      </x:c>
      <x:c r="F12" s="11" t="str">
        <x:v>sandbox:/workspace/scratch/f26806cbdc5e/sources/library/humans/archetype_investigation_open_claims_research_packet_v0_1.md</x:v>
      </x:c>
    </x:row>
    <x:row r="13" ht="34" customHeight="1">
      <x:c r="A13" s="9" t="str">
        <x:v>Tulsi Gabbard</x:v>
      </x:c>
      <x:c r="B13" s="9" t="str">
        <x:v>Public official / asset lead</x:v>
      </x:c>
      <x:c r="C13" s="9" t="str">
        <x:v>Historical technology and digital-asset interests and reported sales</x:v>
      </x:c>
      <x:c r="D13" s="9" t="str">
        <x:v>COR-075</x:v>
      </x:c>
      <x:c r="E13" s="12" t="str">
        <x:f>IFERROR(HYPERLINK(F13,"Open source"),"Open source")</x:f>
        <x:v>Open source</x:v>
      </x:c>
      <x:c r="F13" s="11" t="str">
        <x:v>sandbox:/workspace/scratch/f26806cbdc5e/sources/library/humans/archetype_investigation_open_claims_research_packet_v0_1.md</x:v>
      </x:c>
    </x:row>
    <x:row r="14" ht="34" customHeight="1">
      <x:c r="A14" s="9" t="str">
        <x:v>Pete Hegseth</x:v>
      </x:c>
      <x:c r="B14" s="9" t="str">
        <x:v>Public official / asset lead</x:v>
      </x:c>
      <x:c r="C14" s="9" t="str">
        <x:v>Reported defense/technology holdings and sale dates</x:v>
      </x:c>
      <x:c r="D14" s="9" t="str">
        <x:v>COR-075</x:v>
      </x:c>
      <x:c r="E14" s="12" t="str">
        <x:f>IFERROR(HYPERLINK(F14,"Open source"),"Open source")</x:f>
        <x:v>Open source</x:v>
      </x:c>
      <x:c r="F14" s="11" t="str">
        <x:v>sandbox:/workspace/scratch/f26806cbdc5e/sources/library/humans/archetype_investigation_open_claims_research_packet_v0_1.md</x:v>
      </x:c>
    </x:row>
    <x:row r="15" ht="39" customHeight="1">
      <x:c r="A15" s="9" t="str">
        <x:v>Stephen Miller</x:v>
      </x:c>
      <x:c r="B15" s="9" t="str">
        <x:v>Public official / decision-provenance lead</x:v>
      </x:c>
      <x:c r="C15" s="9" t="str">
        <x:v>Named-policy authorship and participation questions</x:v>
      </x:c>
      <x:c r="D15" s="9" t="str">
        <x:v>COR-075</x:v>
      </x:c>
      <x:c r="E15" s="12" t="str">
        <x:f>IFERROR(HYPERLINK(F15,"Open source"),"Open source")</x:f>
        <x:v>Open source</x:v>
      </x:c>
      <x:c r="F15" s="11" t="str">
        <x:v>sandbox:/workspace/scratch/f26806cbdc5e/sources/library/humans/archetype_investigation_open_claims_research_packet_v0_1.md</x:v>
      </x:c>
    </x:row>
    <x:row r="16" ht="39" customHeight="1">
      <x:c r="A16" s="9" t="str">
        <x:v>Marco Rubio</x:v>
      </x:c>
      <x:c r="B16" s="9" t="str">
        <x:v>Public official / decision-provenance lead</x:v>
      </x:c>
      <x:c r="C16" s="9" t="str">
        <x:v>Foreign-policy actions and source-attribution questions</x:v>
      </x:c>
      <x:c r="D16" s="9" t="str">
        <x:v>COR-075</x:v>
      </x:c>
      <x:c r="E16" s="12" t="str">
        <x:f>IFERROR(HYPERLINK(F16,"Open source"),"Open source")</x:f>
        <x:v>Open source</x:v>
      </x:c>
      <x:c r="F16" s="11" t="str">
        <x:v>sandbox:/workspace/scratch/f26806cbdc5e/sources/library/humans/archetype_investigation_open_claims_research_packet_v0_1.md</x:v>
      </x:c>
    </x:row>
    <x:row r="17" ht="34" customHeight="1">
      <x:c r="A17" s="9" t="str">
        <x:v>Karoline Leavitt</x:v>
      </x:c>
      <x:c r="B17" s="9" t="str">
        <x:v>Public communications subject</x:v>
      </x:c>
      <x:c r="C17" s="9" t="str">
        <x:v>Media-to-official-action research lead</x:v>
      </x:c>
      <x:c r="D17" s="9" t="str">
        <x:v>COR-075</x:v>
      </x:c>
      <x:c r="E17" s="12" t="str">
        <x:f>IFERROR(HYPERLINK(F17,"Open source"),"Open source")</x:f>
        <x:v>Open source</x:v>
      </x:c>
      <x:c r="F17" s="11" t="str">
        <x:v>sandbox:/workspace/scratch/f26806cbdc5e/sources/library/humans/archetype_investigation_open_claims_research_packet_v0_1.md</x:v>
      </x:c>
    </x:row>
    <x:row r="18" ht="34" customHeight="1">
      <x:c r="A18" s="9" t="str">
        <x:v>Leonard Leo</x:v>
      </x:c>
      <x:c r="B18" s="9" t="str">
        <x:v>Judicial-selection and advocacy subject</x:v>
      </x:c>
      <x:c r="C18" s="9" t="str">
        <x:v>Advisory role, confirmation advocacy and Marble records</x:v>
      </x:c>
      <x:c r="D18" s="9" t="str">
        <x:v>COR-052</x:v>
      </x:c>
      <x:c r="E18" s="12" t="str">
        <x:f>IFERROR(HYPERLINK(F18,"Open source"),"Open source")</x:f>
        <x:v>Open source</x:v>
      </x:c>
      <x:c r="F18" s="11" t="str">
        <x:v>sandbox:/workspace/scratch/f26806cbdc5e/sources/library/HUMAN_SIDE_SOURCE_REGISTER_v0.2_review(10).md</x:v>
      </x:c>
    </x:row>
    <x:row r="19" ht="39" customHeight="1">
      <x:c r="A19" s="9" t="str">
        <x:v>Mitch McConnell</x:v>
      </x:c>
      <x:c r="B19" s="9" t="str">
        <x:v>Public official / Senate procedure subject</x:v>
      </x:c>
      <x:c r="C19" s="9" t="str">
        <x:v>Judicial-confirmation strategy and distinct asset leads</x:v>
      </x:c>
      <x:c r="D19" s="9" t="str">
        <x:v>COR-052</x:v>
      </x:c>
      <x:c r="E19" s="12" t="str">
        <x:f>IFERROR(HYPERLINK(F19,"Open source"),"Open source")</x:f>
        <x:v>Open source</x:v>
      </x:c>
      <x:c r="F19" s="11" t="str">
        <x:v>sandbox:/workspace/scratch/f26806cbdc5e/sources/library/HUMAN_SIDE_SOURCE_REGISTER_v0.2_review(10).md</x:v>
      </x:c>
    </x:row>
    <x:row r="20" ht="34" customHeight="1">
      <x:c r="A20" s="9" t="str">
        <x:v>Clarence Thomas</x:v>
      </x:c>
      <x:c r="B20" s="9" t="str">
        <x:v>Judicial official / disclosure subject</x:v>
      </x:c>
      <x:c r="C20" s="9" t="str">
        <x:v>Hospitality, amended disclosure and referral disposition</x:v>
      </x:c>
      <x:c r="D20" s="9" t="str">
        <x:v>COR-052</x:v>
      </x:c>
      <x:c r="E20" s="12" t="str">
        <x:f>IFERROR(HYPERLINK(F20,"Open source"),"Open source")</x:f>
        <x:v>Open source</x:v>
      </x:c>
      <x:c r="F20" s="11" t="str">
        <x:v>sandbox:/workspace/scratch/f26806cbdc5e/sources/library/HUMAN_SIDE_SOURCE_REGISTER_v0.2_review(10).md</x:v>
      </x:c>
    </x:row>
    <x:row r="21" ht="34" customHeight="1">
      <x:c r="A21" s="9" t="str">
        <x:v>Harlan Crow</x:v>
      </x:c>
      <x:c r="B21" s="9" t="str">
        <x:v>Public reporting subject</x:v>
      </x:c>
      <x:c r="C21" s="9" t="str">
        <x:v>Hospitality relationship discussed in Thomas record</x:v>
      </x:c>
      <x:c r="D21" s="9" t="str">
        <x:v>COR-052</x:v>
      </x:c>
      <x:c r="E21" s="12" t="str">
        <x:f>IFERROR(HYPERLINK(F21,"Open source"),"Open source")</x:f>
        <x:v>Open source</x:v>
      </x:c>
      <x:c r="F21" s="11" t="str">
        <x:v>sandbox:/workspace/scratch/f26806cbdc5e/sources/library/HUMAN_SIDE_SOURCE_REGISTER_v0.2_review(10).md</x:v>
      </x:c>
    </x:row>
    <x:row r="22" ht="34" customHeight="1">
      <x:c r="A22" s="9" t="str">
        <x:v>Samuel Alito</x:v>
      </x:c>
      <x:c r="B22" s="9" t="str">
        <x:v>Judicial official / disclosure subject</x:v>
      </x:c>
      <x:c r="C22" s="9" t="str">
        <x:v>Hospitality reporting and NML participation</x:v>
      </x:c>
      <x:c r="D22" s="9" t="str">
        <x:v>COR-052</x:v>
      </x:c>
      <x:c r="E22" s="12" t="str">
        <x:f>IFERROR(HYPERLINK(F22,"Open source"),"Open source")</x:f>
        <x:v>Open source</x:v>
      </x:c>
      <x:c r="F22" s="11" t="str">
        <x:v>sandbox:/workspace/scratch/f26806cbdc5e/sources/library/HUMAN_SIDE_SOURCE_REGISTER_v0.2_review(10).md</x:v>
      </x:c>
    </x:row>
    <x:row r="23" ht="34" customHeight="1">
      <x:c r="A23" s="9" t="str">
        <x:v>Paul Singer</x:v>
      </x:c>
      <x:c r="B23" s="9" t="str">
        <x:v>Public reporting subject</x:v>
      </x:c>
      <x:c r="C23" s="9" t="str">
        <x:v>Hospitality and later Court-business relationship</x:v>
      </x:c>
      <x:c r="D23" s="9" t="str">
        <x:v>COR-052</x:v>
      </x:c>
      <x:c r="E23" s="12" t="str">
        <x:f>IFERROR(HYPERLINK(F23,"Open source"),"Open source")</x:f>
        <x:v>Open source</x:v>
      </x:c>
      <x:c r="F23" s="11" t="str">
        <x:v>sandbox:/workspace/scratch/f26806cbdc5e/sources/library/HUMAN_SIDE_SOURCE_REGISTER_v0.2_review(10).md</x:v>
      </x:c>
    </x:row>
    <x:row r="24" ht="34" customHeight="1">
      <x:c r="A24" s="9" t="str">
        <x:v>Neil Gorsuch</x:v>
      </x:c>
      <x:c r="B24" s="9" t="str">
        <x:v>Judicial official / disclosure subject</x:v>
      </x:c>
      <x:c r="C24" s="9" t="str">
        <x:v>Property transaction and disclosed proceeds</x:v>
      </x:c>
      <x:c r="D24" s="9" t="str">
        <x:v>COR-052</x:v>
      </x:c>
      <x:c r="E24" s="12" t="str">
        <x:f>IFERROR(HYPERLINK(F24,"Open source"),"Open source")</x:f>
        <x:v>Open source</x:v>
      </x:c>
      <x:c r="F24" s="11" t="str">
        <x:v>sandbox:/workspace/scratch/f26806cbdc5e/sources/library/HUMAN_SIDE_SOURCE_REGISTER_v0.2_review(10).md</x:v>
      </x:c>
    </x:row>
    <x:row r="25" ht="34" customHeight="1">
      <x:c r="A25" s="9" t="str">
        <x:v>Brian Duffy</x:v>
      </x:c>
      <x:c r="B25" s="9" t="str">
        <x:v>Transaction subject</x:v>
      </x:c>
      <x:c r="C25" s="9" t="str">
        <x:v>Reported purchaser in Gorsuch property transaction</x:v>
      </x:c>
      <x:c r="D25" s="9" t="str">
        <x:v>COR-052</x:v>
      </x:c>
      <x:c r="E25" s="12" t="str">
        <x:f>IFERROR(HYPERLINK(F25,"Open source"),"Open source")</x:f>
        <x:v>Open source</x:v>
      </x:c>
      <x:c r="F25" s="11" t="str">
        <x:v>sandbox:/workspace/scratch/f26806cbdc5e/sources/library/HUMAN_SIDE_SOURCE_REGISTER_v0.2_review(10).md</x:v>
      </x:c>
    </x:row>
    <x:row r="26" ht="34" customHeight="1">
      <x:c r="A26" s="9" t="str">
        <x:v>John Roberts</x:v>
      </x:c>
      <x:c r="B26" s="9" t="str">
        <x:v>Judicial official / disclosure subject</x:v>
      </x:c>
      <x:c r="C26" s="9" t="str">
        <x:v>Spouse-income disclosure and case-specific questions</x:v>
      </x:c>
      <x:c r="D26" s="9" t="str">
        <x:v>COR-052</x:v>
      </x:c>
      <x:c r="E26" s="12" t="str">
        <x:f>IFERROR(HYPERLINK(F26,"Open source"),"Open source")</x:f>
        <x:v>Open source</x:v>
      </x:c>
      <x:c r="F26" s="11" t="str">
        <x:v>sandbox:/workspace/scratch/f26806cbdc5e/sources/library/HUMAN_SIDE_SOURCE_REGISTER_v0.2_review(10).md</x:v>
      </x:c>
    </x:row>
    <x:row r="27" ht="34" customHeight="1">
      <x:c r="A27" s="9" t="str">
        <x:v>Jane Roberts</x:v>
      </x:c>
      <x:c r="B27" s="9" t="str">
        <x:v>Compensation subject</x:v>
      </x:c>
      <x:c r="C27" s="9" t="str">
        <x:v>Recruiting compensation described in reporting and filings</x:v>
      </x:c>
      <x:c r="D27" s="9" t="str">
        <x:v>COR-052</x:v>
      </x:c>
      <x:c r="E27" s="12" t="str">
        <x:f>IFERROR(HYPERLINK(F27,"Open source"),"Open source")</x:f>
        <x:v>Open source</x:v>
      </x:c>
      <x:c r="F27" s="11" t="str">
        <x:v>sandbox:/workspace/scratch/f26806cbdc5e/sources/library/HUMAN_SIDE_SOURCE_REGISTER_v0.2_review(10).md</x:v>
      </x:c>
    </x:row>
    <x:row r="28" ht="34" customHeight="1">
      <x:c r="A28" s="9" t="str">
        <x:v>Kendal B. Price</x:v>
      </x:c>
      <x:c r="B28" s="9" t="str">
        <x:v>Affiant</x:v>
      </x:c>
      <x:c r="C28" s="9" t="str">
        <x:v>Sworn allegations concerning recruiting commissions</x:v>
      </x:c>
      <x:c r="D28" s="9" t="str">
        <x:v>COR-052</x:v>
      </x:c>
      <x:c r="E28" s="12" t="str">
        <x:f>IFERROR(HYPERLINK(F28,"Open source"),"Open source")</x:f>
        <x:v>Open source</x:v>
      </x:c>
      <x:c r="F28" s="11" t="str">
        <x:v>sandbox:/workspace/scratch/f26806cbdc5e/sources/library/HUMAN_SIDE_SOURCE_REGISTER_v0.2_review(10).md</x:v>
      </x:c>
    </x:row>
    <x:row r="29" ht="34" customHeight="1">
      <x:c r="A29" s="9" t="str">
        <x:v>Brett Kavanaugh</x:v>
      </x:c>
      <x:c r="B29" s="9" t="str">
        <x:v>Judicial official / disclosure subject</x:v>
      </x:c>
      <x:c r="C29" s="9" t="str">
        <x:v>Annual disclosures and confirmation records</x:v>
      </x:c>
      <x:c r="D29" s="9" t="str">
        <x:v>COR-052</x:v>
      </x:c>
      <x:c r="E29" s="12" t="str">
        <x:f>IFERROR(HYPERLINK(F29,"Open source"),"Open source")</x:f>
        <x:v>Open source</x:v>
      </x:c>
      <x:c r="F29" s="11" t="str">
        <x:v>sandbox:/workspace/scratch/f26806cbdc5e/sources/library/HUMAN_SIDE_SOURCE_REGISTER_v0.2_review(10).md</x:v>
      </x:c>
    </x:row>
    <x:row r="30" ht="34" customHeight="1">
      <x:c r="A30" s="9" t="str">
        <x:v>Amy Coney Barrett</x:v>
      </x:c>
      <x:c r="B30" s="9" t="str">
        <x:v>Judicial official / record author</x:v>
      </x:c>
      <x:c r="C30" s="9" t="str">
        <x:v>Annual disclosures, confirmation and CASA opinion</x:v>
      </x:c>
      <x:c r="D30" s="9" t="str">
        <x:v>COR-052</x:v>
      </x:c>
      <x:c r="E30" s="12" t="str">
        <x:f>IFERROR(HYPERLINK(F30,"Open source"),"Open source")</x:f>
        <x:v>Open source</x:v>
      </x:c>
      <x:c r="F30" s="11" t="str">
        <x:v>sandbox:/workspace/scratch/f26806cbdc5e/sources/library/HUMAN_SIDE_SOURCE_REGISTER_v0.2_review(10).md</x:v>
      </x:c>
    </x:row>
    <x:row r="31" ht="34" customHeight="1">
      <x:c r="A31" s="9" t="str">
        <x:v>Barre Seid</x:v>
      </x:c>
      <x:c r="B31" s="9" t="str">
        <x:v>Transaction subject</x:v>
      </x:c>
      <x:c r="C31" s="9" t="str">
        <x:v>Tripp Lite and Marble transfer/sale chronology</x:v>
      </x:c>
      <x:c r="D31" s="9" t="str">
        <x:v>COR-052</x:v>
      </x:c>
      <x:c r="E31" s="12" t="str">
        <x:f>IFERROR(HYPERLINK(F31,"Open source"),"Open source")</x:f>
        <x:v>Open source</x:v>
      </x:c>
      <x:c r="F31" s="11" t="str">
        <x:v>sandbox:/workspace/scratch/f26806cbdc5e/sources/library/HUMAN_SIDE_SOURCE_REGISTER_v0.2_review(10).md</x:v>
      </x:c>
    </x:row>
    <x:row r="32" ht="34" customHeight="1">
      <x:c r="A32" s="9" t="str">
        <x:v>Steve Bannon</x:v>
      </x:c>
      <x:c r="B32" s="9" t="str">
        <x:v>Public persuasion subject</x:v>
      </x:c>
      <x:c r="C32" s="9" t="str">
        <x:v>AI-moratorium pressure campaign reporting</x:v>
      </x:c>
      <x:c r="D32" s="9" t="str">
        <x:v>COR-052</x:v>
      </x:c>
      <x:c r="E32" s="12" t="str">
        <x:f>IFERROR(HYPERLINK(F32,"Open source"),"Open source")</x:f>
        <x:v>Open source</x:v>
      </x:c>
      <x:c r="F32" s="11" t="str">
        <x:v>sandbox:/workspace/scratch/f26806cbdc5e/sources/library/HUMAN_SIDE_SOURCE_REGISTER_v0.2_review(10).md</x:v>
      </x:c>
    </x:row>
    <x:row r="33" ht="34" customHeight="1">
      <x:c r="A33" s="9" t="str">
        <x:v>Mike Johnson</x:v>
      </x:c>
      <x:c r="B33" s="9" t="str">
        <x:v>Public official / access subject</x:v>
      </x:c>
      <x:c r="C33" s="9" t="str">
        <x:v>Housing and access reporting with spokesperson response</x:v>
      </x:c>
      <x:c r="D33" s="9" t="str">
        <x:v>COR-052</x:v>
      </x:c>
      <x:c r="E33" s="12" t="str">
        <x:f>IFERROR(HYPERLINK(F33,"Open source"),"Open source")</x:f>
        <x:v>Open source</x:v>
      </x:c>
      <x:c r="F33" s="11" t="str">
        <x:v>sandbox:/workspace/scratch/f26806cbdc5e/sources/library/HUMAN_SIDE_SOURCE_REGISTER_v0.2_review(10).md</x:v>
      </x:c>
    </x:row>
    <x:row r="34" ht="34" customHeight="1">
      <x:c r="A34" s="9" t="str">
        <x:v>Steve Berger</x:v>
      </x:c>
      <x:c r="B34" s="9" t="str">
        <x:v>Access-network subject</x:v>
      </x:c>
      <x:c r="C34" s="9" t="str">
        <x:v>Reported residence and influence-project relationship</x:v>
      </x:c>
      <x:c r="D34" s="9" t="str">
        <x:v>COR-052</x:v>
      </x:c>
      <x:c r="E34" s="12" t="str">
        <x:f>IFERROR(HYPERLINK(F34,"Open source"),"Open source")</x:f>
        <x:v>Open source</x:v>
      </x:c>
      <x:c r="F34" s="11" t="str">
        <x:v>sandbox:/workspace/scratch/f26806cbdc5e/sources/library/HUMAN_SIDE_SOURCE_REGISTER_v0.2_review(10).md</x:v>
      </x:c>
    </x:row>
    <x:row r="35" ht="34" customHeight="1">
      <x:c r="A35" s="9" t="str">
        <x:v>Andy Ogles</x:v>
      </x:c>
      <x:c r="B35" s="9" t="str">
        <x:v>Public official / housing-report subject</x:v>
      </x:c>
      <x:c r="C35" s="9" t="str">
        <x:v>Housing and campaign-related reporting retained in register</x:v>
      </x:c>
      <x:c r="D35" s="9" t="str">
        <x:v>COR-052</x:v>
      </x:c>
      <x:c r="E35" s="12" t="str">
        <x:f>IFERROR(HYPERLINK(F35,"Open source"),"Open source")</x:f>
        <x:v>Open source</x:v>
      </x:c>
      <x:c r="F35" s="11" t="str">
        <x:v>sandbox:/workspace/scratch/f26806cbdc5e/sources/library/HUMAN_SIDE_SOURCE_REGISTER_v0.2_review(10).md</x:v>
      </x:c>
    </x:row>
    <x:row r="36" ht="34" customHeight="1">
      <x:c r="A36" s="9" t="str">
        <x:v>Peter Thiel</x:v>
      </x:c>
      <x:c r="B36" s="9" t="str">
        <x:v>Company and forum founding subject</x:v>
      </x:c>
      <x:c r="C36" s="9" t="str">
        <x:v>Palantir and Dialog founding relationships</x:v>
      </x:c>
      <x:c r="D36" s="9" t="str">
        <x:v>COR-052</x:v>
      </x:c>
      <x:c r="E36" s="12" t="str">
        <x:f>IFERROR(HYPERLINK(F36,"Open source"),"Open source")</x:f>
        <x:v>Open source</x:v>
      </x:c>
      <x:c r="F36" s="11" t="str">
        <x:v>sandbox:/workspace/scratch/f26806cbdc5e/sources/library/HUMAN_SIDE_SOURCE_REGISTER_v0.2_review(10).md</x:v>
      </x:c>
    </x:row>
    <x:row r="37" ht="34" customHeight="1">
      <x:c r="A37" s="9" t="str">
        <x:v>Auren Hoffman</x:v>
      </x:c>
      <x:c r="B37" s="9" t="str">
        <x:v>Forum founding subject</x:v>
      </x:c>
      <x:c r="C37" s="9" t="str">
        <x:v>Dialog founding relationship</x:v>
      </x:c>
      <x:c r="D37" s="9" t="str">
        <x:v>COR-052</x:v>
      </x:c>
      <x:c r="E37" s="12" t="str">
        <x:f>IFERROR(HYPERLINK(F37,"Open source"),"Open source")</x:f>
        <x:v>Open source</x:v>
      </x:c>
      <x:c r="F37" s="11" t="str">
        <x:v>sandbox:/workspace/scratch/f26806cbdc5e/sources/library/HUMAN_SIDE_SOURCE_REGISTER_v0.2_review(10).md</x:v>
      </x:c>
    </x:row>
    <x:row r="38" ht="34" customHeight="1">
      <x:c r="A38" s="9" t="str">
        <x:v>Raffi Grinberg</x:v>
      </x:c>
      <x:c r="B38" s="9" t="str">
        <x:v>Forum-management subject</x:v>
      </x:c>
      <x:c r="C38" s="9" t="str">
        <x:v>Dialog role described in source material</x:v>
      </x:c>
      <x:c r="D38" s="9" t="str">
        <x:v>COR-014</x:v>
      </x:c>
      <x:c r="E38" s="12" t="str">
        <x:f>IFERROR(HYPERLINK(F38,"Open source"),"Open source")</x:f>
        <x:v>Open source</x:v>
      </x:c>
      <x:c r="F38" s="11" t="str">
        <x:v>https://docs.google.com/document/d/1PQNE3sX9-qiZ_U1LeEIvHFxHgIXJg5inpDkXic332fw/edit?usp=drivesdk</x:v>
      </x:c>
    </x:row>
    <x:row r="39" ht="34" customHeight="1">
      <x:c r="A39" s="9" t="str">
        <x:v>Alex Karp</x:v>
      </x:c>
      <x:c r="B39" s="9" t="str">
        <x:v>Company executive / statement source</x:v>
      </x:c>
      <x:c r="C39" s="9" t="str">
        <x:v>Palantir company statements and institutional relationships</x:v>
      </x:c>
      <x:c r="D39" s="9" t="str">
        <x:v>COR-061</x:v>
      </x:c>
      <x:c r="E39" s="12" t="str">
        <x:f>IFERROR(HYPERLINK(F39,"Open source"),"Open source")</x:f>
        <x:v>Open source</x:v>
      </x:c>
      <x:c r="F39" s="11" t="str">
        <x:v>sandbox:/workspace/scratch/f26806cbdc5e/sources/library/humans/CONDUCT_DOCKET_TECH_ELITE_AUDIT_v2-1.md</x:v>
      </x:c>
    </x:row>
    <x:row r="40" ht="34" customHeight="1">
      <x:c r="A40" s="9" t="str">
        <x:v>Sam Altman</x:v>
      </x:c>
      <x:c r="B40" s="9" t="str">
        <x:v>Company executive / transaction subject</x:v>
      </x:c>
      <x:c r="C40" s="9" t="str">
        <x:v>OpenAI governance, counterparty interests and recusal testimony</x:v>
      </x:c>
      <x:c r="D40" s="9" t="str">
        <x:v>COR-061</x:v>
      </x:c>
      <x:c r="E40" s="12" t="str">
        <x:f>IFERROR(HYPERLINK(F40,"Open source"),"Open source")</x:f>
        <x:v>Open source</x:v>
      </x:c>
      <x:c r="F40" s="11" t="str">
        <x:v>sandbox:/workspace/scratch/f26806cbdc5e/sources/library/humans/CONDUCT_DOCKET_TECH_ELITE_AUDIT_v2-1.md</x:v>
      </x:c>
    </x:row>
    <x:row r="41" ht="34" customHeight="1">
      <x:c r="A41" s="9" t="str">
        <x:v>Bret Taylor</x:v>
      </x:c>
      <x:c r="B41" s="9" t="str">
        <x:v>Company governance / statement source</x:v>
      </x:c>
      <x:c r="C41" s="9" t="str">
        <x:v>Governance and conflict-process responses retained in Conduct Docket</x:v>
      </x:c>
      <x:c r="D41" s="9" t="str">
        <x:v>COR-061</x:v>
      </x:c>
      <x:c r="E41" s="12" t="str">
        <x:f>IFERROR(HYPERLINK(F41,"Open source"),"Open source")</x:f>
        <x:v>Open source</x:v>
      </x:c>
      <x:c r="F41" s="11" t="str">
        <x:v>sandbox:/workspace/scratch/f26806cbdc5e/sources/library/humans/CONDUCT_DOCKET_TECH_ELITE_AUDIT_v2-1.md</x:v>
      </x:c>
    </x:row>
    <x:row r="42" ht="34" customHeight="1">
      <x:c r="A42" s="9" t="str">
        <x:v>Changpeng Zhao</x:v>
      </x:c>
      <x:c r="B42" s="9" t="str">
        <x:v>Clemency and transaction subject</x:v>
      </x:c>
      <x:c r="C42" s="9" t="str">
        <x:v>Criminal resolution and later pardon</x:v>
      </x:c>
      <x:c r="D42" s="9" t="str">
        <x:v>COR-052</x:v>
      </x:c>
      <x:c r="E42" s="12" t="str">
        <x:f>IFERROR(HYPERLINK(F42,"Open source"),"Open source")</x:f>
        <x:v>Open source</x:v>
      </x:c>
      <x:c r="F42" s="11" t="str">
        <x:v>sandbox:/workspace/scratch/f26806cbdc5e/sources/library/HUMAN_SIDE_SOURCE_REGISTER_v0.2_review(10).md</x:v>
      </x:c>
    </x:row>
    <x:row r="43" ht="34" customHeight="1">
      <x:c r="A43" s="9" t="str">
        <x:v>Zach Witkoff</x:v>
      </x:c>
      <x:c r="B43" s="9" t="str">
        <x:v>Company statement source</x:v>
      </x:c>
      <x:c r="C43" s="9" t="str">
        <x:v>USD1/MGX announcement reporting</x:v>
      </x:c>
      <x:c r="D43" s="9" t="str">
        <x:v>COR-052</x:v>
      </x:c>
      <x:c r="E43" s="12" t="str">
        <x:f>IFERROR(HYPERLINK(F43,"Open source"),"Open source")</x:f>
        <x:v>Open source</x:v>
      </x:c>
      <x:c r="F43" s="11" t="str">
        <x:v>sandbox:/workspace/scratch/f26806cbdc5e/sources/library/HUMAN_SIDE_SOURCE_REGISTER_v0.2_review(10).md</x:v>
      </x:c>
    </x:row>
    <x:row r="44" ht="34" customHeight="1">
      <x:c r="A44" s="9" t="str">
        <x:v>Anna Rich</x:v>
      </x:c>
      <x:c r="B44" s="9" t="str">
        <x:v>Declarant</x:v>
      </x:c>
      <x:c r="C44" s="9" t="str">
        <x:v>CMS–ICE litigation declaration</x:v>
      </x:c>
      <x:c r="D44" s="9" t="str">
        <x:v>COR-052</x:v>
      </x:c>
      <x:c r="E44" s="12" t="str">
        <x:f>IFERROR(HYPERLINK(F44,"Open source"),"Open source")</x:f>
        <x:v>Open source</x:v>
      </x:c>
      <x:c r="F44" s="11" t="str">
        <x:v>sandbox:/workspace/scratch/f26806cbdc5e/sources/library/HUMAN_SIDE_SOURCE_REGISTER_v0.2_review(10).md</x:v>
      </x:c>
    </x:row>
    <x:row r="45" ht="34" customHeight="1">
      <x:c r="A45" s="9" t="str">
        <x:v>Corey G. Johnson</x:v>
      </x:c>
      <x:c r="B45" s="9" t="str">
        <x:v>Reporter</x:v>
      </x:c>
      <x:c r="C45" s="9" t="str">
        <x:v>Blanche ethics reporting cited in the Senate compilation</x:v>
      </x:c>
      <x:c r="D45" s="9" t="str">
        <x:v>COR-010</x:v>
      </x:c>
      <x:c r="E45" s="12" t="str">
        <x:f>IFERROR(HYPERLINK(F45,"Open source"),"Open source")</x:f>
        <x:v>Open source</x:v>
      </x:c>
      <x:c r="F45" s="11" t="str">
        <x:v>https://docs.google.com/document/d/1L_7R_A6JmpGGeu4Uc3CvirsrBdmscT-mU7csiaWz-z8/edit?usp=drivesdk</x:v>
      </x:c>
    </x:row>
    <x:row r="46" ht="34" customHeight="1">
      <x:c r="A46" s="9" t="str">
        <x:v>James Comer</x:v>
      </x:c>
      <x:c r="B46" s="9" t="str">
        <x:v>Congressional letter author</x:v>
      </x:c>
      <x:c r="C46" s="9" t="str">
        <x:v>House Oversight inquiry concerning OpenAI</x:v>
      </x:c>
      <x:c r="D46" s="9" t="str">
        <x:v>COR-061</x:v>
      </x:c>
      <x:c r="E46" s="12" t="str">
        <x:f>IFERROR(HYPERLINK(F46,"Open source"),"Open source")</x:f>
        <x:v>Open source</x:v>
      </x:c>
      <x:c r="F46" s="11" t="str">
        <x:v>sandbox:/workspace/scratch/f26806cbdc5e/sources/library/humans/CONDUCT_DOCKET_TECH_ELITE_AUDIT_v2-1.md</x:v>
      </x:c>
    </x:row>
    <x:row r="47" ht="34" customHeight="1">
      <x:c r="A47" s="9" t="str">
        <x:v>Rob Bonta</x:v>
      </x:c>
      <x:c r="B47" s="9" t="str">
        <x:v>State oversight official</x:v>
      </x:c>
      <x:c r="C47" s="9" t="str">
        <x:v>California OpenAI review and agreement</x:v>
      </x:c>
      <x:c r="D47" s="9" t="str">
        <x:v>COR-061</x:v>
      </x:c>
      <x:c r="E47" s="12" t="str">
        <x:f>IFERROR(HYPERLINK(F47,"Open source"),"Open source")</x:f>
        <x:v>Open source</x:v>
      </x:c>
      <x:c r="F47" s="11" t="str">
        <x:v>sandbox:/workspace/scratch/f26806cbdc5e/sources/library/humans/CONDUCT_DOCKET_TECH_ELITE_AUDIT_v2-1.md</x:v>
      </x:c>
    </x:row>
    <x:row r="48" ht="34" customHeight="1">
      <x:c r="A48" s="9" t="str">
        <x:v>Kathleen Jennings</x:v>
      </x:c>
      <x:c r="B48" s="9" t="str">
        <x:v>State oversight official</x:v>
      </x:c>
      <x:c r="C48" s="9" t="str">
        <x:v>Delaware recapitalization review</x:v>
      </x:c>
      <x:c r="D48" s="9" t="str">
        <x:v>COR-061</x:v>
      </x:c>
      <x:c r="E48" s="12" t="str">
        <x:f>IFERROR(HYPERLINK(F48,"Open source"),"Open source")</x:f>
        <x:v>Open source</x:v>
      </x:c>
      <x:c r="F48" s="11" t="str">
        <x:v>sandbox:/workspace/scratch/f26806cbdc5e/sources/library/humans/CONDUCT_DOCKET_TECH_ELITE_AUDIT_v2-1.md</x:v>
      </x:c>
    </x:row>
    <x:row r="49" ht="34" customHeight="1">
      <x:c r="A49" s="9" t="str">
        <x:v>William Alsup</x:v>
      </x:c>
      <x:c r="B49" s="9" t="str">
        <x:v>Judicial official / opinion author</x:v>
      </x:c>
      <x:c r="C49" s="9" t="str">
        <x:v>Bartz copyright proceedings</x:v>
      </x:c>
      <x:c r="D49" s="9" t="str">
        <x:v>COR-061</x:v>
      </x:c>
      <x:c r="E49" s="12" t="str">
        <x:f>IFERROR(HYPERLINK(F49,"Open source"),"Open source")</x:f>
        <x:v>Open source</x:v>
      </x:c>
      <x:c r="F49" s="11" t="str">
        <x:v>sandbox:/workspace/scratch/f26806cbdc5e/sources/library/humans/CONDUCT_DOCKET_TECH_ELITE_AUDIT_v2-1.md</x:v>
      </x:c>
    </x:row>
    <x:row r="50" ht="34" customHeight="1">
      <x:c r="A50" s="9" t="str">
        <x:v>Araceli Martínez-Olguín</x:v>
      </x:c>
      <x:c r="B50" s="9" t="str">
        <x:v>Judicial official / order author</x:v>
      </x:c>
      <x:c r="C50" s="9" t="str">
        <x:v>Bartz settlement approval</x:v>
      </x:c>
      <x:c r="D50" s="9" t="str">
        <x:v>COR-061</x:v>
      </x:c>
      <x:c r="E50" s="12" t="str">
        <x:f>IFERROR(HYPERLINK(F50,"Open source"),"Open source")</x:f>
        <x:v>Open source</x:v>
      </x:c>
      <x:c r="F50" s="11" t="str">
        <x:v>sandbox:/workspace/scratch/f26806cbdc5e/sources/library/humans/CONDUCT_DOCKET_TECH_ELITE_AUDIT_v2-1.md</x:v>
      </x:c>
    </x:row>
    <x:row r="51" ht="34" customHeight="1">
      <x:c r="A51" s="9" t="str">
        <x:v>Andrea Bartz</x:v>
      </x:c>
      <x:c r="B51" s="9" t="str">
        <x:v>Author / litigation participant</x:v>
      </x:c>
      <x:c r="C51" s="9" t="str">
        <x:v>Bartz class-action proceedings</x:v>
      </x:c>
      <x:c r="D51" s="9" t="str">
        <x:v>COR-061</x:v>
      </x:c>
      <x:c r="E51" s="12" t="str">
        <x:f>IFERROR(HYPERLINK(F51,"Open source"),"Open source")</x:f>
        <x:v>Open source</x:v>
      </x:c>
      <x:c r="F51" s="11" t="str">
        <x:v>sandbox:/workspace/scratch/f26806cbdc5e/sources/library/humans/CONDUCT_DOCKET_TECH_ELITE_AUDIT_v2-1.md</x:v>
      </x:c>
    </x:row>
    <x:row r="52" ht="34" customHeight="1">
      <x:c r="A52" s="9" t="str">
        <x:v>Charles Graeber</x:v>
      </x:c>
      <x:c r="B52" s="9" t="str">
        <x:v>Author / litigation participant</x:v>
      </x:c>
      <x:c r="C52" s="9" t="str">
        <x:v>Bartz class-action proceedings</x:v>
      </x:c>
      <x:c r="D52" s="9" t="str">
        <x:v>COR-061</x:v>
      </x:c>
      <x:c r="E52" s="12" t="str">
        <x:f>IFERROR(HYPERLINK(F52,"Open source"),"Open source")</x:f>
        <x:v>Open source</x:v>
      </x:c>
      <x:c r="F52" s="11" t="str">
        <x:v>sandbox:/workspace/scratch/f26806cbdc5e/sources/library/humans/CONDUCT_DOCKET_TECH_ELITE_AUDIT_v2-1.md</x:v>
      </x:c>
    </x:row>
    <x:row r="53" ht="34" customHeight="1">
      <x:c r="A53" s="9" t="str">
        <x:v>Kirk Wallace Johnson</x:v>
      </x:c>
      <x:c r="B53" s="9" t="str">
        <x:v>Author / litigation participant</x:v>
      </x:c>
      <x:c r="C53" s="9" t="str">
        <x:v>Bartz class-action proceedings</x:v>
      </x:c>
      <x:c r="D53" s="9" t="str">
        <x:v>COR-061</x:v>
      </x:c>
      <x:c r="E53" s="12" t="str">
        <x:f>IFERROR(HYPERLINK(F53,"Open source"),"Open source")</x:f>
        <x:v>Open source</x:v>
      </x:c>
      <x:c r="F53" s="11" t="str">
        <x:v>sandbox:/workspace/scratch/f26806cbdc5e/sources/library/humans/CONDUCT_DOCKET_TECH_ELITE_AUDIT_v2-1.md</x:v>
      </x:c>
    </x:row>
    <x:row r="54" ht="34" customHeight="1">
      <x:c r="A54" s="9" t="str">
        <x:v>Charlie Kirk</x:v>
      </x:c>
      <x:c r="B54" s="9" t="str">
        <x:v>Person represented in synthetic material</x:v>
      </x:c>
      <x:c r="C54" s="9" t="str">
        <x:v>Synthetic-identity example carried by the Necropolis research</x:v>
      </x:c>
      <x:c r="D54" s="9" t="str">
        <x:v>COR-066</x:v>
      </x:c>
      <x:c r="E54" s="12" t="str">
        <x:f>IFERROR(HYPERLINK(F54,"Open source"),"Open source")</x:f>
        <x:v>Open source</x:v>
      </x:c>
      <x:c r="F54" s="11" t="str">
        <x:v>sandbox:/workspace/scratch/f26806cbdc5e/sources/library/humans/LONG_REVELATION_RESEARCH_INDEX-1.md</x:v>
      </x:c>
    </x:row>
    <x:row r="55" ht="34" customHeight="1">
      <x:c r="A55" s="9" t="str">
        <x:v>Jack Graham</x:v>
      </x:c>
      <x:c r="B55" s="9" t="str">
        <x:v>Presenter in reported event</x:v>
      </x:c>
      <x:c r="C55" s="9" t="str">
        <x:v>Disclosed synthetic-identity presentation</x:v>
      </x:c>
      <x:c r="D55" s="9" t="str">
        <x:v>COR-066</x:v>
      </x:c>
      <x:c r="E55" s="12" t="str">
        <x:f>IFERROR(HYPERLINK(F55,"Open source"),"Open source")</x:f>
        <x:v>Open source</x:v>
      </x:c>
      <x:c r="F55" s="11" t="str">
        <x:v>sandbox:/workspace/scratch/f26806cbdc5e/sources/library/humans/LONG_REVELATION_RESEARCH_INDEX-1.md</x:v>
      </x:c>
    </x:row>
    <x:row r="56" ht="34" customHeight="1">
      <x:c r="A56" s="9" t="str">
        <x:v>Benjamin Netanyahu</x:v>
      </x:c>
      <x:c r="B56" s="9" t="str">
        <x:v>Public official / statements subject</x:v>
      </x:c>
      <x:c r="C56" s="9" t="str">
        <x:v>Dated meetings, statements and defense-policy source leads</x:v>
      </x:c>
      <x:c r="D56" s="9" t="str">
        <x:v>COR-066</x:v>
      </x:c>
      <x:c r="E56" s="12" t="str">
        <x:f>IFERROR(HYPERLINK(F56,"Open source"),"Open source")</x:f>
        <x:v>Open source</x:v>
      </x:c>
      <x:c r="F56" s="11" t="str">
        <x:v>sandbox:/workspace/scratch/f26806cbdc5e/sources/library/humans/LONG_REVELATION_RESEARCH_INDEX-1.md</x:v>
      </x:c>
    </x:row>
    <x:row r="57" ht="34" customHeight="1">
      <x:c r="A57" s="9" t="str">
        <x:v>Thomas Massie</x:v>
      </x:c>
      <x:c r="B57" s="9" t="str">
        <x:v>Legislative-source subject</x:v>
      </x:c>
      <x:c r="C57" s="9" t="str">
        <x:v>Proposed defense-technology amendment discussed at July cutoff</x:v>
      </x:c>
      <x:c r="D57" s="9" t="str">
        <x:v>COR-066</x:v>
      </x:c>
      <x:c r="E57" s="12" t="str">
        <x:f>IFERROR(HYPERLINK(F57,"Open source"),"Open source")</x:f>
        <x:v>Open source</x:v>
      </x:c>
      <x:c r="F57" s="11" t="str">
        <x:v>sandbox:/workspace/scratch/f26806cbdc5e/sources/library/humans/LONG_REVELATION_RESEARCH_INDEX-1.md</x:v>
      </x:c>
    </x:row>
    <x:row r="58" ht="34" customHeight="1">
      <x:c r="A58" s="9" t="str">
        <x:v>Ro Khanna</x:v>
      </x:c>
      <x:c r="B58" s="9" t="str">
        <x:v>Legislative-source subject</x:v>
      </x:c>
      <x:c r="C58" s="9" t="str">
        <x:v>Defense-technology debate discussed in the research index</x:v>
      </x:c>
      <x:c r="D58" s="9" t="str">
        <x:v>COR-066</x:v>
      </x:c>
      <x:c r="E58" s="12" t="str">
        <x:f>IFERROR(HYPERLINK(F58,"Open source"),"Open source")</x:f>
        <x:v>Open source</x:v>
      </x:c>
      <x:c r="F58" s="11" t="str">
        <x:v>sandbox:/workspace/scratch/f26806cbdc5e/sources/library/humans/LONG_REVELATION_RESEARCH_INDEX-1.md</x:v>
      </x:c>
    </x:row>
    <x:row r="59" ht="34" customHeight="1">
      <x:c r="A59" s="9" t="str">
        <x:v>Alexandria Ocasio-Cortez</x:v>
      </x:c>
      <x:c r="B59" s="9" t="str">
        <x:v>Legislative-source subject</x:v>
      </x:c>
      <x:c r="C59" s="9" t="str">
        <x:v>Defense-technology debate discussed in the research index</x:v>
      </x:c>
      <x:c r="D59" s="9" t="str">
        <x:v>COR-066</x:v>
      </x:c>
      <x:c r="E59" s="12" t="str">
        <x:f>IFERROR(HYPERLINK(F59,"Open source"),"Open source")</x:f>
        <x:v>Open source</x:v>
      </x:c>
      <x:c r="F59" s="11" t="str">
        <x:v>sandbox:/workspace/scratch/f26806cbdc5e/sources/library/humans/LONG_REVELATION_RESEARCH_INDEX-1.md</x:v>
      </x:c>
    </x:row>
    <x:row r="60" ht="34" customHeight="1">
      <x:c r="A60" s="9" t="str">
        <x:v>Helen R. Jacobus</x:v>
      </x:c>
      <x:c r="B60" s="9" t="str">
        <x:v>Scholar / reconstruction source</x:v>
      </x:c>
      <x:c r="C60" s="9" t="str">
        <x:v>Qumran lunar and calendrical reconstruction</x:v>
      </x:c>
      <x:c r="D60" s="9" t="str">
        <x:v>COR-003</x:v>
      </x:c>
      <x:c r="E60" s="12" t="str">
        <x:f>IFERROR(HYPERLINK(F60,"Open source"),"Open source")</x:f>
        <x:v>Open source</x:v>
      </x:c>
      <x:c r="F60" s="11" t="str">
        <x:v>https://docs.google.com/document/d/16Ut3EgtPw4MZ_v1qWTonZXBw33SN9qCmUgBwlbfE0HA/edit?usp=drivesdk</x:v>
      </x:c>
    </x:row>
    <x:row r="61" ht="34" customHeight="1">
      <x:c r="A61" s="9" t="str">
        <x:v>Aleister Crowley</x:v>
      </x:c>
      <x:c r="B61" s="9" t="str">
        <x:v>Historical subject</x:v>
      </x:c>
      <x:c r="C61" s="9" t="str">
        <x:v>Historical organizations and affiliation distinctions</x:v>
      </x:c>
      <x:c r="D61" s="9" t="str">
        <x:v>COR-042</x:v>
      </x:c>
      <x:c r="E61" s="12" t="str">
        <x:f>IFERROR(HYPERLINK(F61,"Open source"),"Open source")</x:f>
        <x:v>Open source</x:v>
      </x:c>
      <x:c r="F61" s="11" t="str">
        <x:v>sandbox:/workspace/scratch/f26806cbdc5e/sources/library/GOLDEN_DAWN_TECH_ELITE_EVIDENCE_AUDIT_v1.md</x:v>
      </x:c>
    </x:row>
    <x:row r="62" ht="34" customHeight="1">
      <x:c r="A62" s="9" t="str">
        <x:v>Jack Parsons</x:v>
      </x:c>
      <x:c r="B62" s="9" t="str">
        <x:v>Historical subject</x:v>
      </x:c>
      <x:c r="C62" s="9" t="str">
        <x:v>Historical biographical and institutional links</x:v>
      </x:c>
      <x:c r="D62" s="9" t="str">
        <x:v>COR-042</x:v>
      </x:c>
      <x:c r="E62" s="12" t="str">
        <x:f>IFERROR(HYPERLINK(F62,"Open source"),"Open source")</x:f>
        <x:v>Open source</x:v>
      </x:c>
      <x:c r="F62" s="11" t="str">
        <x:v>sandbox:/workspace/scratch/f26806cbdc5e/sources/library/GOLDEN_DAWN_TECH_ELITE_EVIDENCE_AUDIT_v1.md</x:v>
      </x:c>
    </x:row>
    <x:row r="63" ht="34" customHeight="1">
      <x:c r="A63" s="9" t="str">
        <x:v>Simon II</x:v>
      </x:c>
      <x:c r="B63" s="9" t="str">
        <x:v>Ancient narrative subject</x:v>
      </x:c>
      <x:c r="C63" s="9" t="str">
        <x:v>High-priestly horizon discussed in the Jerusalem paper</x:v>
      </x:c>
      <x:c r="D63" s="9" t="str">
        <x:v>COR-019</x:v>
      </x:c>
      <x:c r="E63" s="12" t="str">
        <x:f>IFERROR(HYPERLINK(F63,"Open source"),"Open source")</x:f>
        <x:v>Open source</x:v>
      </x:c>
      <x:c r="F63" s="11" t="str">
        <x:v>https://docs.google.com/document/d/1W4IefNvWQhBR7swoCb_tj7QbaW_skIRfzKLXWDgR5pQ/edit?usp=drivesdk</x:v>
      </x:c>
    </x:row>
    <x:row r="64" ht="34" customHeight="1">
      <x:c r="A64" s="9" t="str">
        <x:v>Onias III</x:v>
      </x:c>
      <x:c r="B64" s="9" t="str">
        <x:v>Ancient narrative subject</x:v>
      </x:c>
      <x:c r="C64" s="9" t="str">
        <x:v>High-priestly succession narrative</x:v>
      </x:c>
      <x:c r="D64" s="9" t="str">
        <x:v>COR-019</x:v>
      </x:c>
      <x:c r="E64" s="12" t="str">
        <x:f>IFERROR(HYPERLINK(F64,"Open source"),"Open source")</x:f>
        <x:v>Open source</x:v>
      </x:c>
      <x:c r="F64" s="11" t="str">
        <x:v>https://docs.google.com/document/d/1W4IefNvWQhBR7swoCb_tj7QbaW_skIRfzKLXWDgR5pQ/edit?usp=drivesdk</x:v>
      </x:c>
    </x:row>
    <x:row r="65" ht="34" customHeight="1">
      <x:c r="A65" s="9" t="str">
        <x:v>Jason</x:v>
      </x:c>
      <x:c r="B65" s="9" t="str">
        <x:v>Ancient narrative subject</x:v>
      </x:c>
      <x:c r="C65" s="9" t="str">
        <x:v>Appointment and payment narrative in 2 Maccabees</x:v>
      </x:c>
      <x:c r="D65" s="9" t="str">
        <x:v>COR-019</x:v>
      </x:c>
      <x:c r="E65" s="12" t="str">
        <x:f>IFERROR(HYPERLINK(F65,"Open source"),"Open source")</x:f>
        <x:v>Open source</x:v>
      </x:c>
      <x:c r="F65" s="11" t="str">
        <x:v>https://docs.google.com/document/d/1W4IefNvWQhBR7swoCb_tj7QbaW_skIRfzKLXWDgR5pQ/edit?usp=drivesdk</x:v>
      </x:c>
    </x:row>
    <x:row r="66" ht="34" customHeight="1">
      <x:c r="A66" s="9" t="str">
        <x:v>Menelaus</x:v>
      </x:c>
      <x:c r="B66" s="9" t="str">
        <x:v>Ancient narrative subject</x:v>
      </x:c>
      <x:c r="C66" s="9" t="str">
        <x:v>Appointment and payment narrative in 2 Maccabees</x:v>
      </x:c>
      <x:c r="D66" s="9" t="str">
        <x:v>COR-019</x:v>
      </x:c>
      <x:c r="E66" s="12" t="str">
        <x:f>IFERROR(HYPERLINK(F66,"Open source"),"Open source")</x:f>
        <x:v>Open source</x:v>
      </x:c>
      <x:c r="F66" s="11" t="str">
        <x:v>https://docs.google.com/document/d/1W4IefNvWQhBR7swoCb_tj7QbaW_skIRfzKLXWDgR5pQ/edit?usp=drivesdk</x:v>
      </x:c>
    </x:row>
    <x:row r="67" ht="34" customHeight="1">
      <x:c r="A67" s="9" t="str">
        <x:v>Ben Sira</x:v>
      </x:c>
      <x:c r="B67" s="9" t="str">
        <x:v>Ancient author / text subject</x:v>
      </x:c>
      <x:c r="C67" s="9" t="str">
        <x:v>Scribal vocation and priesthood in the Jerusalem source apparatus</x:v>
      </x:c>
      <x:c r="D67" s="9" t="str">
        <x:v>COR-019</x:v>
      </x:c>
      <x:c r="E67" s="12" t="str">
        <x:f>IFERROR(HYPERLINK(F67,"Open source"),"Open source")</x:f>
        <x:v>Open source</x:v>
      </x:c>
      <x:c r="F67" s="11" t="str">
        <x:v>https://docs.google.com/document/d/1W4IefNvWQhBR7swoCb_tj7QbaW_skIRfzKLXWDgR5pQ/edit?usp=drivesdk</x:v>
      </x:c>
    </x:row>
    <x:row r="68" ht="34" customHeight="1">
      <x:c r="A68" s="9" t="str">
        <x:v>Eupolemus</x:v>
      </x:c>
      <x:c r="B68" s="9" t="str">
        <x:v>Ancient narrative and attribution subject</x:v>
      </x:c>
      <x:c r="C68" s="9" t="str">
        <x:v>Diplomacy and disputed identification with a historian</x:v>
      </x:c>
      <x:c r="D68" s="9" t="str">
        <x:v>COR-019</x:v>
      </x:c>
      <x:c r="E68" s="12" t="str">
        <x:f>IFERROR(HYPERLINK(F68,"Open source"),"Open source")</x:f>
        <x:v>Open source</x:v>
      </x:c>
      <x:c r="F68" s="11" t="str">
        <x:v>https://docs.google.com/document/d/1W4IefNvWQhBR7swoCb_tj7QbaW_skIRfzKLXWDgR5pQ/edit?usp=drivesdk</x:v>
      </x:c>
    </x:row>
    <x:row r="69" ht="39" customHeight="1">
      <x:c r="A69" s="9" t="str">
        <x:v>John, father of Eupolemus</x:v>
      </x:c>
      <x:c r="B69" s="9" t="str">
        <x:v>Ancient narrative subject</x:v>
      </x:c>
      <x:c r="C69" s="9" t="str">
        <x:v>Royal concessions and diplomatic narrative</x:v>
      </x:c>
      <x:c r="D69" s="9" t="str">
        <x:v>COR-019</x:v>
      </x:c>
      <x:c r="E69" s="12" t="str">
        <x:f>IFERROR(HYPERLINK(F69,"Open source"),"Open source")</x:f>
        <x:v>Open source</x:v>
      </x:c>
      <x:c r="F69" s="11" t="str">
        <x:v>https://docs.google.com/document/d/1W4IefNvWQhBR7swoCb_tj7QbaW_skIRfzKLXWDgR5pQ/edit?usp=drivesdk</x:v>
      </x:c>
    </x:row>
    <x:row r="70" ht="34" customHeight="1">
      <x:c r="A70" s="9" t="str">
        <x:v>Meremoth son of Uriah</x:v>
      </x:c>
      <x:c r="B70" s="9" t="str">
        <x:v>Ancient narrative subject</x:v>
      </x:c>
      <x:c r="C70" s="9" t="str">
        <x:v>Temple asset-custody passage</x:v>
      </x:c>
      <x:c r="D70" s="9" t="str">
        <x:v>COR-019</x:v>
      </x:c>
      <x:c r="E70" s="12" t="str">
        <x:f>IFERROR(HYPERLINK(F70,"Open source"),"Open source")</x:f>
        <x:v>Open source</x:v>
      </x:c>
      <x:c r="F70" s="11" t="str">
        <x:v>https://docs.google.com/document/d/1W4IefNvWQhBR7swoCb_tj7QbaW_skIRfzKLXWDgR5pQ/edit?usp=drivesdk</x:v>
      </x:c>
    </x:row>
    <x:row r="71" ht="34" customHeight="1">
      <x:c r="A71" s="9" t="str">
        <x:v>Toubias / Tobiah</x:v>
      </x:c>
      <x:c r="B71" s="9" t="str">
        <x:v>Papyrological and narrative subject</x:v>
      </x:c>
      <x:c r="C71" s="9" t="str">
        <x:v>Separate records of Ptolemaic brokerage and later narrative</x:v>
      </x:c>
      <x:c r="D71" s="9" t="str">
        <x:v>COR-019</x:v>
      </x:c>
      <x:c r="E71" s="12" t="str">
        <x:f>IFERROR(HYPERLINK(F71,"Open source"),"Open source")</x:f>
        <x:v>Open source</x:v>
      </x:c>
      <x:c r="F71" s="11" t="str">
        <x:v>https://docs.google.com/document/d/1W4IefNvWQhBR7swoCb_tj7QbaW_skIRfzKLXWDgR5pQ/edit?usp=drivesdk</x:v>
      </x:c>
    </x:row>
    <x:row r="72" ht="34" customHeight="1">
      <x:c r="A72" s="9" t="str">
        <x:v>Eleazar</x:v>
      </x:c>
      <x:c r="B72" s="9" t="str">
        <x:v>Ancient narrative subject</x:v>
      </x:c>
      <x:c r="C72" s="9" t="str">
        <x:v>Scribal role; precise household unidentified</x:v>
      </x:c>
      <x:c r="D72" s="9" t="str">
        <x:v>COR-019</x:v>
      </x:c>
      <x:c r="E72" s="12" t="str">
        <x:f>IFERROR(HYPERLINK(F72,"Open source"),"Open source")</x:f>
        <x:v>Open source</x:v>
      </x:c>
      <x:c r="F72" s="11" t="str">
        <x:v>https://docs.google.com/document/d/1W4IefNvWQhBR7swoCb_tj7QbaW_skIRfzKLXWDgR5pQ/edit?usp=drivesdk</x:v>
      </x:c>
    </x:row>
    <x:row r="73" ht="34" customHeight="1">
      <x:c r="A73" s="9" t="str">
        <x:v>Josephus</x:v>
      </x:c>
      <x:c r="B73" s="9" t="str">
        <x:v>Ancient author / literary witness</x:v>
      </x:c>
      <x:c r="C73" s="9" t="str">
        <x:v>Later historical narrative with source-critical limits</x:v>
      </x:c>
      <x:c r="D73" s="9" t="str">
        <x:v>COR-019</x:v>
      </x:c>
      <x:c r="E73" s="12" t="str">
        <x:f>IFERROR(HYPERLINK(F73,"Open source"),"Open source")</x:f>
        <x:v>Open source</x:v>
      </x:c>
      <x:c r="F73" s="11" t="str">
        <x:v>https://docs.google.com/document/d/1W4IefNvWQhBR7swoCb_tj7QbaW_skIRfzKLXWDgR5pQ/edit?usp=drivesdk</x:v>
      </x:c>
    </x:row>
    <x:row r="74" ht="34" customHeight="1">
      <x:c r="A74" s="9" t="str">
        <x:v>Philip S. Alexander</x:v>
      </x:c>
      <x:c r="B74" s="9" t="str">
        <x:v>Scholar / editor credited in bibliography</x:v>
      </x:c>
      <x:c r="C74" s="9" t="str">
        <x:v>The Bibliography tab preserves the full cited work and editorial role.</x:v>
      </x:c>
      <x:c r="D74" s="9" t="str">
        <x:v>COR-019</x:v>
      </x:c>
      <x:c r="E74" s="12" t="str">
        <x:f>IFERROR(HYPERLINK(F74,"Open source"),"Open source")</x:f>
        <x:v>Open source</x:v>
      </x:c>
      <x:c r="F74" s="11" t="str">
        <x:v>https://docs.google.com/document/d/1W4IefNvWQhBR7swoCb_tj7QbaW_skIRfzKLXWDgR5pQ/edit?usp=drivesdk</x:v>
      </x:c>
    </x:row>
    <x:row r="75" ht="34" customHeight="1">
      <x:c r="A75" s="9" t="str">
        <x:v>Geza Vermes</x:v>
      </x:c>
      <x:c r="B75" s="9" t="str">
        <x:v>Scholar / editor credited in bibliography</x:v>
      </x:c>
      <x:c r="C75" s="9" t="str">
        <x:v>The Bibliography tab preserves the full cited work and editorial role.</x:v>
      </x:c>
      <x:c r="D75" s="9" t="str">
        <x:v>COR-019</x:v>
      </x:c>
      <x:c r="E75" s="12" t="str">
        <x:f>IFERROR(HYPERLINK(F75,"Open source"),"Open source")</x:f>
        <x:v>Open source</x:v>
      </x:c>
      <x:c r="F75" s="11" t="str">
        <x:v>https://docs.google.com/document/d/1W4IefNvWQhBR7swoCb_tj7QbaW_skIRfzKLXWDgR5pQ/edit?usp=drivesdk</x:v>
      </x:c>
    </x:row>
    <x:row r="76" ht="34" customHeight="1">
      <x:c r="A76" s="9" t="str">
        <x:v>Henryk Drawnel</x:v>
      </x:c>
      <x:c r="B76" s="9" t="str">
        <x:v>Scholar / editor credited in bibliography</x:v>
      </x:c>
      <x:c r="C76" s="9" t="str">
        <x:v>The Bibliography tab preserves the full cited work and editorial role.</x:v>
      </x:c>
      <x:c r="D76" s="9" t="str">
        <x:v>COR-019</x:v>
      </x:c>
      <x:c r="E76" s="12" t="str">
        <x:f>IFERROR(HYPERLINK(F76,"Open source"),"Open source")</x:f>
        <x:v>Open source</x:v>
      </x:c>
      <x:c r="F76" s="11" t="str">
        <x:v>https://docs.google.com/document/d/1W4IefNvWQhBR7swoCb_tj7QbaW_skIRfzKLXWDgR5pQ/edit?usp=drivesdk</x:v>
      </x:c>
    </x:row>
    <x:row r="77" ht="34" customHeight="1">
      <x:c r="A77" s="9" t="str">
        <x:v>C. C. Edgar</x:v>
      </x:c>
      <x:c r="B77" s="9" t="str">
        <x:v>Scholar / editor credited in bibliography</x:v>
      </x:c>
      <x:c r="C77" s="9" t="str">
        <x:v>The Bibliography tab preserves the full cited work and editorial role.</x:v>
      </x:c>
      <x:c r="D77" s="9" t="str">
        <x:v>COR-019</x:v>
      </x:c>
      <x:c r="E77" s="12" t="str">
        <x:f>IFERROR(HYPERLINK(F77,"Open source"),"Open source")</x:f>
        <x:v>Open source</x:v>
      </x:c>
      <x:c r="F77" s="11" t="str">
        <x:v>https://docs.google.com/document/d/1W4IefNvWQhBR7swoCb_tj7QbaW_skIRfzKLXWDgR5pQ/edit?usp=drivesdk</x:v>
      </x:c>
    </x:row>
    <x:row r="78" ht="39" customHeight="1">
      <x:c r="A78" s="9" t="str">
        <x:v>Florentino García Martínez</x:v>
      </x:c>
      <x:c r="B78" s="9" t="str">
        <x:v>Scholar / editor credited in bibliography</x:v>
      </x:c>
      <x:c r="C78" s="9" t="str">
        <x:v>The Bibliography tab preserves the full cited work and editorial role.</x:v>
      </x:c>
      <x:c r="D78" s="9" t="str">
        <x:v>COR-019</x:v>
      </x:c>
      <x:c r="E78" s="12" t="str">
        <x:f>IFERROR(HYPERLINK(F78,"Open source"),"Open source")</x:f>
        <x:v>Open source</x:v>
      </x:c>
      <x:c r="F78" s="11" t="str">
        <x:v>https://docs.google.com/document/d/1W4IefNvWQhBR7swoCb_tj7QbaW_skIRfzKLXWDgR5pQ/edit?usp=drivesdk</x:v>
      </x:c>
    </x:row>
    <x:row r="79" ht="34" customHeight="1">
      <x:c r="A79" s="9" t="str">
        <x:v>Eibert J. C. Tigchelaar</x:v>
      </x:c>
      <x:c r="B79" s="9" t="str">
        <x:v>Scholar / editor credited in bibliography</x:v>
      </x:c>
      <x:c r="C79" s="9" t="str">
        <x:v>The Bibliography tab preserves the full cited work and editorial role.</x:v>
      </x:c>
      <x:c r="D79" s="9" t="str">
        <x:v>COR-019</x:v>
      </x:c>
      <x:c r="E79" s="12" t="str">
        <x:f>IFERROR(HYPERLINK(F79,"Open source"),"Open source")</x:f>
        <x:v>Open source</x:v>
      </x:c>
      <x:c r="F79" s="11" t="str">
        <x:v>https://docs.google.com/document/d/1W4IefNvWQhBR7swoCb_tj7QbaW_skIRfzKLXWDgR5pQ/edit?usp=drivesdk</x:v>
      </x:c>
    </x:row>
    <x:row r="80" ht="34" customHeight="1">
      <x:c r="A80" s="9" t="str">
        <x:v>Jonas C. Greenfield</x:v>
      </x:c>
      <x:c r="B80" s="9" t="str">
        <x:v>Scholar / editor credited in bibliography</x:v>
      </x:c>
      <x:c r="C80" s="9" t="str">
        <x:v>The Bibliography tab preserves the full cited work and editorial role.</x:v>
      </x:c>
      <x:c r="D80" s="9" t="str">
        <x:v>COR-019</x:v>
      </x:c>
      <x:c r="E80" s="12" t="str">
        <x:f>IFERROR(HYPERLINK(F80,"Open source"),"Open source")</x:f>
        <x:v>Open source</x:v>
      </x:c>
      <x:c r="F80" s="11" t="str">
        <x:v>https://docs.google.com/document/d/1W4IefNvWQhBR7swoCb_tj7QbaW_skIRfzKLXWDgR5pQ/edit?usp=drivesdk</x:v>
      </x:c>
    </x:row>
    <x:row r="81" ht="34" customHeight="1">
      <x:c r="A81" s="9" t="str">
        <x:v>Michael E. Stone</x:v>
      </x:c>
      <x:c r="B81" s="9" t="str">
        <x:v>Scholar / editor credited in bibliography</x:v>
      </x:c>
      <x:c r="C81" s="9" t="str">
        <x:v>The Bibliography tab preserves the full cited work and editorial role.</x:v>
      </x:c>
      <x:c r="D81" s="9" t="str">
        <x:v>COR-019</x:v>
      </x:c>
      <x:c r="E81" s="12" t="str">
        <x:f>IFERROR(HYPERLINK(F81,"Open source"),"Open source")</x:f>
        <x:v>Open source</x:v>
      </x:c>
      <x:c r="F81" s="11" t="str">
        <x:v>https://docs.google.com/document/d/1W4IefNvWQhBR7swoCb_tj7QbaW_skIRfzKLXWDgR5pQ/edit?usp=drivesdk</x:v>
      </x:c>
    </x:row>
    <x:row r="82" ht="34" customHeight="1">
      <x:c r="A82" s="9" t="str">
        <x:v>Esther Eshel</x:v>
      </x:c>
      <x:c r="B82" s="9" t="str">
        <x:v>Scholar / editor credited in bibliography</x:v>
      </x:c>
      <x:c r="C82" s="9" t="str">
        <x:v>The Bibliography tab preserves the full cited work and editorial role.</x:v>
      </x:c>
      <x:c r="D82" s="9" t="str">
        <x:v>COR-019</x:v>
      </x:c>
      <x:c r="E82" s="12" t="str">
        <x:f>IFERROR(HYPERLINK(F82,"Open source"),"Open source")</x:f>
        <x:v>Open source</x:v>
      </x:c>
      <x:c r="F82" s="11" t="str">
        <x:v>https://docs.google.com/document/d/1W4IefNvWQhBR7swoCb_tj7QbaW_skIRfzKLXWDgR5pQ/edit?usp=drivesdk</x:v>
      </x:c>
    </x:row>
    <x:row r="83" ht="34" customHeight="1">
      <x:c r="A83" s="9" t="str">
        <x:v>Ralph Marcus</x:v>
      </x:c>
      <x:c r="B83" s="9" t="str">
        <x:v>Scholar / editor credited in bibliography</x:v>
      </x:c>
      <x:c r="C83" s="9" t="str">
        <x:v>The Bibliography tab preserves the full cited work and editorial role.</x:v>
      </x:c>
      <x:c r="D83" s="9" t="str">
        <x:v>COR-019</x:v>
      </x:c>
      <x:c r="E83" s="12" t="str">
        <x:f>IFERROR(HYPERLINK(F83,"Open source"),"Open source")</x:f>
        <x:v>Open source</x:v>
      </x:c>
      <x:c r="F83" s="11" t="str">
        <x:v>https://docs.google.com/document/d/1W4IefNvWQhBR7swoCb_tj7QbaW_skIRfzKLXWDgR5pQ/edit?usp=drivesdk</x:v>
      </x:c>
    </x:row>
    <x:row r="84" ht="34" customHeight="1">
      <x:c r="A84" s="9" t="str">
        <x:v>Józef T. Milik</x:v>
      </x:c>
      <x:c r="B84" s="9" t="str">
        <x:v>Scholar / editor credited in bibliography</x:v>
      </x:c>
      <x:c r="C84" s="9" t="str">
        <x:v>The Bibliography tab preserves the full cited work and editorial role.</x:v>
      </x:c>
      <x:c r="D84" s="9" t="str">
        <x:v>COR-019</x:v>
      </x:c>
      <x:c r="E84" s="12" t="str">
        <x:f>IFERROR(HYPERLINK(F84,"Open source"),"Open source")</x:f>
        <x:v>Open source</x:v>
      </x:c>
      <x:c r="F84" s="11" t="str">
        <x:v>https://docs.google.com/document/d/1W4IefNvWQhBR7swoCb_tj7QbaW_skIRfzKLXWDgR5pQ/edit?usp=drivesdk</x:v>
      </x:c>
    </x:row>
    <x:row r="85" ht="34" customHeight="1">
      <x:c r="A85" s="9" t="str">
        <x:v>Elisha Qimron</x:v>
      </x:c>
      <x:c r="B85" s="9" t="str">
        <x:v>Scholar / editor credited in bibliography</x:v>
      </x:c>
      <x:c r="C85" s="9" t="str">
        <x:v>The Bibliography tab preserves the full cited work and editorial role.</x:v>
      </x:c>
      <x:c r="D85" s="9" t="str">
        <x:v>COR-019</x:v>
      </x:c>
      <x:c r="E85" s="12" t="str">
        <x:f>IFERROR(HYPERLINK(F85,"Open source"),"Open source")</x:f>
        <x:v>Open source</x:v>
      </x:c>
      <x:c r="F85" s="11" t="str">
        <x:v>https://docs.google.com/document/d/1W4IefNvWQhBR7swoCb_tj7QbaW_skIRfzKLXWDgR5pQ/edit?usp=drivesdk</x:v>
      </x:c>
    </x:row>
    <x:row r="86" ht="34" customHeight="1">
      <x:c r="A86" s="9" t="str">
        <x:v>John Strugnell</x:v>
      </x:c>
      <x:c r="B86" s="9" t="str">
        <x:v>Scholar / editor credited in bibliography</x:v>
      </x:c>
      <x:c r="C86" s="9" t="str">
        <x:v>The Bibliography tab preserves the full cited work and editorial role.</x:v>
      </x:c>
      <x:c r="D86" s="9" t="str">
        <x:v>COR-019</x:v>
      </x:c>
      <x:c r="E86" s="12" t="str">
        <x:f>IFERROR(HYPERLINK(F86,"Open source"),"Open source")</x:f>
        <x:v>Open source</x:v>
      </x:c>
      <x:c r="F86" s="11" t="str">
        <x:v>https://docs.google.com/document/d/1W4IefNvWQhBR7swoCb_tj7QbaW_skIRfzKLXWDgR5pQ/edit?usp=drivesdk</x:v>
      </x:c>
    </x:row>
    <x:row r="87" ht="34" customHeight="1">
      <x:c r="A87" s="9" t="str">
        <x:v>Lindsey Askin</x:v>
      </x:c>
      <x:c r="B87" s="9" t="str">
        <x:v>Scholar / editor credited in bibliography</x:v>
      </x:c>
      <x:c r="C87" s="9" t="str">
        <x:v>The Bibliography tab preserves the full cited work and editorial role.</x:v>
      </x:c>
      <x:c r="D87" s="9" t="str">
        <x:v>COR-019</x:v>
      </x:c>
      <x:c r="E87" s="12" t="str">
        <x:f>IFERROR(HYPERLINK(F87,"Open source"),"Open source")</x:f>
        <x:v>Open source</x:v>
      </x:c>
      <x:c r="F87" s="11" t="str">
        <x:v>https://docs.google.com/document/d/1W4IefNvWQhBR7swoCb_tj7QbaW_skIRfzKLXWDgR5pQ/edit?usp=drivesdk</x:v>
      </x:c>
    </x:row>
    <x:row r="88" ht="34" customHeight="1">
      <x:c r="A88" s="9" t="str">
        <x:v>Jonathan Ben-Dov</x:v>
      </x:c>
      <x:c r="B88" s="9" t="str">
        <x:v>Scholar / editor credited in bibliography</x:v>
      </x:c>
      <x:c r="C88" s="9" t="str">
        <x:v>The Bibliography tab preserves the full cited work and editorial role.</x:v>
      </x:c>
      <x:c r="D88" s="9" t="str">
        <x:v>COR-019</x:v>
      </x:c>
      <x:c r="E88" s="12" t="str">
        <x:f>IFERROR(HYPERLINK(F88,"Open source"),"Open source")</x:f>
        <x:v>Open source</x:v>
      </x:c>
      <x:c r="F88" s="11" t="str">
        <x:v>https://docs.google.com/document/d/1W4IefNvWQhBR7swoCb_tj7QbaW_skIRfzKLXWDgR5pQ/edit?usp=drivesdk</x:v>
      </x:c>
    </x:row>
    <x:row r="89" ht="34" customHeight="1">
      <x:c r="A89" s="9" t="str">
        <x:v>Marieke Dhont</x:v>
      </x:c>
      <x:c r="B89" s="9" t="str">
        <x:v>Scholar / editor credited in bibliography</x:v>
      </x:c>
      <x:c r="C89" s="9" t="str">
        <x:v>The Bibliography tab preserves the full cited work and editorial role.</x:v>
      </x:c>
      <x:c r="D89" s="9" t="str">
        <x:v>COR-019</x:v>
      </x:c>
      <x:c r="E89" s="12" t="str">
        <x:f>IFERROR(HYPERLINK(F89,"Open source"),"Open source")</x:f>
        <x:v>Open source</x:v>
      </x:c>
      <x:c r="F89" s="11" t="str">
        <x:v>https://docs.google.com/document/d/1W4IefNvWQhBR7swoCb_tj7QbaW_skIRfzKLXWDgR5pQ/edit?usp=drivesdk</x:v>
      </x:c>
    </x:row>
    <x:row r="90" ht="34" customHeight="1">
      <x:c r="A90" s="9" t="str">
        <x:v>Benedikt Eckhardt</x:v>
      </x:c>
      <x:c r="B90" s="9" t="str">
        <x:v>Scholar / editor credited in bibliography</x:v>
      </x:c>
      <x:c r="C90" s="9" t="str">
        <x:v>The Bibliography tab preserves the full cited work and editorial role.</x:v>
      </x:c>
      <x:c r="D90" s="9" t="str">
        <x:v>COR-019</x:v>
      </x:c>
      <x:c r="E90" s="12" t="str">
        <x:f>IFERROR(HYPERLINK(F90,"Open source"),"Open source")</x:f>
        <x:v>Open source</x:v>
      </x:c>
      <x:c r="F90" s="11" t="str">
        <x:v>https://docs.google.com/document/d/1W4IefNvWQhBR7swoCb_tj7QbaW_skIRfzKLXWDgR5pQ/edit?usp=drivesdk</x:v>
      </x:c>
    </x:row>
    <x:row r="91" ht="34" customHeight="1">
      <x:c r="A91" s="9" t="str">
        <x:v>Liane M. Feldman</x:v>
      </x:c>
      <x:c r="B91" s="9" t="str">
        <x:v>Scholar / editor credited in bibliography</x:v>
      </x:c>
      <x:c r="C91" s="9" t="str">
        <x:v>The Bibliography tab preserves the full cited work and editorial role.</x:v>
      </x:c>
      <x:c r="D91" s="9" t="str">
        <x:v>COR-019</x:v>
      </x:c>
      <x:c r="E91" s="12" t="str">
        <x:f>IFERROR(HYPERLINK(F91,"Open source"),"Open source")</x:f>
        <x:v>Open source</x:v>
      </x:c>
      <x:c r="F91" s="11" t="str">
        <x:v>https://docs.google.com/document/d/1W4IefNvWQhBR7swoCb_tj7QbaW_skIRfzKLXWDgR5pQ/edit?usp=drivesdk</x:v>
      </x:c>
    </x:row>
    <x:row r="92" ht="34" customHeight="1">
      <x:c r="A92" s="9" t="str">
        <x:v>Dov Gera</x:v>
      </x:c>
      <x:c r="B92" s="9" t="str">
        <x:v>Scholar / editor credited in bibliography</x:v>
      </x:c>
      <x:c r="C92" s="9" t="str">
        <x:v>The Bibliography tab preserves the full cited work and editorial role.</x:v>
      </x:c>
      <x:c r="D92" s="9" t="str">
        <x:v>COR-019</x:v>
      </x:c>
      <x:c r="E92" s="12" t="str">
        <x:f>IFERROR(HYPERLINK(F92,"Open source"),"Open source")</x:f>
        <x:v>Open source</x:v>
      </x:c>
      <x:c r="F92" s="11" t="str">
        <x:v>https://docs.google.com/document/d/1W4IefNvWQhBR7swoCb_tj7QbaW_skIRfzKLXWDgR5pQ/edit?usp=drivesdk</x:v>
      </x:c>
    </x:row>
    <x:row r="93" ht="34" customHeight="1">
      <x:c r="A93" s="9" t="str">
        <x:v>Matthew J. Goff</x:v>
      </x:c>
      <x:c r="B93" s="9" t="str">
        <x:v>Scholar / editor credited in bibliography</x:v>
      </x:c>
      <x:c r="C93" s="9" t="str">
        <x:v>The Bibliography tab preserves the full cited work and editorial role.</x:v>
      </x:c>
      <x:c r="D93" s="9" t="str">
        <x:v>COR-019</x:v>
      </x:c>
      <x:c r="E93" s="12" t="str">
        <x:f>IFERROR(HYPERLINK(F93,"Open source"),"Open source")</x:f>
        <x:v>Open source</x:v>
      </x:c>
      <x:c r="F93" s="11" t="str">
        <x:v>https://docs.google.com/document/d/1W4IefNvWQhBR7swoCb_tj7QbaW_skIRfzKLXWDgR5pQ/edit?usp=drivesdk</x:v>
      </x:c>
    </x:row>
    <x:row r="94" ht="34" customHeight="1">
      <x:c r="A94" s="9" t="str">
        <x:v>Charlotte Hempel</x:v>
      </x:c>
      <x:c r="B94" s="9" t="str">
        <x:v>Scholar / editor credited in bibliography</x:v>
      </x:c>
      <x:c r="C94" s="9" t="str">
        <x:v>The Bibliography tab preserves the full cited work and editorial role.</x:v>
      </x:c>
      <x:c r="D94" s="9" t="str">
        <x:v>COR-019</x:v>
      </x:c>
      <x:c r="E94" s="12" t="str">
        <x:f>IFERROR(HYPERLINK(F94,"Open source"),"Open source")</x:f>
        <x:v>Open source</x:v>
      </x:c>
      <x:c r="F94" s="11" t="str">
        <x:v>https://docs.google.com/document/d/1W4IefNvWQhBR7swoCb_tj7QbaW_skIRfzKLXWDgR5pQ/edit?usp=drivesdk</x:v>
      </x:c>
    </x:row>
    <x:row r="95" ht="34" customHeight="1">
      <x:c r="A95" s="9" t="str">
        <x:v>Sylvie Honigman</x:v>
      </x:c>
      <x:c r="B95" s="9" t="str">
        <x:v>Scholar / editor credited in bibliography</x:v>
      </x:c>
      <x:c r="C95" s="9" t="str">
        <x:v>The Bibliography tab preserves the full cited work and editorial role.</x:v>
      </x:c>
      <x:c r="D95" s="9" t="str">
        <x:v>COR-019</x:v>
      </x:c>
      <x:c r="E95" s="12" t="str">
        <x:f>IFERROR(HYPERLINK(F95,"Open source"),"Open source")</x:f>
        <x:v>Open source</x:v>
      </x:c>
      <x:c r="F95" s="11" t="str">
        <x:v>https://docs.google.com/document/d/1W4IefNvWQhBR7swoCb_tj7QbaW_skIRfzKLXWDgR5pQ/edit?usp=drivesdk</x:v>
      </x:c>
    </x:row>
    <x:row r="96" ht="34" customHeight="1">
      <x:c r="A96" s="9" t="str">
        <x:v>Robert E. Jones</x:v>
      </x:c>
      <x:c r="B96" s="9" t="str">
        <x:v>Scholar / editor credited in bibliography</x:v>
      </x:c>
      <x:c r="C96" s="9" t="str">
        <x:v>The Bibliography tab preserves the full cited work and editorial role.</x:v>
      </x:c>
      <x:c r="D96" s="9" t="str">
        <x:v>COR-019</x:v>
      </x:c>
      <x:c r="E96" s="12" t="str">
        <x:f>IFERROR(HYPERLINK(F96,"Open source"),"Open source")</x:f>
        <x:v>Open source</x:v>
      </x:c>
      <x:c r="F96" s="11" t="str">
        <x:v>https://docs.google.com/document/d/1W4IefNvWQhBR7swoCb_tj7QbaW_skIRfzKLXWDgR5pQ/edit?usp=drivesdk</x:v>
      </x:c>
    </x:row>
    <x:row r="97" ht="34" customHeight="1">
      <x:c r="A97" s="9" t="str">
        <x:v>Sarianna Metso</x:v>
      </x:c>
      <x:c r="B97" s="9" t="str">
        <x:v>Scholar / editor credited in bibliography</x:v>
      </x:c>
      <x:c r="C97" s="9" t="str">
        <x:v>The Bibliography tab preserves the full cited work and editorial role.</x:v>
      </x:c>
      <x:c r="D97" s="9" t="str">
        <x:v>COR-019</x:v>
      </x:c>
      <x:c r="E97" s="12" t="str">
        <x:f>IFERROR(HYPERLINK(F97,"Open source"),"Open source")</x:f>
        <x:v>Open source</x:v>
      </x:c>
      <x:c r="F97" s="11" t="str">
        <x:v>https://docs.google.com/document/d/1W4IefNvWQhBR7swoCb_tj7QbaW_skIRfzKLXWDgR5pQ/edit?usp=drivesdk</x:v>
      </x:c>
    </x:row>
    <x:row r="98" ht="34" customHeight="1">
      <x:c r="A98" s="9" t="str">
        <x:v>Saul M. Olyan</x:v>
      </x:c>
      <x:c r="B98" s="9" t="str">
        <x:v>Scholar / editor credited in bibliography</x:v>
      </x:c>
      <x:c r="C98" s="9" t="str">
        <x:v>The Bibliography tab preserves the full cited work and editorial role.</x:v>
      </x:c>
      <x:c r="D98" s="9" t="str">
        <x:v>COR-019</x:v>
      </x:c>
      <x:c r="E98" s="12" t="str">
        <x:f>IFERROR(HYPERLINK(F98,"Open source"),"Open source")</x:f>
        <x:v>Open source</x:v>
      </x:c>
      <x:c r="F98" s="11" t="str">
        <x:v>https://docs.google.com/document/d/1W4IefNvWQhBR7swoCb_tj7QbaW_skIRfzKLXWDgR5pQ/edit?usp=drivesdk</x:v>
      </x:c>
    </x:row>
    <x:row r="99" ht="34" customHeight="1">
      <x:c r="A99" s="9" t="str">
        <x:v>Andrew B. Perrin</x:v>
      </x:c>
      <x:c r="B99" s="9" t="str">
        <x:v>Scholar / editor credited in bibliography</x:v>
      </x:c>
      <x:c r="C99" s="9" t="str">
        <x:v>The Bibliography tab preserves the full cited work and editorial role.</x:v>
      </x:c>
      <x:c r="D99" s="9" t="str">
        <x:v>COR-019</x:v>
      </x:c>
      <x:c r="E99" s="12" t="str">
        <x:f>IFERROR(HYPERLINK(F99,"Open source"),"Open source")</x:f>
        <x:v>Open source</x:v>
      </x:c>
      <x:c r="F99" s="11" t="str">
        <x:v>https://docs.google.com/document/d/1W4IefNvWQhBR7swoCb_tj7QbaW_skIRfzKLXWDgR5pQ/edit?usp=drivesdk</x:v>
      </x:c>
    </x:row>
    <x:row r="100" ht="34" customHeight="1">
      <x:c r="A100" s="9" t="str">
        <x:v>Anathea E. Portier-Young</x:v>
      </x:c>
      <x:c r="B100" s="9" t="str">
        <x:v>Scholar / editor credited in bibliography</x:v>
      </x:c>
      <x:c r="C100" s="9" t="str">
        <x:v>The Bibliography tab preserves the full cited work and editorial role.</x:v>
      </x:c>
      <x:c r="D100" s="9" t="str">
        <x:v>COR-019</x:v>
      </x:c>
      <x:c r="E100" s="12" t="str">
        <x:f>IFERROR(HYPERLINK(F100,"Open source"),"Open source")</x:f>
        <x:v>Open source</x:v>
      </x:c>
      <x:c r="F100" s="11" t="str">
        <x:v>https://docs.google.com/document/d/1W4IefNvWQhBR7swoCb_tj7QbaW_skIRfzKLXWDgR5pQ/edit?usp=drivesdk</x:v>
      </x:c>
    </x:row>
    <x:row r="101" ht="34" customHeight="1">
      <x:c r="A101" s="9" t="str">
        <x:v>Annette Yoshiko Reed</x:v>
      </x:c>
      <x:c r="B101" s="9" t="str">
        <x:v>Scholar / editor credited in bibliography</x:v>
      </x:c>
      <x:c r="C101" s="9" t="str">
        <x:v>The Bibliography tab preserves the full cited work and editorial role.</x:v>
      </x:c>
      <x:c r="D101" s="9" t="str">
        <x:v>COR-019</x:v>
      </x:c>
      <x:c r="E101" s="12" t="str">
        <x:f>IFERROR(HYPERLINK(F101,"Open source"),"Open source")</x:f>
        <x:v>Open source</x:v>
      </x:c>
      <x:c r="F101" s="11" t="str">
        <x:v>https://docs.google.com/document/d/1W4IefNvWQhBR7swoCb_tj7QbaW_skIRfzKLXWDgR5pQ/edit?usp=drivesdk</x:v>
      </x:c>
    </x:row>
    <x:row r="102" ht="34" customHeight="1">
      <x:c r="A102" s="9" t="str">
        <x:v>Hanne von Weissenberg</x:v>
      </x:c>
      <x:c r="B102" s="9" t="str">
        <x:v>Scholar / editor credited in bibliography</x:v>
      </x:c>
      <x:c r="C102" s="9" t="str">
        <x:v>The Bibliography tab preserves the full cited work and editorial role.</x:v>
      </x:c>
      <x:c r="D102" s="9" t="str">
        <x:v>COR-019</x:v>
      </x:c>
      <x:c r="E102" s="12" t="str">
        <x:f>IFERROR(HYPERLINK(F102,"Open source"),"Open source")</x:f>
        <x:v>Open source</x:v>
      </x:c>
      <x:c r="F102" s="11" t="str">
        <x:v>https://docs.google.com/document/d/1W4IefNvWQhBR7swoCb_tj7QbaW_skIRfzKLXWDgR5pQ/edit?usp=drivesdk</x:v>
      </x:c>
    </x:row>
    <x:row r="103" ht="34" customHeight="1">
      <x:c r="A103" s="9" t="str">
        <x:v>Gareth Wearne</x:v>
      </x:c>
      <x:c r="B103" s="9" t="str">
        <x:v>Scholar / editor credited in bibliography</x:v>
      </x:c>
      <x:c r="C103" s="9" t="str">
        <x:v>The Bibliography tab preserves the full cited work and editorial role.</x:v>
      </x:c>
      <x:c r="D103" s="9" t="str">
        <x:v>COR-019</x:v>
      </x:c>
      <x:c r="E103" s="12" t="str">
        <x:f>IFERROR(HYPERLINK(F103,"Open source"),"Open source")</x:f>
        <x:v>Open source</x:v>
      </x:c>
      <x:c r="F103" s="11" t="str">
        <x:v>https://docs.google.com/document/d/1W4IefNvWQhBR7swoCb_tj7QbaW_skIRfzKLXWDgR5pQ/edit?usp=drivesdk</x:v>
      </x:c>
    </x:row>
    <x:row r="104" ht="34" customHeight="1">
      <x:c r="A104" s="9" t="str">
        <x:v>Benjamin G. Wright III</x:v>
      </x:c>
      <x:c r="B104" s="9" t="str">
        <x:v>Scholar / editor credited in bibliography</x:v>
      </x:c>
      <x:c r="C104" s="9" t="str">
        <x:v>The Bibliography tab preserves the full cited work and editorial role.</x:v>
      </x:c>
      <x:c r="D104" s="9" t="str">
        <x:v>COR-019</x:v>
      </x:c>
      <x:c r="E104" s="12" t="str">
        <x:f>IFERROR(HYPERLINK(F104,"Open source"),"Open source")</x:f>
        <x:v>Open source</x:v>
      </x:c>
      <x:c r="F104" s="11" t="str">
        <x:v>https://docs.google.com/document/d/1W4IefNvWQhBR7swoCb_tj7QbaW_skIRfzKLXWDgR5pQ/edit?usp=drivesdk</x:v>
      </x:c>
    </x:row>
    <x:row r="105" ht="34" customHeight="1">
      <x:c r="A105" s="9" t="str">
        <x:v>Jutta Jokiranta</x:v>
      </x:c>
      <x:c r="B105" s="9" t="str">
        <x:v>Scholar / editor credited in bibliography</x:v>
      </x:c>
      <x:c r="C105" s="9" t="str">
        <x:v>The Bibliography tab preserves the full cited work and editorial role.</x:v>
      </x:c>
      <x:c r="D105" s="9" t="str">
        <x:v>COR-019</x:v>
      </x:c>
      <x:c r="E105" s="12" t="str">
        <x:f>IFERROR(HYPERLINK(F105,"Open source"),"Open source")</x:f>
        <x:v>Open source</x:v>
      </x:c>
      <x:c r="F105" s="11" t="str">
        <x:v>https://docs.google.com/document/d/1W4IefNvWQhBR7swoCb_tj7QbaW_skIRfzKLXWDgR5pQ/edit?usp=drivesdk</x:v>
      </x:c>
    </x:row>
    <x:row r="106" ht="34" customHeight="1">
      <x:c r="A106" s="9" t="str">
        <x:v>Molly M. Zahn</x:v>
      </x:c>
      <x:c r="B106" s="9" t="str">
        <x:v>Scholar / editor credited in bibliography</x:v>
      </x:c>
      <x:c r="C106" s="9" t="str">
        <x:v>The Bibliography tab preserves the full cited work and editorial role.</x:v>
      </x:c>
      <x:c r="D106" s="9" t="str">
        <x:v>COR-019</x:v>
      </x:c>
      <x:c r="E106" s="12" t="str">
        <x:f>IFERROR(HYPERLINK(F106,"Open source"),"Open source")</x:f>
        <x:v>Open source</x:v>
      </x:c>
      <x:c r="F106" s="11" t="str">
        <x:v>https://docs.google.com/document/d/1W4IefNvWQhBR7swoCb_tj7QbaW_skIRfzKLXWDgR5pQ/edit?usp=drivesdk</x:v>
      </x:c>
    </x:row>
    <x:row r="107" ht="34" customHeight="1">
      <x:c r="A107" s="9" t="str">
        <x:v>Pancratius C. Beentjes</x:v>
      </x:c>
      <x:c r="B107" s="9" t="str">
        <x:v>Scholar / editor credited in bibliography</x:v>
      </x:c>
      <x:c r="C107" s="9" t="str">
        <x:v>The Bibliography tab preserves the full cited work and editorial role.</x:v>
      </x:c>
      <x:c r="D107" s="9" t="str">
        <x:v>COR-019</x:v>
      </x:c>
      <x:c r="E107" s="12" t="str">
        <x:f>IFERROR(HYPERLINK(F107,"Open source"),"Open source")</x:f>
        <x:v>Open source</x:v>
      </x:c>
      <x:c r="F107" s="11" t="str">
        <x:v>https://docs.google.com/document/d/1W4IefNvWQhBR7swoCb_tj7QbaW_skIRfzKLXWDgR5pQ/edit?usp=drivesdk</x:v>
      </x:c>
    </x:row>
    <x:row r="108" ht="39" customHeight="1">
      <x:c r="A108" s="9" t="str">
        <x:v>W. G. Lambert</x:v>
      </x:c>
      <x:c r="B108" s="9" t="str">
        <x:v>Scholar / translator cited in Appendix D</x:v>
      </x:c>
      <x:c r="C108" s="9" t="str">
        <x:v>Full Tuesday manuscript bibliography; retained citation and any missing publication details appear in the Bibliography tab.</x:v>
      </x:c>
      <x:c r="D108" s="9" t="str">
        <x:v>COR-091</x:v>
      </x:c>
      <x:c r="E108" s="12" t="str">
        <x:f>IFERROR(HYPERLINK(F108,"Open source"),"Open source")</x:f>
        <x:v>Open source</x:v>
      </x:c>
      <x:c r="F108" s="11" t="str">
        <x:v>sandbox:/workspace/scratch/f26806cbdc5e/sources/library/humans/# NO ONE OWNS TUESDAY.pdf</x:v>
      </x:c>
    </x:row>
    <x:row r="109" ht="39" customHeight="1">
      <x:c r="A109" s="9" t="str">
        <x:v>A. R. Millard</x:v>
      </x:c>
      <x:c r="B109" s="9" t="str">
        <x:v>Scholar / translator cited in Appendix D</x:v>
      </x:c>
      <x:c r="C109" s="9" t="str">
        <x:v>Full Tuesday manuscript bibliography; retained citation and any missing publication details appear in the Bibliography tab.</x:v>
      </x:c>
      <x:c r="D109" s="9" t="str">
        <x:v>COR-091</x:v>
      </x:c>
      <x:c r="E109" s="12" t="str">
        <x:f>IFERROR(HYPERLINK(F109,"Open source"),"Open source")</x:f>
        <x:v>Open source</x:v>
      </x:c>
      <x:c r="F109" s="11" t="str">
        <x:v>sandbox:/workspace/scratch/f26806cbdc5e/sources/library/humans/# NO ONE OWNS TUESDAY.pdf</x:v>
      </x:c>
    </x:row>
    <x:row r="110" ht="39" customHeight="1">
      <x:c r="A110" s="9" t="str">
        <x:v>Stephanie Dalley</x:v>
      </x:c>
      <x:c r="B110" s="9" t="str">
        <x:v>Scholar / translator cited in Appendix D</x:v>
      </x:c>
      <x:c r="C110" s="9" t="str">
        <x:v>Full Tuesday manuscript bibliography; retained citation and any missing publication details appear in the Bibliography tab.</x:v>
      </x:c>
      <x:c r="D110" s="9" t="str">
        <x:v>COR-091</x:v>
      </x:c>
      <x:c r="E110" s="12" t="str">
        <x:f>IFERROR(HYPERLINK(F110,"Open source"),"Open source")</x:f>
        <x:v>Open source</x:v>
      </x:c>
      <x:c r="F110" s="11" t="str">
        <x:v>sandbox:/workspace/scratch/f26806cbdc5e/sources/library/humans/# NO ONE OWNS TUESDAY.pdf</x:v>
      </x:c>
    </x:row>
    <x:row r="111" ht="39" customHeight="1">
      <x:c r="A111" s="9" t="str">
        <x:v>Benjamin R. Foster</x:v>
      </x:c>
      <x:c r="B111" s="9" t="str">
        <x:v>Scholar / translator cited in Appendix D</x:v>
      </x:c>
      <x:c r="C111" s="9" t="str">
        <x:v>Full Tuesday manuscript bibliography; retained citation and any missing publication details appear in the Bibliography tab.</x:v>
      </x:c>
      <x:c r="D111" s="9" t="str">
        <x:v>COR-091</x:v>
      </x:c>
      <x:c r="E111" s="12" t="str">
        <x:f>IFERROR(HYPERLINK(F111,"Open source"),"Open source")</x:f>
        <x:v>Open source</x:v>
      </x:c>
      <x:c r="F111" s="11" t="str">
        <x:v>sandbox:/workspace/scratch/f26806cbdc5e/sources/library/humans/# NO ONE OWNS TUESDAY.pdf</x:v>
      </x:c>
    </x:row>
    <x:row r="112" ht="39" customHeight="1">
      <x:c r="A112" s="9" t="str">
        <x:v>George E. Mendenhall</x:v>
      </x:c>
      <x:c r="B112" s="9" t="str">
        <x:v>Scholar / translator cited in Appendix D</x:v>
      </x:c>
      <x:c r="C112" s="9" t="str">
        <x:v>Full Tuesday manuscript bibliography; retained citation and any missing publication details appear in the Bibliography tab.</x:v>
      </x:c>
      <x:c r="D112" s="9" t="str">
        <x:v>COR-091</x:v>
      </x:c>
      <x:c r="E112" s="12" t="str">
        <x:f>IFERROR(HYPERLINK(F112,"Open source"),"Open source")</x:f>
        <x:v>Open source</x:v>
      </x:c>
      <x:c r="F112" s="11" t="str">
        <x:v>sandbox:/workspace/scratch/f26806cbdc5e/sources/library/humans/# NO ONE OWNS TUESDAY.pdf</x:v>
      </x:c>
    </x:row>
    <x:row r="113" ht="39" customHeight="1">
      <x:c r="A113" s="9" t="str">
        <x:v>Moshe Weinfeld</x:v>
      </x:c>
      <x:c r="B113" s="9" t="str">
        <x:v>Scholar / translator cited in Appendix D</x:v>
      </x:c>
      <x:c r="C113" s="9" t="str">
        <x:v>Full Tuesday manuscript bibliography; retained citation and any missing publication details appear in the Bibliography tab.</x:v>
      </x:c>
      <x:c r="D113" s="9" t="str">
        <x:v>COR-091</x:v>
      </x:c>
      <x:c r="E113" s="12" t="str">
        <x:f>IFERROR(HYPERLINK(F113,"Open source"),"Open source")</x:f>
        <x:v>Open source</x:v>
      </x:c>
      <x:c r="F113" s="11" t="str">
        <x:v>sandbox:/workspace/scratch/f26806cbdc5e/sources/library/humans/# NO ONE OWNS TUESDAY.pdf</x:v>
      </x:c>
    </x:row>
    <x:row r="114" ht="39" customHeight="1">
      <x:c r="A114" s="9" t="str">
        <x:v>Judit M. Blair</x:v>
      </x:c>
      <x:c r="B114" s="9" t="str">
        <x:v>Scholar / translator cited in Appendix D</x:v>
      </x:c>
      <x:c r="C114" s="9" t="str">
        <x:v>Full Tuesday manuscript bibliography; retained citation and any missing publication details appear in the Bibliography tab.</x:v>
      </x:c>
      <x:c r="D114" s="9" t="str">
        <x:v>COR-091</x:v>
      </x:c>
      <x:c r="E114" s="12" t="str">
        <x:f>IFERROR(HYPERLINK(F114,"Open source"),"Open source")</x:f>
        <x:v>Open source</x:v>
      </x:c>
      <x:c r="F114" s="11" t="str">
        <x:v>sandbox:/workspace/scratch/f26806cbdc5e/sources/library/humans/# NO ONE OWNS TUESDAY.pdf</x:v>
      </x:c>
    </x:row>
    <x:row r="115" ht="39" customHeight="1">
      <x:c r="A115" s="9" t="str">
        <x:v>Leonard L. Thompson</x:v>
      </x:c>
      <x:c r="B115" s="9" t="str">
        <x:v>Scholar / translator cited in Appendix D</x:v>
      </x:c>
      <x:c r="C115" s="9" t="str">
        <x:v>Full Tuesday manuscript bibliography; retained citation and any missing publication details appear in the Bibliography tab.</x:v>
      </x:c>
      <x:c r="D115" s="9" t="str">
        <x:v>COR-091</x:v>
      </x:c>
      <x:c r="E115" s="12" t="str">
        <x:f>IFERROR(HYPERLINK(F115,"Open source"),"Open source")</x:f>
        <x:v>Open source</x:v>
      </x:c>
      <x:c r="F115" s="11" t="str">
        <x:v>sandbox:/workspace/scratch/f26806cbdc5e/sources/library/humans/# NO ONE OWNS TUESDAY.pdf</x:v>
      </x:c>
    </x:row>
    <x:row r="116" ht="39" customHeight="1">
      <x:c r="A116" s="9" t="str">
        <x:v>Adela Yarbro Collins</x:v>
      </x:c>
      <x:c r="B116" s="9" t="str">
        <x:v>Scholar / translator cited in Appendix D</x:v>
      </x:c>
      <x:c r="C116" s="9" t="str">
        <x:v>Full Tuesday manuscript bibliography; retained citation and any missing publication details appear in the Bibliography tab.</x:v>
      </x:c>
      <x:c r="D116" s="9" t="str">
        <x:v>COR-091</x:v>
      </x:c>
      <x:c r="E116" s="12" t="str">
        <x:f>IFERROR(HYPERLINK(F116,"Open source"),"Open source")</x:f>
        <x:v>Open source</x:v>
      </x:c>
      <x:c r="F116" s="11" t="str">
        <x:v>sandbox:/workspace/scratch/f26806cbdc5e/sources/library/humans/# NO ONE OWNS TUESDAY.pdf</x:v>
      </x:c>
    </x:row>
    <x:row r="117" ht="39" customHeight="1">
      <x:c r="A117" s="9" t="str">
        <x:v>Tina Pippin</x:v>
      </x:c>
      <x:c r="B117" s="9" t="str">
        <x:v>Scholar / translator cited in Appendix D</x:v>
      </x:c>
      <x:c r="C117" s="9" t="str">
        <x:v>Full Tuesday manuscript bibliography; retained citation and any missing publication details appear in the Bibliography tab.</x:v>
      </x:c>
      <x:c r="D117" s="9" t="str">
        <x:v>COR-091</x:v>
      </x:c>
      <x:c r="E117" s="12" t="str">
        <x:f>IFERROR(HYPERLINK(F117,"Open source"),"Open source")</x:f>
        <x:v>Open source</x:v>
      </x:c>
      <x:c r="F117" s="11" t="str">
        <x:v>sandbox:/workspace/scratch/f26806cbdc5e/sources/library/humans/# NO ONE OWNS TUESDAY.pdf</x:v>
      </x:c>
    </x:row>
    <x:row r="118" ht="39" customHeight="1">
      <x:c r="A118" s="9" t="str">
        <x:v>Hesiod</x:v>
      </x:c>
      <x:c r="B118" s="9" t="str">
        <x:v>Ancient attributed author</x:v>
      </x:c>
      <x:c r="C118" s="9" t="str">
        <x:v>Primary-text leads retained in Tuesday Appendix D; attribution is the source’s literary identification.</x:v>
      </x:c>
      <x:c r="D118" s="9" t="str">
        <x:v>COR-091</x:v>
      </x:c>
      <x:c r="E118" s="12" t="str">
        <x:f>IFERROR(HYPERLINK(F118,"Open source"),"Open source")</x:f>
        <x:v>Open source</x:v>
      </x:c>
      <x:c r="F118" s="11" t="str">
        <x:v>sandbox:/workspace/scratch/f26806cbdc5e/sources/library/humans/# NO ONE OWNS TUESDAY.pdf</x:v>
      </x:c>
    </x:row>
    <x:row r="119" ht="39" customHeight="1">
      <x:c r="A119" s="9" t="str">
        <x:v>Homer</x:v>
      </x:c>
      <x:c r="B119" s="9" t="str">
        <x:v>Ancient attributed author</x:v>
      </x:c>
      <x:c r="C119" s="9" t="str">
        <x:v>Primary-text leads retained in Tuesday Appendix D; attribution is the source’s literary identification.</x:v>
      </x:c>
      <x:c r="D119" s="9" t="str">
        <x:v>COR-091</x:v>
      </x:c>
      <x:c r="E119" s="12" t="str">
        <x:f>IFERROR(HYPERLINK(F119,"Open source"),"Open source")</x:f>
        <x:v>Open source</x:v>
      </x:c>
      <x:c r="F119" s="11" t="str">
        <x:v>sandbox:/workspace/scratch/f26806cbdc5e/sources/library/humans/# NO ONE OWNS TUESDAY.pdf</x:v>
      </x:c>
    </x:row>
    <x:row r="120" ht="39" customHeight="1">
      <x:c r="A120" s="9" t="str">
        <x:v>Jim Acosta</x:v>
      </x:c>
      <x:c r="B120" s="9" t="str">
        <x:v>Interviewer in the reported synthetic-avatar example</x:v>
      </x:c>
      <x:c r="C120" s="9" t="str">
        <x:v>Synthetic-identity example in the recovered Revelation verified edition.</x:v>
      </x:c>
      <x:c r="D120" s="9" t="str">
        <x:v>COR-089</x:v>
      </x:c>
      <x:c r="E120" s="12" t="str">
        <x:f>IFERROR(HYPERLINK(F120,"Open source"),"Open source")</x:f>
        <x:v>Open source</x:v>
      </x:c>
      <x:c r="F120" s="11" t="str">
        <x:v>sandbox:/workspace/scratch/f26806cbdc5e/sources/library/Revelation_Verified_Edition_2026-08-14(1).md</x:v>
      </x:c>
    </x:row>
    <x:row r="121" ht="39" customHeight="1">
      <x:c r="A121" s="9" t="str">
        <x:v>Joaquin Oliver</x:v>
      </x:c>
      <x:c r="B121" s="9" t="str">
        <x:v>Person represented by the synthetic avatar</x:v>
      </x:c>
      <x:c r="C121" s="9" t="str">
        <x:v>Synthetic-identity example in the recovered Revelation verified edition.</x:v>
      </x:c>
      <x:c r="D121" s="9" t="str">
        <x:v>COR-089</x:v>
      </x:c>
      <x:c r="E121" s="12" t="str">
        <x:f>IFERROR(HYPERLINK(F121,"Open source"),"Open source")</x:f>
        <x:v>Open source</x:v>
      </x:c>
      <x:c r="F121" s="11" t="str">
        <x:v>sandbox:/workspace/scratch/f26806cbdc5e/sources/library/Revelation_Verified_Edition_2026-08-14(1).md</x:v>
      </x:c>
    </x:row>
    <x:row r="122" ht="39" customHeight="1">
      <x:c r="A122" s="9" t="str">
        <x:v>Manuel Oliver</x:v>
      </x:c>
      <x:c r="B122" s="9" t="str">
        <x:v>Parent and participant identified in the source trail</x:v>
      </x:c>
      <x:c r="C122" s="9" t="str">
        <x:v>Synthetic-identity example in the recovered Revelation verified edition.</x:v>
      </x:c>
      <x:c r="D122" s="9" t="str">
        <x:v>COR-089</x:v>
      </x:c>
      <x:c r="E122" s="12" t="str">
        <x:f>IFERROR(HYPERLINK(F122,"Open source"),"Open source")</x:f>
        <x:v>Open source</x:v>
      </x:c>
      <x:c r="F122" s="11" t="str">
        <x:v>sandbox:/workspace/scratch/f26806cbdc5e/sources/library/Revelation_Verified_Edition_2026-08-14(1).md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923415f754243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7" hidden="0" customWidth="1"/>
    <x:col min="3" max="3" width="33" hidden="0" customWidth="1"/>
    <x:col min="4" max="4" width="35" hidden="0" customWidth="1"/>
    <x:col min="5" max="5" width="58" hidden="0" customWidth="1"/>
    <x:col min="6" max="6" width="28" hidden="0" customWidth="1"/>
    <x:col min="7" max="7" width="60" hidden="0" customWidth="1"/>
    <x:col min="8" max="8" width="16" hidden="0" customWidth="1"/>
    <x:col min="9" max="9" width="90" hidden="0" customWidth="1"/>
  </x:cols>
  <x:sheetData>
    <x:row r="1" ht="38" customHeight="1">
      <x:c r="A1" s="4" t="str">
        <x:v>RECOVERED REFERENCE LOCATORS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6" t="str">
        <x:v>Includes public URLs, research documents and conversation references. Repetition is provenance; it is not independent corroboration.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0" customHeight="1">
      <x:c r="A4" s="8" t="str">
        <x:v>ID</x:v>
      </x:c>
      <x:c r="B4" s="8" t="str">
        <x:v>Label carried by source / checked title</x:v>
      </x:c>
      <x:c r="C4" s="8" t="str">
        <x:v>Host</x:v>
      </x:c>
      <x:c r="D4" s="8" t="str">
        <x:v>Reference category</x:v>
      </x:c>
      <x:c r="E4" s="8" t="str">
        <x:v>Verification in this edition</x:v>
      </x:c>
      <x:c r="F4" s="8" t="str">
        <x:v>Legacy source IDs</x:v>
      </x:c>
      <x:c r="G4" s="8" t="str">
        <x:v>Origin IDs</x:v>
      </x:c>
      <x:c r="H4" s="8" t="str">
        <x:v>Source</x:v>
      </x:c>
      <x:c r="I4" s="8" t="str">
        <x:v>Raw URL</x:v>
      </x:c>
    </x:row>
    <x:row r="5" ht="39" customHeight="1">
      <x:c r="A5" s="9" t="str">
        <x:v>REF-0001</x:v>
      </x:c>
      <x:c r="B5" s="9" t="str">
        <x:v>White House; Establishment of The White House Faith Office; 2025-02-07; Executive Order</x:v>
      </x:c>
      <x:c r="C5" s="9" t="str">
        <x:v>www.whitehouse.gov</x:v>
      </x:c>
      <x:c r="D5" s="9" t="str">
        <x:v>Government / court / official source</x:v>
      </x:c>
      <x:c r="E5" s="9" t="str">
        <x:v>Checked in this edition</x:v>
      </x:c>
      <x:c r="F5" s="9" t="str">
        <x:v>R-01</x:v>
      </x:c>
      <x:c r="G5" s="9" t="str">
        <x:v>COR-004; COR-051; COR-052; COR-058; COR-079</x:v>
      </x:c>
      <x:c r="H5" s="12" t="str">
        <x:f>IFERROR(HYPERLINK(I5,"Open source"),"Open source")</x:f>
        <x:v>Open source</x:v>
      </x:c>
      <x:c r="I5" s="11" t="str">
        <x:v>https://www.whitehouse.gov/presidential-actions/2025/02/establishment-of-the-white-house-faith-office/</x:v>
      </x:c>
    </x:row>
    <x:row r="6" ht="39" customHeight="1">
      <x:c r="A6" s="9" t="str">
        <x:v>REF-0002</x:v>
      </x:c>
      <x:c r="B6" s="9" t="str">
        <x:v>White House; Eradicating Anti-Christian Bias; 2025-02-06; Executive Order</x:v>
      </x:c>
      <x:c r="C6" s="9" t="str">
        <x:v>www.whitehouse.gov</x:v>
      </x:c>
      <x:c r="D6" s="9" t="str">
        <x:v>Government / court / official source</x:v>
      </x:c>
      <x:c r="E6" s="9" t="str">
        <x:v>Checked in this edition</x:v>
      </x:c>
      <x:c r="F6" s="9" t="str">
        <x:v>R-03</x:v>
      </x:c>
      <x:c r="G6" s="9" t="str">
        <x:v>COR-004; COR-051; COR-052; COR-058; COR-079</x:v>
      </x:c>
      <x:c r="H6" s="12" t="str">
        <x:f>IFERROR(HYPERLINK(I6,"Open source"),"Open source")</x:f>
        <x:v>Open source</x:v>
      </x:c>
      <x:c r="I6" s="11" t="str">
        <x:v>https://www.whitehouse.gov/presidential-actions/2025/02/eradicating-anti-christian-bias/</x:v>
      </x:c>
    </x:row>
    <x:row r="7" ht="39" customHeight="1">
      <x:c r="A7" s="9" t="str">
        <x:v>REF-0003</x:v>
      </x:c>
      <x:c r="B7" s="9" t="str">
        <x:v>Presidential Religious Liberty Commission report</x:v>
      </x:c>
      <x:c r="C7" s="9" t="str">
        <x:v>www.justice.gov</x:v>
      </x:c>
      <x:c r="D7" s="9" t="str">
        <x:v>Government / court / official source</x:v>
      </x:c>
      <x:c r="E7" s="9" t="str">
        <x:v>Referenced in recovered corpus; source not independently rechecked in this edition</x:v>
      </x:c>
      <x:c r="F7" s="9" t="str"/>
      <x:c r="G7" s="9" t="str">
        <x:v>COR-004</x:v>
      </x:c>
      <x:c r="H7" s="12" t="str">
        <x:f>IFERROR(HYPERLINK(I7,"Open source"),"Open source")</x:f>
        <x:v>Open source</x:v>
      </x:c>
      <x:c r="I7" s="11" t="str">
        <x:v>https://www.justice.gov/religious-liberty-commission/media/1449896/dl?inline=</x:v>
      </x:c>
    </x:row>
    <x:row r="8" ht="39" customHeight="1">
      <x:c r="A8" s="9" t="str">
        <x:v>REF-0004</x:v>
      </x:c>
      <x:c r="B8" s="9" t="str">
        <x:v>DOJ religious-liberty guidance release, 23 July 2026</x:v>
      </x:c>
      <x:c r="C8" s="9" t="str">
        <x:v>www.justice.gov</x:v>
      </x:c>
      <x:c r="D8" s="9" t="str">
        <x:v>Government / court / official source</x:v>
      </x:c>
      <x:c r="E8" s="9" t="str">
        <x:v>Checked in this edition</x:v>
      </x:c>
      <x:c r="F8" s="9" t="str"/>
      <x:c r="G8" s="9" t="str">
        <x:v>COR-004; COR-051; COR-058; COR-079</x:v>
      </x:c>
      <x:c r="H8" s="12" t="str">
        <x:f>IFERROR(HYPERLINK(I8,"Open source"),"Open source")</x:f>
        <x:v>Open source</x:v>
      </x:c>
      <x:c r="I8" s="11" t="str">
        <x:v>https://www.justice.gov/opa/pr/acting-attorney-general-blanche-issues-updated-guidance-strengthen-federal-religious-liberty</x:v>
      </x:c>
    </x:row>
    <x:row r="9" ht="39" customHeight="1">
      <x:c r="A9" s="9" t="str">
        <x:v>REF-0005</x:v>
      </x:c>
      <x:c r="B9" s="9" t="str">
        <x:v>OGE; Todd Blanche OGE Form 278e; signed 2025-01-18, certified 2025-02-11</x:v>
      </x:c>
      <x:c r="C9" s="9" t="str">
        <x:v>extapps2.oge.gov</x:v>
      </x:c>
      <x:c r="D9" s="9" t="str">
        <x:v>Government / court / official source</x:v>
      </x:c>
      <x:c r="E9" s="9" t="str">
        <x:v>Checked in this edition</x:v>
      </x:c>
      <x:c r="F9" s="9" t="str">
        <x:v>C-01</x:v>
      </x:c>
      <x:c r="G9" s="9" t="str">
        <x:v>COR-004; COR-010; COR-051; COR-052; COR-058; COR-079</x:v>
      </x:c>
      <x:c r="H9" s="12" t="str">
        <x:f>IFERROR(HYPERLINK(I9,"Open source"),"Open source")</x:f>
        <x:v>Open source</x:v>
      </x:c>
      <x:c r="I9" s="11" t="str">
        <x:v>https://extapps2.oge.gov/201/Presiden.nsf/PAS%2BIndex/4B1E6A519F015E7D85258C30003200C5/$FILE/Blanche,%20Todd%20%20final278.pdf</x:v>
      </x:c>
    </x:row>
    <x:row r="10" ht="39" customHeight="1">
      <x:c r="A10" s="9" t="str">
        <x:v>REF-0006</x:v>
      </x:c>
      <x:c r="B10" s="9" t="str">
        <x:v>Todd Blanche/OGE; Ethics Agreement; 2025-02-10</x:v>
      </x:c>
      <x:c r="C10" s="9" t="str">
        <x:v>extapps2.oge.gov</x:v>
      </x:c>
      <x:c r="D10" s="9" t="str">
        <x:v>Government / court / official source</x:v>
      </x:c>
      <x:c r="E10" s="9" t="str">
        <x:v>Checked in this edition</x:v>
      </x:c>
      <x:c r="F10" s="9" t="str">
        <x:v>C-02</x:v>
      </x:c>
      <x:c r="G10" s="9" t="str">
        <x:v>COR-004; COR-010; COR-051; COR-052; COR-058; COR-079</x:v>
      </x:c>
      <x:c r="H10" s="12" t="str">
        <x:f>IFERROR(HYPERLINK(I10,"Open source"),"Open source")</x:f>
        <x:v>Open source</x:v>
      </x:c>
      <x:c r="I10" s="11" t="str">
        <x:v>https://extapps2.oge.gov/201/Presiden.nsf/PAS%2BIndex/0E4C3EB0ACE8404785258C30003217F2/$FILE/Blanche,%20Todd%20%20finalEA.pdf</x:v>
      </x:c>
    </x:row>
    <x:row r="11" ht="39" customHeight="1">
      <x:c r="A11" s="9" t="str">
        <x:v>REF-0007</x:v>
      </x:c>
      <x:c r="B11" s="9" t="str">
        <x:v>Deputy AG Todd Blanche/DOJ; Ending Regulation By Prosecution; 2025-04-07; memorandum</x:v>
      </x:c>
      <x:c r="C11" s="9" t="str">
        <x:v>www.justice.gov</x:v>
      </x:c>
      <x:c r="D11" s="9" t="str">
        <x:v>Government / court / official source</x:v>
      </x:c>
      <x:c r="E11" s="9" t="str">
        <x:v>Referenced in recovered corpus; source not independently rechecked in this edition</x:v>
      </x:c>
      <x:c r="F11" s="9" t="str">
        <x:v>C-03</x:v>
      </x:c>
      <x:c r="G11" s="9" t="str">
        <x:v>COR-004; COR-010; COR-052</x:v>
      </x:c>
      <x:c r="H11" s="12" t="str">
        <x:f>IFERROR(HYPERLINK(I11,"Open source"),"Open source")</x:f>
        <x:v>Open source</x:v>
      </x:c>
      <x:c r="I11" s="11" t="str">
        <x:v>https://www.justice.gov/dag/media/1395781/dl?inline=</x:v>
      </x:c>
    </x:row>
    <x:row r="12" ht="39" customHeight="1">
      <x:c r="A12" s="9" t="str">
        <x:v>REF-0008</x:v>
      </x:c>
      <x:c r="B12" s="9" t="str">
        <x:v>Blanche Senate answers, July 2026</x:v>
      </x:c>
      <x:c r="C12" s="9" t="str">
        <x:v>www.judiciary.senate.gov</x:v>
      </x:c>
      <x:c r="D12" s="9" t="str">
        <x:v>Government / court / official source</x:v>
      </x:c>
      <x:c r="E12" s="9" t="str">
        <x:v>Checked in this edition</x:v>
      </x:c>
      <x:c r="F12" s="9" t="str"/>
      <x:c r="G12" s="9" t="str">
        <x:v>COR-004; COR-010; COR-015; COR-021; COR-058</x:v>
      </x:c>
      <x:c r="H12" s="12" t="str">
        <x:f>IFERROR(HYPERLINK(I12,"Open source"),"Open source")</x:f>
        <x:v>Open source</x:v>
      </x:c>
      <x:c r="I12" s="11" t="str">
        <x:v>https://www.judiciary.senate.gov/imo/media/doc/blanche_-_qfrs.pdf</x:v>
      </x:c>
    </x:row>
    <x:row r="13" ht="39" customHeight="1">
      <x:c r="A13" s="9" t="str">
        <x:v>REF-0009</x:v>
      </x:c>
      <x:c r="B13" s="9" t="str">
        <x:v>18 U.S.C. §208(d)(1)</x:v>
      </x:c>
      <x:c r="C13" s="9" t="str">
        <x:v>uscode.house.gov</x:v>
      </x:c>
      <x:c r="D13" s="9" t="str">
        <x:v>Government / court / official source</x:v>
      </x:c>
      <x:c r="E13" s="9" t="str">
        <x:v>Referenced in recovered corpus; source not independently rechecked in this edition</x:v>
      </x:c>
      <x:c r="F13" s="9" t="str"/>
      <x:c r="G13" s="9" t="str">
        <x:v>COR-004; COR-037</x:v>
      </x:c>
      <x:c r="H13" s="12" t="str">
        <x:f>IFERROR(HYPERLINK(I13,"Open source"),"Open source")</x:f>
        <x:v>Open source</x:v>
      </x:c>
      <x:c r="I13" s="11" t="str">
        <x:v>https://uscode.house.gov/view.xhtml?edition=prelim&amp;num=0&amp;req=granuleid%3AUSC-prelim-title18-section208</x:v>
      </x:c>
    </x:row>
    <x:row r="14" ht="39" customHeight="1">
      <x:c r="A14" s="9" t="str">
        <x:v>REF-0010</x:v>
      </x:c>
      <x:c r="B14" s="9" t="str">
        <x:v>5 CFR §2640.304, public availability of waivers</x:v>
      </x:c>
      <x:c r="C14" s="9" t="str">
        <x:v>www.ecfr.gov</x:v>
      </x:c>
      <x:c r="D14" s="9" t="str">
        <x:v>Government / court / official source</x:v>
      </x:c>
      <x:c r="E14" s="9" t="str">
        <x:v>Checked in this edition</x:v>
      </x:c>
      <x:c r="F14" s="9" t="str"/>
      <x:c r="G14" s="9" t="str">
        <x:v>COR-004; COR-010; COR-015; COR-021; COR-037</x:v>
      </x:c>
      <x:c r="H14" s="12" t="str">
        <x:f>IFERROR(HYPERLINK(I14,"Open source"),"Open source")</x:f>
        <x:v>Open source</x:v>
      </x:c>
      <x:c r="I14" s="11" t="str">
        <x:v>https://www.ecfr.gov/current/title-5/chapter-XVI/subchapter-B/part-2640/subpart-C/section-2640.304</x:v>
      </x:c>
    </x:row>
    <x:row r="15" ht="39" customHeight="1">
      <x:c r="A15" s="9" t="str">
        <x:v>REF-0011</x:v>
      </x:c>
      <x:c r="B15" s="9" t="str">
        <x:v>Palantir Maven contract modification</x:v>
      </x:c>
      <x:c r="C15" s="9" t="str">
        <x:v>www.defense.gov</x:v>
      </x:c>
      <x:c r="D15" s="9" t="str">
        <x:v>Government / court / official source</x:v>
      </x:c>
      <x:c r="E15" s="9" t="str">
        <x:v>Referenced in recovered corpus; source not independently rechecked in this edition</x:v>
      </x:c>
      <x:c r="F15" s="9" t="str"/>
      <x:c r="G15" s="9" t="str">
        <x:v>COR-004; COR-051; COR-058; COR-079</x:v>
      </x:c>
      <x:c r="H15" s="12" t="str">
        <x:f>IFERROR(HYPERLINK(I15,"Open source"),"Open source")</x:f>
        <x:v>Open source</x:v>
      </x:c>
      <x:c r="I15" s="11" t="str">
        <x:v>https://www.defense.gov/News/Contracts/Contract/Article/4194643/</x:v>
      </x:c>
    </x:row>
    <x:row r="16" ht="39" customHeight="1">
      <x:c r="A16" s="9" t="str">
        <x:v>REF-0012</x:v>
      </x:c>
      <x:c r="B16" s="9" t="str">
        <x:v>Palantir enterprise service agreement</x:v>
      </x:c>
      <x:c r="C16" s="9" t="str">
        <x:v>www.army.mil</x:v>
      </x:c>
      <x:c r="D16" s="9" t="str">
        <x:v>Government / court / official source</x:v>
      </x:c>
      <x:c r="E16" s="9" t="str">
        <x:v>Referenced in recovered corpus; source not independently rechecked in this edition</x:v>
      </x:c>
      <x:c r="F16" s="9" t="str"/>
      <x:c r="G16" s="9" t="str">
        <x:v>COR-004; COR-051; COR-058; COR-079</x:v>
      </x:c>
      <x:c r="H16" s="12" t="str">
        <x:f>IFERROR(HYPERLINK(I16,"Open source"),"Open source")</x:f>
        <x:v>Open source</x:v>
      </x:c>
      <x:c r="I16" s="11" t="str">
        <x:v>https://www.army.mil/article-amp/287506/u_s_army_awards_enterprise_service_agreement_to_enhance_military_readiness_and_drive_operational_efficiency</x:v>
      </x:c>
    </x:row>
    <x:row r="17" ht="39" customHeight="1">
      <x:c r="A17" s="9" t="str">
        <x:v>REF-0013</x:v>
      </x:c>
      <x:c r="B17" s="9" t="str">
        <x:v>N.D. Cal.; California v. HHS, No. 3:25-cv-05536-VC, ECF 98; preliminary-injunction order; 2025-08-12</x:v>
      </x:c>
      <x:c r="C17" s="9" t="str">
        <x:v>oag.ca.gov</x:v>
      </x:c>
      <x:c r="D17" s="9" t="str">
        <x:v>Government / court / official source</x:v>
      </x:c>
      <x:c r="E17" s="9" t="str">
        <x:v>Referenced in recovered corpus; source not independently rechecked in this edition</x:v>
      </x:c>
      <x:c r="F17" s="9" t="str">
        <x:v>P-06</x:v>
      </x:c>
      <x:c r="G17" s="9" t="str">
        <x:v>COR-004; COR-051; COR-052; COR-058; COR-079</x:v>
      </x:c>
      <x:c r="H17" s="12" t="str">
        <x:f>IFERROR(HYPERLINK(I17,"Open source"),"Open source")</x:f>
        <x:v>Open source</x:v>
      </x:c>
      <x:c r="I17" s="11" t="str">
        <x:v>https://oag.ca.gov/system/files/attachments/press-docs/98%20Order%20Granting%20in%20Part%20and%20Denying%20in%20Part%20PI.pdf</x:v>
      </x:c>
    </x:row>
    <x:row r="18" ht="39" customHeight="1">
      <x:c r="A18" s="9" t="str">
        <x:v>REF-0014</x:v>
      </x:c>
      <x:c r="B18" s="9" t="str">
        <x:v>CC0 1.0 Universal</x:v>
      </x:c>
      <x:c r="C18" s="9" t="str">
        <x:v>creativecommons.org</x:v>
      </x:c>
      <x:c r="D18" s="9" t="str">
        <x:v>Reference carried by the corpus</x:v>
      </x:c>
      <x:c r="E18" s="9" t="str">
        <x:v>Referenced in recovered corpus; source not independently rechecked in this edition</x:v>
      </x:c>
      <x:c r="F18" s="9" t="str"/>
      <x:c r="G18" s="9" t="str">
        <x:v>COR-008; COR-022</x:v>
      </x:c>
      <x:c r="H18" s="12" t="str">
        <x:f>IFERROR(HYPERLINK(I18,"Open source"),"Open source")</x:f>
        <x:v>Open source</x:v>
      </x:c>
      <x:c r="I18" s="11" t="str">
        <x:v>https://creativecommons.org/publicdomain/zero/1.0/</x:v>
      </x:c>
    </x:row>
    <x:row r="19" ht="39" customHeight="1">
      <x:c r="A19" s="9" t="str">
        <x:v>REF-0015</x:v>
      </x:c>
      <x:c r="B19" s="9" t="str">
        <x:v>OpenAI's Realtime conversation guide</x:v>
      </x:c>
      <x:c r="C19" s="9" t="str">
        <x:v>developers.openai.com</x:v>
      </x:c>
      <x:c r="D19" s="9" t="str">
        <x:v>Reference carried by the corpus</x:v>
      </x:c>
      <x:c r="E19" s="9" t="str">
        <x:v>Referenced in recovered corpus; source not independently rechecked in this edition</x:v>
      </x:c>
      <x:c r="F19" s="9" t="str"/>
      <x:c r="G19" s="9" t="str">
        <x:v>COR-008; COR-074</x:v>
      </x:c>
      <x:c r="H19" s="12" t="str">
        <x:f>IFERROR(HYPERLINK(I19,"Open source"),"Open source")</x:f>
        <x:v>Open source</x:v>
      </x:c>
      <x:c r="I19" s="11" t="str">
        <x:v>https://developers.openai.com/api/docs/guides/realtime-conversations</x:v>
      </x:c>
    </x:row>
    <x:row r="20" ht="39" customHeight="1">
      <x:c r="A20" s="9" t="str">
        <x:v>REF-0016</x:v>
      </x:c>
      <x:c r="B20" s="9" t="str">
        <x:v>New Lines Magazine</x:v>
      </x:c>
      <x:c r="C20" s="9" t="str">
        <x:v>newlinesmag.com</x:v>
      </x:c>
      <x:c r="D20" s="9" t="str">
        <x:v>Reference carried by the corpus</x:v>
      </x:c>
      <x:c r="E20" s="9" t="str">
        <x:v>Referenced in recovered corpus; source not independently rechecked in this edition</x:v>
      </x:c>
      <x:c r="F20" s="9" t="str"/>
      <x:c r="G20" s="9" t="str">
        <x:v>COR-024</x:v>
      </x:c>
      <x:c r="H20" s="12" t="str">
        <x:f>IFERROR(HYPERLINK(I20,"Open source"),"Open source")</x:f>
        <x:v>Open source</x:v>
      </x:c>
      <x:c r="I20" s="11" t="str">
        <x:v>https://newlinesmag.com/reportage/a-fanatical-israeli-settlement-is-funded-by-new-york-suburbanites/</x:v>
      </x:c>
    </x:row>
    <x:row r="21" ht="39" customHeight="1">
      <x:c r="A21" s="9" t="str">
        <x:v>REF-0017</x:v>
      </x:c>
      <x:c r="B21" s="9" t="str">
        <x:v>NPR</x:v>
      </x:c>
      <x:c r="C21" s="9" t="str">
        <x:v>www.npr.org</x:v>
      </x:c>
      <x:c r="D21" s="9" t="str">
        <x:v>Reference carried by the corpus</x:v>
      </x:c>
      <x:c r="E21" s="9" t="str">
        <x:v>Referenced in recovered corpus; source not independently rechecked in this edition</x:v>
      </x:c>
      <x:c r="F21" s="9" t="str"/>
      <x:c r="G21" s="9" t="str">
        <x:v>COR-024</x:v>
      </x:c>
      <x:c r="H21" s="12" t="str">
        <x:f>IFERROR(HYPERLINK(I21,"Open source"),"Open source")</x:f>
        <x:v>Open source</x:v>
      </x:c>
      <x:c r="I21" s="11" t="str">
        <x:v>https://www.npr.org/2009/06/12/105310088/american-christian-funding-flows-to-jewish-settlers</x:v>
      </x:c>
    </x:row>
    <x:row r="22" ht="39" customHeight="1">
      <x:c r="A22" s="9" t="str">
        <x:v>REF-0018</x:v>
      </x:c>
      <x:c r="B22" s="9" t="str">
        <x:v>IMEU</x:v>
      </x:c>
      <x:c r="C22" s="9" t="str">
        <x:v>imeu.org</x:v>
      </x:c>
      <x:c r="D22" s="9" t="str">
        <x:v>Reference carried by the corpus</x:v>
      </x:c>
      <x:c r="E22" s="9" t="str">
        <x:v>Referenced in recovered corpus; source not independently rechecked in this edition</x:v>
      </x:c>
      <x:c r="F22" s="9" t="str"/>
      <x:c r="G22" s="9" t="str">
        <x:v>COR-024</x:v>
      </x:c>
      <x:c r="H22" s="12" t="str">
        <x:f>IFERROR(HYPERLINK(I22,"Open source"),"Open source")</x:f>
        <x:v>Open source</x:v>
      </x:c>
      <x:c r="I22" s="11" t="str">
        <x:v>https://imeu.org/resources/important-events/explainer-the-temple-mount-movement/115</x:v>
      </x:c>
    </x:row>
    <x:row r="23" ht="39" customHeight="1">
      <x:c r="A23" s="9" t="str">
        <x:v>REF-0019</x:v>
      </x:c>
      <x:c r="B23" s="9" t="str">
        <x:v>Masjid al Aqsa</x:v>
      </x:c>
      <x:c r="C23" s="9" t="str">
        <x:v>masjidalaqsa.net</x:v>
      </x:c>
      <x:c r="D23" s="9" t="str">
        <x:v>Reference carried by the corpus</x:v>
      </x:c>
      <x:c r="E23" s="9" t="str">
        <x:v>Referenced in recovered corpus; source not independently rechecked in this edition</x:v>
      </x:c>
      <x:c r="F23" s="9" t="str"/>
      <x:c r="G23" s="9" t="str">
        <x:v>COR-024</x:v>
      </x:c>
      <x:c r="H23" s="12" t="str">
        <x:f>IFERROR(HYPERLINK(I23,"Open source"),"Open source")</x:f>
        <x:v>Open source</x:v>
      </x:c>
      <x:c r="I23" s="11" t="str">
        <x:v>https://masjidalaqsa.net/2022/02/24/american-charities-behind-the-temple-mount-movement/</x:v>
      </x:c>
    </x:row>
    <x:row r="24" ht="39" customHeight="1">
      <x:c r="A24" s="9" t="str">
        <x:v>REF-0020</x:v>
      </x:c>
      <x:c r="B24" s="9" t="str">
        <x:v>The New Humanitarian</x:v>
      </x:c>
      <x:c r="C24" s="9" t="str">
        <x:v>www.thenewhumanitarian.org</x:v>
      </x:c>
      <x:c r="D24" s="9" t="str">
        <x:v>Reference carried by the corpus</x:v>
      </x:c>
      <x:c r="E24" s="9" t="str">
        <x:v>Referenced in recovered corpus; source not independently rechecked in this edition</x:v>
      </x:c>
      <x:c r="F24" s="9" t="str"/>
      <x:c r="G24" s="9" t="str">
        <x:v>COR-024</x:v>
      </x:c>
      <x:c r="H24" s="12" t="str">
        <x:f>IFERROR(HYPERLINK(I24,"Open source"),"Open source")</x:f>
        <x:v>Open source</x:v>
      </x:c>
      <x:c r="I24" s="11" t="str">
        <x:v>https://www.thenewhumanitarian.org/investigations/2026/03/16/aid-group-scrubs-content-after-tnh-exposes-donations-israeli-soldiers-and</x:v>
      </x:c>
    </x:row>
    <x:row r="25" ht="39" customHeight="1">
      <x:c r="A25" s="9" t="str">
        <x:v>REF-0021</x:v>
      </x:c>
      <x:c r="B25" s="9" t="str">
        <x:v>Hermetic Order of the Golden Dawn: Biographies of Members</x:v>
      </x:c>
      <x:c r="C25" s="9" t="str">
        <x:v>zenodo.org</x:v>
      </x:c>
      <x:c r="D25" s="9" t="str">
        <x:v>Reference carried by the corpus</x:v>
      </x:c>
      <x:c r="E25" s="9" t="str">
        <x:v>Referenced in recovered corpus; source not independently rechecked in this edition</x:v>
      </x:c>
      <x:c r="F25" s="9" t="str"/>
      <x:c r="G25" s="9" t="str">
        <x:v>COR-042</x:v>
      </x:c>
      <x:c r="H25" s="12" t="str">
        <x:f>IFERROR(HYPERLINK(I25,"Open source"),"Open source")</x:f>
        <x:v>Open source</x:v>
      </x:c>
      <x:c r="I25" s="11" t="str">
        <x:v>https://zenodo.org/records/10938903</x:v>
      </x:c>
    </x:row>
    <x:row r="26" ht="39" customHeight="1">
      <x:c r="A26" s="9" t="str">
        <x:v>REF-0022</x:v>
      </x:c>
      <x:c r="B26" s="9" t="str">
        <x:v>“The Golden Dawn and the O.T.O.”</x:v>
      </x:c>
      <x:c r="C26" s="9" t="str">
        <x:v>www.cambridge.org</x:v>
      </x:c>
      <x:c r="D26" s="9" t="str">
        <x:v>Reference carried by the corpus</x:v>
      </x:c>
      <x:c r="E26" s="9" t="str">
        <x:v>Referenced in recovered corpus; source not independently rechecked in this edition</x:v>
      </x:c>
      <x:c r="F26" s="9" t="str"/>
      <x:c r="G26" s="9" t="str">
        <x:v>COR-042</x:v>
      </x:c>
      <x:c r="H26" s="12" t="str">
        <x:f>IFERROR(HYPERLINK(I26,"Open source"),"Open source")</x:f>
        <x:v>Open source</x:v>
      </x:c>
      <x:c r="I26" s="11" t="str">
        <x:v>https://www.cambridge.org/core/books/abs/cambridge-handbook-of-western-mysticism-and-esotericism/golden-dawn-and-the-oto/89C65341BF3D3912E35E25A6F3759B07</x:v>
      </x:c>
    </x:row>
    <x:row r="27" ht="39" customHeight="1">
      <x:c r="A27" s="9" t="str">
        <x:v>REF-0023</x:v>
      </x:c>
      <x:c r="B27" s="9" t="str">
        <x:v>Museum of Freemasonry archive account</x:v>
      </x:c>
      <x:c r="C27" s="9" t="str">
        <x:v>www.exploreyourarchive.org</x:v>
      </x:c>
      <x:c r="D27" s="9" t="str">
        <x:v>Reference carried by the corpus</x:v>
      </x:c>
      <x:c r="E27" s="9" t="str">
        <x:v>Referenced in recovered corpus; source not independently rechecked in this edition</x:v>
      </x:c>
      <x:c r="F27" s="9" t="str"/>
      <x:c r="G27" s="9" t="str">
        <x:v>COR-042</x:v>
      </x:c>
      <x:c r="H27" s="12" t="str">
        <x:f>IFERROR(HYPERLINK(I27,"Open source"),"Open source")</x:f>
        <x:v>Open source</x:v>
      </x:c>
      <x:c r="I27" s="11" t="str">
        <x:v>https://www.exploreyourarchive.org/the-hermetic-order-of-the-golden-dawn-secrets-at-the-museum-of-freemasonry/</x:v>
      </x:c>
    </x:row>
    <x:row r="28" ht="39" customHeight="1">
      <x:c r="A28" s="9" t="str">
        <x:v>REF-0024</x:v>
      </x:c>
      <x:c r="B28" s="9" t="str">
        <x:v>historical summary</x:v>
      </x:c>
      <x:c r="C28" s="9" t="str">
        <x:v>yalebooks.yale.edu</x:v>
      </x:c>
      <x:c r="D28" s="9" t="str">
        <x:v>Reference carried by the corpus</x:v>
      </x:c>
      <x:c r="E28" s="9" t="str">
        <x:v>Referenced in recovered corpus; source not independently rechecked in this edition</x:v>
      </x:c>
      <x:c r="F28" s="9" t="str"/>
      <x:c r="G28" s="9" t="str">
        <x:v>COR-042</x:v>
      </x:c>
      <x:c r="H28" s="12" t="str">
        <x:f>IFERROR(HYPERLINK(I28,"Open source"),"Open source")</x:f>
        <x:v>Open source</x:v>
      </x:c>
      <x:c r="I28" s="11" t="str">
        <x:v>https://yalebooks.yale.edu/2023/10/31/the-hermetic-order-of-the-golden-dawn-and-the-origins-of-wicca/</x:v>
      </x:c>
    </x:row>
    <x:row r="29" ht="39" customHeight="1">
      <x:c r="A29" s="9" t="str">
        <x:v>REF-0025</x:v>
      </x:c>
      <x:c r="B29" s="9" t="str">
        <x:v>BRANCH scholarly account</x:v>
      </x:c>
      <x:c r="C29" s="9" t="str">
        <x:v>branchcollective.org</x:v>
      </x:c>
      <x:c r="D29" s="9" t="str">
        <x:v>Reference carried by the corpus</x:v>
      </x:c>
      <x:c r="E29" s="9" t="str">
        <x:v>Referenced in recovered corpus; source not independently rechecked in this edition</x:v>
      </x:c>
      <x:c r="F29" s="9" t="str"/>
      <x:c r="G29" s="9" t="str">
        <x:v>COR-042</x:v>
      </x:c>
      <x:c r="H29" s="12" t="str">
        <x:f>IFERROR(HYPERLINK(I29,"Open source"),"Open source")</x:f>
        <x:v>Open source</x:v>
      </x:c>
      <x:c r="I29" s="11" t="str">
        <x:v>https://branchcollective.org/?ps_articles=dennis-denisoff-the-hermetic-order-of-the-golden-dawn-1888-1901</x:v>
      </x:c>
    </x:row>
    <x:row r="30" ht="39" customHeight="1">
      <x:c r="A30" s="9" t="str">
        <x:v>REF-0026</x:v>
      </x:c>
      <x:c r="B30" s="9" t="str">
        <x:v>archival study of Westcott</x:v>
      </x:c>
      <x:c r="C30" s="9" t="str">
        <x:v>www.freemasonry.bcy.ca</x:v>
      </x:c>
      <x:c r="D30" s="9" t="str">
        <x:v>Reference carried by the corpus</x:v>
      </x:c>
      <x:c r="E30" s="9" t="str">
        <x:v>Referenced in recovered corpus; source not independently rechecked in this edition</x:v>
      </x:c>
      <x:c r="F30" s="9" t="str"/>
      <x:c r="G30" s="9" t="str">
        <x:v>COR-042</x:v>
      </x:c>
      <x:c r="H30" s="12" t="str">
        <x:f>IFERROR(HYPERLINK(I30,"Open source"),"Open source")</x:f>
        <x:v>Open source</x:v>
      </x:c>
      <x:c r="I30" s="11" t="str">
        <x:v>https://www.freemasonry.bcy.ca/aqc/westcott/westcott.html</x:v>
      </x:c>
    </x:row>
    <x:row r="31" ht="39" customHeight="1">
      <x:c r="A31" s="9" t="str">
        <x:v>REF-0027</x:v>
      </x:c>
      <x:c r="B31" s="9" t="str">
        <x:v>Golden Dawn notebooks and papers</x:v>
      </x:c>
      <x:c r="C31" s="9" t="str">
        <x:v>catalogue.nli.ie</x:v>
      </x:c>
      <x:c r="D31" s="9" t="str">
        <x:v>Reference carried by the corpus</x:v>
      </x:c>
      <x:c r="E31" s="9" t="str">
        <x:v>Referenced in recovered corpus; source not independently rechecked in this edition</x:v>
      </x:c>
      <x:c r="F31" s="9" t="str"/>
      <x:c r="G31" s="9" t="str">
        <x:v>COR-042</x:v>
      </x:c>
      <x:c r="H31" s="12" t="str">
        <x:f>IFERROR(HYPERLINK(I31,"Open source"),"Open source")</x:f>
        <x:v>Open source</x:v>
      </x:c>
      <x:c r="I31" s="11" t="str">
        <x:v>https://catalogue.nli.ie/Collection/vtls000823973/HierarchyTree?recordID=vtls000823973</x:v>
      </x:c>
    </x:row>
    <x:row r="32" ht="39" customHeight="1">
      <x:c r="A32" s="9" t="str">
        <x:v>REF-0028</x:v>
      </x:c>
      <x:c r="B32" s="9" t="str">
        <x:v>documentary history</x:v>
      </x:c>
      <x:c r="C32" s="9" t="str">
        <x:v>archive.org</x:v>
      </x:c>
      <x:c r="D32" s="9" t="str">
        <x:v>Reference carried by the corpus</x:v>
      </x:c>
      <x:c r="E32" s="9" t="str">
        <x:v>Referenced in recovered corpus; source not independently rechecked in this edition</x:v>
      </x:c>
      <x:c r="F32" s="9" t="str"/>
      <x:c r="G32" s="9" t="str">
        <x:v>COR-042</x:v>
      </x:c>
      <x:c r="H32" s="12" t="str">
        <x:f>IFERROR(HYPERLINK(I32,"Open source"),"Open source")</x:f>
        <x:v>Open source</x:v>
      </x:c>
      <x:c r="I32" s="11" t="str">
        <x:v>https://archive.org/stream/GOLDENDAWNELLICHOWE/GOLDEN%20DAWN%20ELLIC%20HOWE_djvu.txt</x:v>
      </x:c>
    </x:row>
    <x:row r="33" ht="39" customHeight="1">
      <x:c r="A33" s="9" t="str">
        <x:v>REF-0029</x:v>
      </x:c>
      <x:c r="B33" s="9" t="str">
        <x:v>Oxford scholarship</x:v>
      </x:c>
      <x:c r="C33" s="9" t="str">
        <x:v>academic.oup.com</x:v>
      </x:c>
      <x:c r="D33" s="9" t="str">
        <x:v>Reference carried by the corpus</x:v>
      </x:c>
      <x:c r="E33" s="9" t="str">
        <x:v>Referenced in recovered corpus; source not independently rechecked in this edition</x:v>
      </x:c>
      <x:c r="F33" s="9" t="str"/>
      <x:c r="G33" s="9" t="str">
        <x:v>COR-042</x:v>
      </x:c>
      <x:c r="H33" s="12" t="str">
        <x:f>IFERROR(HYPERLINK(I33,"Open source"),"Open source")</x:f>
        <x:v>Open source</x:v>
      </x:c>
      <x:c r="I33" s="11" t="str">
        <x:v>https://academic.oup.com/book/5515/chapter/148442972</x:v>
      </x:c>
    </x:row>
    <x:row r="34" ht="39" customHeight="1">
      <x:c r="A34" s="9" t="str">
        <x:v>REF-0030</x:v>
      </x:c>
      <x:c r="B34" s="9" t="str">
        <x:v>Brill scholarship</x:v>
      </x:c>
      <x:c r="C34" s="9" t="str">
        <x:v>brill.com</x:v>
      </x:c>
      <x:c r="D34" s="9" t="str">
        <x:v>Reference carried by the corpus</x:v>
      </x:c>
      <x:c r="E34" s="9" t="str">
        <x:v>Referenced in recovered corpus; source not independently rechecked in this edition</x:v>
      </x:c>
      <x:c r="F34" s="9" t="str"/>
      <x:c r="G34" s="9" t="str">
        <x:v>COR-042</x:v>
      </x:c>
      <x:c r="H34" s="12" t="str">
        <x:f>IFERROR(HYPERLINK(I34,"Open source"),"Open source")</x:f>
        <x:v>Open source</x:v>
      </x:c>
      <x:c r="I34" s="11" t="str">
        <x:v>https://brill.com/display/book/9789004325968/B9789004325968_059.pdf</x:v>
      </x:c>
    </x:row>
    <x:row r="35" ht="39" customHeight="1">
      <x:c r="A35" s="9" t="str">
        <x:v>REF-0031</x:v>
      </x:c>
      <x:c r="B35" s="9" t="str">
        <x:v>Whare Ra historic-place record</x:v>
      </x:c>
      <x:c r="C35" s="9" t="str">
        <x:v>www.heritage.org.nz</x:v>
      </x:c>
      <x:c r="D35" s="9" t="str">
        <x:v>Reference carried by the corpus</x:v>
      </x:c>
      <x:c r="E35" s="9" t="str">
        <x:v>Referenced in recovered corpus; source not independently rechecked in this edition</x:v>
      </x:c>
      <x:c r="F35" s="9" t="str"/>
      <x:c r="G35" s="9" t="str">
        <x:v>COR-042</x:v>
      </x:c>
      <x:c r="H35" s="12" t="str">
        <x:f>IFERROR(HYPERLINK(I35,"Open source"),"Open source")</x:f>
        <x:v>Open source</x:v>
      </x:c>
      <x:c r="I35" s="11" t="str">
        <x:v>https://www.heritage.org.nz/list-details/4407/Listing</x:v>
      </x:c>
    </x:row>
    <x:row r="36" ht="39" customHeight="1">
      <x:c r="A36" s="9" t="str">
        <x:v>REF-0032</x:v>
      </x:c>
      <x:c r="B36" s="9" t="str">
        <x:v>Aleister Crowley collection finding aid</x:v>
      </x:c>
      <x:c r="C36" s="9" t="str">
        <x:v>norman.hrc.utexas.edu</x:v>
      </x:c>
      <x:c r="D36" s="9" t="str">
        <x:v>Reference carried by the corpus</x:v>
      </x:c>
      <x:c r="E36" s="9" t="str">
        <x:v>Referenced in recovered corpus; source not independently rechecked in this edition</x:v>
      </x:c>
      <x:c r="F36" s="9" t="str"/>
      <x:c r="G36" s="9" t="str">
        <x:v>COR-042</x:v>
      </x:c>
      <x:c r="H36" s="12" t="str">
        <x:f>IFERROR(HYPERLINK(I36,"Open source"),"Open source")</x:f>
        <x:v>Open source</x:v>
      </x:c>
      <x:c r="I36" s="11" t="str">
        <x:v>https://norman.hrc.utexas.edu/fasearch/findingaid.cfm?eadid=00144</x:v>
      </x:c>
    </x:row>
    <x:row r="37" ht="39" customHeight="1">
      <x:c r="A37" s="9" t="str">
        <x:v>REF-0033</x:v>
      </x:c>
      <x:c r="B37" s="9" t="str">
        <x:v>“From Chorazin to Carcosa: Fiction-Based Esotericism in the Black Pilgrimage of Jack Parsons and Cameron”</x:v>
      </x:c>
      <x:c r="C37" s="9" t="str">
        <x:v>pure.uva.nl</x:v>
      </x:c>
      <x:c r="D37" s="9" t="str">
        <x:v>Reference carried by the corpus</x:v>
      </x:c>
      <x:c r="E37" s="9" t="str">
        <x:v>Referenced in recovered corpus; source not independently rechecked in this edition</x:v>
      </x:c>
      <x:c r="F37" s="9" t="str"/>
      <x:c r="G37" s="9" t="str">
        <x:v>COR-042</x:v>
      </x:c>
      <x:c r="H37" s="12" t="str">
        <x:f>IFERROR(HYPERLINK(I37,"Open source"),"Open source")</x:f>
        <x:v>Open source</x:v>
      </x:c>
      <x:c r="I37" s="11" t="str">
        <x:v>https://pure.uva.nl/ws/files/69133345/4874_12242_1_PB.pdf</x:v>
      </x:c>
    </x:row>
    <x:row r="38" ht="39" customHeight="1">
      <x:c r="A38" s="9" t="str">
        <x:v>REF-0034</x:v>
      </x:c>
      <x:c r="B38" s="9" t="str">
        <x:v>official JPL history</x:v>
      </x:c>
      <x:c r="C38" s="9" t="str">
        <x:v>www.jpl.nasa.gov</x:v>
      </x:c>
      <x:c r="D38" s="9" t="str">
        <x:v>Government / court / official source</x:v>
      </x:c>
      <x:c r="E38" s="9" t="str">
        <x:v>Referenced in recovered corpus; source not independently rechecked in this edition</x:v>
      </x:c>
      <x:c r="F38" s="9" t="str"/>
      <x:c r="G38" s="9" t="str">
        <x:v>COR-042</x:v>
      </x:c>
      <x:c r="H38" s="12" t="str">
        <x:f>IFERROR(HYPERLINK(I38,"Open source"),"Open source")</x:f>
        <x:v>Open source</x:v>
      </x:c>
      <x:c r="I38" s="11" t="str">
        <x:v>https://www.jpl.nasa.gov/who-we-are/history/</x:v>
      </x:c>
    </x:row>
    <x:row r="39" ht="39" customHeight="1">
      <x:c r="A39" s="9" t="str">
        <x:v>REF-0035</x:v>
      </x:c>
      <x:c r="B39" s="9" t="str">
        <x:v>Aerojet and JPL founders historical image note</x:v>
      </x:c>
      <x:c r="C39" s="9" t="str">
        <x:v>www.jpl.nasa.gov</x:v>
      </x:c>
      <x:c r="D39" s="9" t="str">
        <x:v>Government / court / official source</x:v>
      </x:c>
      <x:c r="E39" s="9" t="str">
        <x:v>Referenced in recovered corpus; source not independently rechecked in this edition</x:v>
      </x:c>
      <x:c r="F39" s="9" t="str"/>
      <x:c r="G39" s="9" t="str">
        <x:v>COR-042</x:v>
      </x:c>
      <x:c r="H39" s="12" t="str">
        <x:f>IFERROR(HYPERLINK(I39,"Open source"),"Open source")</x:f>
        <x:v>Open source</x:v>
      </x:c>
      <x:c r="I39" s="11" t="str">
        <x:v>https://www.jpl.nasa.gov/images/slice-of-history-happy-birthday-dr-von-karman/</x:v>
      </x:c>
    </x:row>
    <x:row r="40" ht="39" customHeight="1">
      <x:c r="A40" s="9" t="str">
        <x:v>REF-0036</x:v>
      </x:c>
      <x:c r="B40" s="9" t="str">
        <x:v>“The Merge”</x:v>
      </x:c>
      <x:c r="C40" s="9" t="str">
        <x:v>blog.samaltman.com</x:v>
      </x:c>
      <x:c r="D40" s="9" t="str">
        <x:v>Reference carried by the corpus</x:v>
      </x:c>
      <x:c r="E40" s="9" t="str">
        <x:v>Referenced in recovered corpus; source not independently rechecked in this edition</x:v>
      </x:c>
      <x:c r="F40" s="9" t="str"/>
      <x:c r="G40" s="9" t="str">
        <x:v>COR-042</x:v>
      </x:c>
      <x:c r="H40" s="12" t="str">
        <x:f>IFERROR(HYPERLINK(I40,"Open source"),"Open source")</x:f>
        <x:v>Open source</x:v>
      </x:c>
      <x:c r="I40" s="11" t="str">
        <x:v>https://blog.samaltman.com/the-merge</x:v>
      </x:c>
    </x:row>
    <x:row r="41" ht="39" customHeight="1">
      <x:c r="A41" s="9" t="str">
        <x:v>REF-0037</x:v>
      </x:c>
      <x:c r="B41" s="9" t="str">
        <x:v>Altman meditation interview</x:v>
      </x:c>
      <x:c r="C41" s="9" t="str">
        <x:v>www.artofaccomplishment.com</x:v>
      </x:c>
      <x:c r="D41" s="9" t="str">
        <x:v>Reference carried by the corpus</x:v>
      </x:c>
      <x:c r="E41" s="9" t="str">
        <x:v>Referenced in recovered corpus; source not independently rechecked in this edition</x:v>
      </x:c>
      <x:c r="F41" s="9" t="str"/>
      <x:c r="G41" s="9" t="str">
        <x:v>COR-042</x:v>
      </x:c>
      <x:c r="H41" s="12" t="str">
        <x:f>IFERROR(HYPERLINK(I41,"Open source"),"Open source")</x:f>
        <x:v>Open source</x:v>
      </x:c>
      <x:c r="I41" s="11" t="str">
        <x:v>https://www.artofaccomplishment.com/podcast/sam-altman-leading-with-crippling-anxiety-discovering-meditation-and-building-intelligence-with-self-awareness-3</x:v>
      </x:c>
    </x:row>
    <x:row r="42" ht="39" customHeight="1">
      <x:c r="A42" s="9" t="str">
        <x:v>REF-0038</x:v>
      </x:c>
      <x:c r="B42" s="9" t="str">
        <x:v>Public reporting</x:v>
      </x:c>
      <x:c r="C42" s="9" t="str">
        <x:v>sfstandard.com</x:v>
      </x:c>
      <x:c r="D42" s="9" t="str">
        <x:v>Reference carried by the corpus</x:v>
      </x:c>
      <x:c r="E42" s="9" t="str">
        <x:v>Referenced in recovered corpus; source not independently rechecked in this edition</x:v>
      </x:c>
      <x:c r="F42" s="9" t="str"/>
      <x:c r="G42" s="9" t="str">
        <x:v>COR-042</x:v>
      </x:c>
      <x:c r="H42" s="12" t="str">
        <x:f>IFERROR(HYPERLINK(I42,"Open source"),"Open source")</x:f>
        <x:v>Open source</x:v>
      </x:c>
      <x:c r="I42" s="11" t="str">
        <x:v>https://sfstandard.com/life-in-seven-songs/2024/09/24/sam-altman-podcast-interview-life-in-seven-songs/</x:v>
      </x:c>
    </x:row>
    <x:row r="43" ht="39" customHeight="1">
      <x:c r="A43" s="9" t="str">
        <x:v>REF-0039</x:v>
      </x:c>
      <x:c r="B43" s="9" t="str">
        <x:v>Washington Post</x:v>
      </x:c>
      <x:c r="C43" s="9" t="str">
        <x:v>www.washingtonpost.com</x:v>
      </x:c>
      <x:c r="D43" s="9" t="str">
        <x:v>Reference carried by the corpus</x:v>
      </x:c>
      <x:c r="E43" s="9" t="str">
        <x:v>Referenced in recovered corpus; source not independently rechecked in this edition</x:v>
      </x:c>
      <x:c r="F43" s="9" t="str"/>
      <x:c r="G43" s="9" t="str">
        <x:v>COR-042</x:v>
      </x:c>
      <x:c r="H43" s="12" t="str">
        <x:f>IFERROR(HYPERLINK(I43,"Open source"),"Open source")</x:f>
        <x:v>Open source</x:v>
      </x:c>
      <x:c r="I43" s="11" t="str">
        <x:v>https://www.washingtonpost.com/business/2023/04/22/sam-altman-psychedelics-mental-health/</x:v>
      </x:c>
    </x:row>
    <x:row r="44" ht="39" customHeight="1">
      <x:c r="A44" s="9" t="str">
        <x:v>REF-0040</x:v>
      </x:c>
      <x:c r="B44" s="9" t="str">
        <x:v>“Sam Altman’s Manifest Destiny”</x:v>
      </x:c>
      <x:c r="C44" s="9" t="str">
        <x:v>www.newyorker.com</x:v>
      </x:c>
      <x:c r="D44" s="9" t="str">
        <x:v>Reference carried by the corpus</x:v>
      </x:c>
      <x:c r="E44" s="9" t="str">
        <x:v>Referenced in recovered corpus; source not independently rechecked in this edition</x:v>
      </x:c>
      <x:c r="F44" s="9" t="str"/>
      <x:c r="G44" s="9" t="str">
        <x:v>COR-042</x:v>
      </x:c>
      <x:c r="H44" s="12" t="str">
        <x:f>IFERROR(HYPERLINK(I44,"Open source"),"Open source")</x:f>
        <x:v>Open source</x:v>
      </x:c>
      <x:c r="I44" s="11" t="str">
        <x:v>https://www.newyorker.com/magazine/2016/10/10/sam-altmans-manifest-destiny</x:v>
      </x:c>
    </x:row>
    <x:row r="45" ht="39" customHeight="1">
      <x:c r="A45" s="9" t="str">
        <x:v>REF-0041</x:v>
      </x:c>
      <x:c r="B45" s="9" t="str">
        <x:v>launch history</x:v>
      </x:c>
      <x:c r="C45" s="9" t="str">
        <x:v>world.org</x:v>
      </x:c>
      <x:c r="D45" s="9" t="str">
        <x:v>Reference carried by the corpus</x:v>
      </x:c>
      <x:c r="E45" s="9" t="str">
        <x:v>Referenced in recovered corpus; source not independently rechecked in this edition</x:v>
      </x:c>
      <x:c r="F45" s="9" t="str"/>
      <x:c r="G45" s="9" t="str">
        <x:v>COR-042</x:v>
      </x:c>
      <x:c r="H45" s="12" t="str">
        <x:f>IFERROR(HYPERLINK(I45,"Open source"),"Open source")</x:f>
        <x:v>Open source</x:v>
      </x:c>
      <x:c r="I45" s="11" t="str">
        <x:v>https://world.org/blog/announcements/worldcoin-project-launches</x:v>
      </x:c>
    </x:row>
    <x:row r="46" ht="39" customHeight="1">
      <x:c r="A46" s="9" t="str">
        <x:v>REF-0042</x:v>
      </x:c>
      <x:c r="B46" s="9" t="str">
        <x:v>official Orb design history</x:v>
      </x:c>
      <x:c r="C46" s="9" t="str">
        <x:v>world.org</x:v>
      </x:c>
      <x:c r="D46" s="9" t="str">
        <x:v>Reference carried by the corpus</x:v>
      </x:c>
      <x:c r="E46" s="9" t="str">
        <x:v>Referenced in recovered corpus; source not independently rechecked in this edition</x:v>
      </x:c>
      <x:c r="F46" s="9" t="str"/>
      <x:c r="G46" s="9" t="str">
        <x:v>COR-042</x:v>
      </x:c>
      <x:c r="H46" s="12" t="str">
        <x:f>IFERROR(HYPERLINK(I46,"Open source"),"Open source")</x:f>
        <x:v>Open source</x:v>
      </x:c>
      <x:c r="I46" s="11" t="str">
        <x:v>https://world.org/blog/world/designing-orb-universal-value-simplicity</x:v>
      </x:c>
    </x:row>
    <x:row r="47" ht="39" customHeight="1">
      <x:c r="A47" s="9" t="str">
        <x:v>REF-0043</x:v>
      </x:c>
      <x:c r="B47" s="9" t="str">
        <x:v>OpenAI “Feel the AGI” and effigy reporting</x:v>
      </x:c>
      <x:c r="C47" s="9" t="str">
        <x:v>www.theatlantic.com</x:v>
      </x:c>
      <x:c r="D47" s="9" t="str">
        <x:v>Reference carried by the corpus</x:v>
      </x:c>
      <x:c r="E47" s="9" t="str">
        <x:v>Referenced in recovered corpus; source not independently rechecked in this edition</x:v>
      </x:c>
      <x:c r="F47" s="9" t="str"/>
      <x:c r="G47" s="9" t="str">
        <x:v>COR-042</x:v>
      </x:c>
      <x:c r="H47" s="12" t="str">
        <x:f>IFERROR(HYPERLINK(I47,"Open source"),"Open source")</x:f>
        <x:v>Open source</x:v>
      </x:c>
      <x:c r="I47" s="11" t="str">
        <x:v>https://www.theatlantic.com/technology/archive/2023/11/sam-altman-open-ai-chatgpt-chaos/676050/</x:v>
      </x:c>
    </x:row>
    <x:row r="48" ht="39" customHeight="1">
      <x:c r="A48" s="9" t="str">
        <x:v>REF-0044</x:v>
      </x:c>
      <x:c r="B48" s="9" t="str">
        <x:v>“Machine Intelligence, Part 1”</x:v>
      </x:c>
      <x:c r="C48" s="9" t="str">
        <x:v>blog.samaltman.com</x:v>
      </x:c>
      <x:c r="D48" s="9" t="str">
        <x:v>Reference carried by the corpus</x:v>
      </x:c>
      <x:c r="E48" s="9" t="str">
        <x:v>Referenced in recovered corpus; source not independently rechecked in this edition</x:v>
      </x:c>
      <x:c r="F48" s="9" t="str"/>
      <x:c r="G48" s="9" t="str">
        <x:v>COR-042</x:v>
      </x:c>
      <x:c r="H48" s="12" t="str">
        <x:f>IFERROR(HYPERLINK(I48,"Open source"),"Open source")</x:f>
        <x:v>Open source</x:v>
      </x:c>
      <x:c r="I48" s="11" t="str">
        <x:v>https://blog.samaltman.com/machine-intelligence-part-1</x:v>
      </x:c>
    </x:row>
    <x:row r="49" ht="39" customHeight="1">
      <x:c r="A49" s="9" t="str">
        <x:v>REF-0045</x:v>
      </x:c>
      <x:c r="B49" s="9" t="str">
        <x:v>institutional history and Thiel–Girard connection</x:v>
      </x:c>
      <x:c r="C49" s="9" t="str">
        <x:v>www.imitatio.org</x:v>
      </x:c>
      <x:c r="D49" s="9" t="str">
        <x:v>Reference carried by the corpus</x:v>
      </x:c>
      <x:c r="E49" s="9" t="str">
        <x:v>Referenced in recovered corpus; source not independently rechecked in this edition</x:v>
      </x:c>
      <x:c r="F49" s="9" t="str"/>
      <x:c r="G49" s="9" t="str">
        <x:v>COR-042</x:v>
      </x:c>
      <x:c r="H49" s="12" t="str">
        <x:f>IFERROR(HYPERLINK(I49,"Open source"),"Open source")</x:f>
        <x:v>Open source</x:v>
      </x:c>
      <x:c r="I49" s="11" t="str">
        <x:v>https://www.imitatio.org/about-imitatio</x:v>
      </x:c>
    </x:row>
    <x:row r="50" ht="39" customHeight="1">
      <x:c r="A50" s="9" t="str">
        <x:v>REF-0046</x:v>
      </x:c>
      <x:c r="B50" s="9" t="str">
        <x:v>Thiel on apocalypse and technology</x:v>
      </x:c>
      <x:c r="C50" s="9" t="str">
        <x:v>www.hoover.org</x:v>
      </x:c>
      <x:c r="D50" s="9" t="str">
        <x:v>Reference carried by the corpus</x:v>
      </x:c>
      <x:c r="E50" s="9" t="str">
        <x:v>Referenced in recovered corpus; source not independently rechecked in this edition</x:v>
      </x:c>
      <x:c r="F50" s="9" t="str"/>
      <x:c r="G50" s="9" t="str">
        <x:v>COR-042</x:v>
      </x:c>
      <x:c r="H50" s="12" t="str">
        <x:f>IFERROR(HYPERLINK(I50,"Open source"),"Open source")</x:f>
        <x:v>Open source</x:v>
      </x:c>
      <x:c r="I50" s="11" t="str">
        <x:v>https://www.hoover.org/research/apocalypse-now-peter-thiel-ancient-prophecies-and-modern-tech</x:v>
      </x:c>
    </x:row>
    <x:row r="51" ht="39" customHeight="1">
      <x:c r="A51" s="9" t="str">
        <x:v>REF-0047</x:v>
      </x:c>
      <x:c r="B51" s="9" t="str">
        <x:v>Conversations with Tyler interview</x:v>
      </x:c>
      <x:c r="C51" s="9" t="str">
        <x:v>conversationswithtyler.com</x:v>
      </x:c>
      <x:c r="D51" s="9" t="str">
        <x:v>Reference carried by the corpus</x:v>
      </x:c>
      <x:c r="E51" s="9" t="str">
        <x:v>Referenced in recovered corpus; source not independently rechecked in this edition</x:v>
      </x:c>
      <x:c r="F51" s="9" t="str"/>
      <x:c r="G51" s="9" t="str">
        <x:v>COR-042</x:v>
      </x:c>
      <x:c r="H51" s="12" t="str">
        <x:f>IFERROR(HYPERLINK(I51,"Open source"),"Open source")</x:f>
        <x:v>Open source</x:v>
      </x:c>
      <x:c r="I51" s="11" t="str">
        <x:v>https://conversationswithtyler.com/episodes/peter-thiel-political-theology/</x:v>
      </x:c>
    </x:row>
    <x:row r="52" ht="39" customHeight="1">
      <x:c r="A52" s="9" t="str">
        <x:v>REF-0048</x:v>
      </x:c>
      <x:c r="B52" s="9" t="str">
        <x:v>“Voyages to the End of the World”</x:v>
      </x:c>
      <x:c r="C52" s="9" t="str">
        <x:v>firstthings.com</x:v>
      </x:c>
      <x:c r="D52" s="9" t="str">
        <x:v>Reference carried by the corpus</x:v>
      </x:c>
      <x:c r="E52" s="9" t="str">
        <x:v>Referenced in recovered corpus; source not independently rechecked in this edition</x:v>
      </x:c>
      <x:c r="F52" s="9" t="str"/>
      <x:c r="G52" s="9" t="str">
        <x:v>COR-042</x:v>
      </x:c>
      <x:c r="H52" s="12" t="str">
        <x:f>IFERROR(HYPERLINK(I52,"Open source"),"Open source")</x:f>
        <x:v>Open source</x:v>
      </x:c>
      <x:c r="I52" s="11" t="str">
        <x:v>https://firstthings.com/voyages-to-the-end-of-the-world/</x:v>
      </x:c>
    </x:row>
    <x:row r="53" ht="39" customHeight="1">
      <x:c r="A53" s="9" t="str">
        <x:v>REF-0049</x:v>
      </x:c>
      <x:c r="B53" s="9" t="str">
        <x:v>$3.5 million aging-research pledge</x:v>
      </x:c>
      <x:c r="C53" s="9" t="str">
        <x:v>www.alcor.org</x:v>
      </x:c>
      <x:c r="D53" s="9" t="str">
        <x:v>Reference carried by the corpus</x:v>
      </x:c>
      <x:c r="E53" s="9" t="str">
        <x:v>Referenced in recovered corpus; source not independently rechecked in this edition</x:v>
      </x:c>
      <x:c r="F53" s="9" t="str"/>
      <x:c r="G53" s="9" t="str">
        <x:v>COR-042</x:v>
      </x:c>
      <x:c r="H53" s="12" t="str">
        <x:f>IFERROR(HYPERLINK(I53,"Open source"),"Open source")</x:f>
        <x:v>Open source</x:v>
      </x:c>
      <x:c r="I53" s="11" t="str">
        <x:v>https://www.alcor.org/resources/blog/peter_thiel_pledges_35_million/</x:v>
      </x:c>
    </x:row>
    <x:row r="54" ht="39" customHeight="1">
      <x:c r="A54" s="9" t="str">
        <x:v>REF-0050</x:v>
      </x:c>
      <x:c r="B54" s="9" t="str">
        <x:v>WIRED; Leak Exposes Members of Peter Thiel’s Secretive ‘Dialog’ Society; 2026-06-16, updated</x:v>
      </x:c>
      <x:c r="C54" s="9" t="str">
        <x:v>www.wired.com</x:v>
      </x:c>
      <x:c r="D54" s="9" t="str">
        <x:v>Reference carried by the corpus</x:v>
      </x:c>
      <x:c r="E54" s="9" t="str">
        <x:v>Referenced in recovered corpus; source not independently rechecked in this edition</x:v>
      </x:c>
      <x:c r="F54" s="9" t="str">
        <x:v>PA-L01</x:v>
      </x:c>
      <x:c r="G54" s="9" t="str">
        <x:v>COR-042; COR-049; COR-051; COR-052; COR-058; COR-059; COR-064; COR-079</x:v>
      </x:c>
      <x:c r="H54" s="12" t="str">
        <x:f>IFERROR(HYPERLINK(I54,"Open source"),"Open source")</x:f>
        <x:v>Open source</x:v>
      </x:c>
      <x:c r="I54" s="11" t="str">
        <x:v>https://www.wired.com/story/leak-exposes-members-of-peter-thiels-secretive-dialog-society/</x:v>
      </x:c>
    </x:row>
    <x:row r="55" ht="39" customHeight="1">
      <x:c r="A55" s="9" t="str">
        <x:v>REF-0051</x:v>
      </x:c>
      <x:c r="B55" s="9" t="str">
        <x:v>Palantir-hosted profile</x:v>
      </x:c>
      <x:c r="C55" s="9" t="str">
        <x:v>www.palantir.com</x:v>
      </x:c>
      <x:c r="D55" s="9" t="str">
        <x:v>Reference carried by the corpus</x:v>
      </x:c>
      <x:c r="E55" s="9" t="str">
        <x:v>Referenced in recovered corpus; source not independently rechecked in this edition</x:v>
      </x:c>
      <x:c r="F55" s="9" t="str"/>
      <x:c r="G55" s="9" t="str">
        <x:v>COR-042</x:v>
      </x:c>
      <x:c r="H55" s="12" t="str">
        <x:f>IFERROR(HYPERLINK(I55,"Open source"),"Open source")</x:f>
        <x:v>Open source</x:v>
      </x:c>
      <x:c r="I55" s="11" t="str">
        <x:v>https://www.palantir.com/assets/xrfr7uokpv1b/2inl87zghZHVlEeiwitnTT/2b1f5ea527fc6c19c242ce988685c460/12996_Tim_PalantirTechnologies_15032025_B-72-.pdf</x:v>
      </x:c>
    </x:row>
    <x:row r="56" ht="39" customHeight="1">
      <x:c r="A56" s="9" t="str">
        <x:v>REF-0052</x:v>
      </x:c>
      <x:c r="B56" s="9" t="str">
        <x:v>2025 Curtis Yarvin profile and Thiel relationship</x:v>
      </x:c>
      <x:c r="C56" s="9" t="str">
        <x:v>www.newyorker.com</x:v>
      </x:c>
      <x:c r="D56" s="9" t="str">
        <x:v>Reference carried by the corpus</x:v>
      </x:c>
      <x:c r="E56" s="9" t="str">
        <x:v>Referenced in recovered corpus; source not independently rechecked in this edition</x:v>
      </x:c>
      <x:c r="F56" s="9" t="str"/>
      <x:c r="G56" s="9" t="str">
        <x:v>COR-042</x:v>
      </x:c>
      <x:c r="H56" s="12" t="str">
        <x:f>IFERROR(HYPERLINK(I56,"Open source"),"Open source")</x:f>
        <x:v>Open source</x:v>
      </x:c>
      <x:c r="I56" s="11" t="str">
        <x:v>https://www.newyorker.com/magazine/2025/06/09/curtis-yarvin-profile</x:v>
      </x:c>
    </x:row>
    <x:row r="57" ht="39" customHeight="1">
      <x:c r="A57" s="9" t="str">
        <x:v>REF-0053</x:v>
      </x:c>
      <x:c r="B57" s="9" t="str">
        <x:v>2020 essay</x:v>
      </x:c>
      <x:c r="C57" s="9" t="str">
        <x:v>graymirror.substack.com</x:v>
      </x:c>
      <x:c r="D57" s="9" t="str">
        <x:v>Reference carried by the corpus</x:v>
      </x:c>
      <x:c r="E57" s="9" t="str">
        <x:v>Referenced in recovered corpus; source not independently rechecked in this edition</x:v>
      </x:c>
      <x:c r="F57" s="9" t="str"/>
      <x:c r="G57" s="9" t="str">
        <x:v>COR-042</x:v>
      </x:c>
      <x:c r="H57" s="12" t="str">
        <x:f>IFERROR(HYPERLINK(I57,"Open source"),"Open source")</x:f>
        <x:v>Open source</x:v>
      </x:c>
      <x:c r="I57" s="11" t="str">
        <x:v>https://graymirror.substack.com/p/persuasion-and-the-mensheviks</x:v>
      </x:c>
    </x:row>
    <x:row r="58" ht="39" customHeight="1">
      <x:c r="A58" s="9" t="str">
        <x:v>REF-0054</x:v>
      </x:c>
      <x:c r="B58" s="9" t="str">
        <x:v>Nick Land profile and Yarvin adjacency</x:v>
      </x:c>
      <x:c r="C58" s="9" t="str">
        <x:v>www.newyorker.com</x:v>
      </x:c>
      <x:c r="D58" s="9" t="str">
        <x:v>Reference carried by the corpus</x:v>
      </x:c>
      <x:c r="E58" s="9" t="str">
        <x:v>Referenced in recovered corpus; source not independently rechecked in this edition</x:v>
      </x:c>
      <x:c r="F58" s="9" t="str"/>
      <x:c r="G58" s="9" t="str">
        <x:v>COR-042</x:v>
      </x:c>
      <x:c r="H58" s="12" t="str">
        <x:f>IFERROR(HYPERLINK(I58,"Open source"),"Open source")</x:f>
        <x:v>Open source</x:v>
      </x:c>
      <x:c r="I58" s="11" t="str">
        <x:v>https://www.newyorker.com/culture/the-lede/silicon-valleys-favorite-doomsaying-philosopher</x:v>
      </x:c>
    </x:row>
    <x:row r="59" ht="39" customHeight="1">
      <x:c r="A59" s="9" t="str">
        <x:v>REF-0055</x:v>
      </x:c>
      <x:c r="B59" s="9" t="str">
        <x:v>Nick Land, Fanged Noumena</x:v>
      </x:c>
      <x:c r="C59" s="9" t="str">
        <x:v>mitpress.mit.edu</x:v>
      </x:c>
      <x:c r="D59" s="9" t="str">
        <x:v>Reference carried by the corpus</x:v>
      </x:c>
      <x:c r="E59" s="9" t="str">
        <x:v>Referenced in recovered corpus; source not independently rechecked in this edition</x:v>
      </x:c>
      <x:c r="F59" s="9" t="str"/>
      <x:c r="G59" s="9" t="str">
        <x:v>COR-042</x:v>
      </x:c>
      <x:c r="H59" s="12" t="str">
        <x:f>IFERROR(HYPERLINK(I59,"Open source"),"Open source")</x:f>
        <x:v>Open source</x:v>
      </x:c>
      <x:c r="I59" s="11" t="str">
        <x:v>https://mitpress.mit.edu/9780955308789/fanged-noumena/</x:v>
      </x:c>
    </x:row>
    <x:row r="60" ht="39" customHeight="1">
      <x:c r="A60" s="9" t="str">
        <x:v>REF-0056</x:v>
      </x:c>
      <x:c r="B60" s="9" t="str">
        <x:v>Nick Land, “Qabbala 101”</x:v>
      </x:c>
      <x:c r="C60" s="9" t="str">
        <x:v>www.urbanomic.com</x:v>
      </x:c>
      <x:c r="D60" s="9" t="str">
        <x:v>Reference carried by the corpus</x:v>
      </x:c>
      <x:c r="E60" s="9" t="str">
        <x:v>Referenced in recovered corpus; source not independently rechecked in this edition</x:v>
      </x:c>
      <x:c r="F60" s="9" t="str"/>
      <x:c r="G60" s="9" t="str">
        <x:v>COR-042</x:v>
      </x:c>
      <x:c r="H60" s="12" t="str">
        <x:f>IFERROR(HYPERLINK(I60,"Open source"),"Open source")</x:f>
        <x:v>Open source</x:v>
      </x:c>
      <x:c r="I60" s="11" t="str">
        <x:v>https://www.urbanomic.com/chapter/fanged-noumena-qabbala-101/</x:v>
      </x:c>
    </x:row>
    <x:row r="61" ht="39" customHeight="1">
      <x:c r="A61" s="9" t="str">
        <x:v>REF-0057</x:v>
      </x:c>
      <x:c r="B61" s="9" t="str">
        <x:v>review of the Williams scholarship</x:v>
      </x:c>
      <x:c r="C61" s="9" t="str">
        <x:v>www.christiancentury.org</x:v>
      </x:c>
      <x:c r="D61" s="9" t="str">
        <x:v>Reference carried by the corpus</x:v>
      </x:c>
      <x:c r="E61" s="9" t="str">
        <x:v>Referenced in recovered corpus; source not independently rechecked in this edition</x:v>
      </x:c>
      <x:c r="F61" s="9" t="str"/>
      <x:c r="G61" s="9" t="str">
        <x:v>COR-042</x:v>
      </x:c>
      <x:c r="H61" s="12" t="str">
        <x:f>IFERROR(HYPERLINK(I61,"Open source"),"Open source")</x:f>
        <x:v>Open source</x:v>
      </x:c>
      <x:c r="I61" s="11" t="str">
        <x:v>https://www.christiancentury.org/reviews/2016-05/shadows-saint</x:v>
      </x:c>
    </x:row>
    <x:row r="62" ht="39" customHeight="1">
      <x:c r="A62" s="9" t="str">
        <x:v>REF-0058</x:v>
      </x:c>
      <x:c r="B62" s="9" t="str">
        <x:v>“A Veil that Reveals: Charles Williams and the Fellowship of the Rosy Cross”</x:v>
      </x:c>
      <x:c r="C62" s="9" t="str">
        <x:v>www.euppublishing.com</x:v>
      </x:c>
      <x:c r="D62" s="9" t="str">
        <x:v>Reference carried by the corpus</x:v>
      </x:c>
      <x:c r="E62" s="9" t="str">
        <x:v>Referenced in recovered corpus; source not independently rechecked in this edition</x:v>
      </x:c>
      <x:c r="F62" s="9" t="str"/>
      <x:c r="G62" s="9" t="str">
        <x:v>COR-042</x:v>
      </x:c>
      <x:c r="H62" s="12" t="str">
        <x:f>IFERROR(HYPERLINK(I62,"Open source"),"Open source")</x:f>
        <x:v>Open source</x:v>
      </x:c>
      <x:c r="I62" s="11" t="str">
        <x:v>https://www.euppublishing.com/doi/full/10.3366/ink.2015.5.1.3</x:v>
      </x:c>
    </x:row>
    <x:row r="63" ht="39" customHeight="1">
      <x:c r="A63" s="9" t="str">
        <x:v>REF-0059</x:v>
      </x:c>
      <x:c r="B63" s="9" t="str">
        <x:v>“Welcome Peter”</x:v>
      </x:c>
      <x:c r="C63" s="9" t="str">
        <x:v>www.ycombinator.com</x:v>
      </x:c>
      <x:c r="D63" s="9" t="str">
        <x:v>Reference carried by the corpus</x:v>
      </x:c>
      <x:c r="E63" s="9" t="str">
        <x:v>Referenced in recovered corpus; source not independently rechecked in this edition</x:v>
      </x:c>
      <x:c r="F63" s="9" t="str"/>
      <x:c r="G63" s="9" t="str">
        <x:v>COR-042</x:v>
      </x:c>
      <x:c r="H63" s="12" t="str">
        <x:f>IFERROR(HYPERLINK(I63,"Open source"),"Open source")</x:f>
        <x:v>Open source</x:v>
      </x:c>
      <x:c r="I63" s="11" t="str">
        <x:v>https://www.ycombinator.com/blog/welcome-peter</x:v>
      </x:c>
    </x:row>
    <x:row r="64" ht="39" customHeight="1">
      <x:c r="A64" s="9" t="str">
        <x:v>REF-0060</x:v>
      </x:c>
      <x:c r="B64" s="9" t="str">
        <x:v>2015 launch announcement</x:v>
      </x:c>
      <x:c r="C64" s="9" t="str">
        <x:v>openai.com</x:v>
      </x:c>
      <x:c r="D64" s="9" t="str">
        <x:v>Reference carried by the corpus</x:v>
      </x:c>
      <x:c r="E64" s="9" t="str">
        <x:v>Referenced in recovered corpus; source not independently rechecked in this edition</x:v>
      </x:c>
      <x:c r="F64" s="9" t="str"/>
      <x:c r="G64" s="9" t="str">
        <x:v>COR-042</x:v>
      </x:c>
      <x:c r="H64" s="12" t="str">
        <x:f>IFERROR(HYPERLINK(I64,"Open source"),"Open source")</x:f>
        <x:v>Open source</x:v>
      </x:c>
      <x:c r="I64" s="11" t="str">
        <x:v>https://openai.com/index/introducing-openai/</x:v>
      </x:c>
    </x:row>
    <x:row r="65" ht="39" customHeight="1">
      <x:c r="A65" s="9" t="str">
        <x:v>REF-0061</x:v>
      </x:c>
      <x:c r="B65" s="9" t="str">
        <x:v>contemporaneous statement</x:v>
      </x:c>
      <x:c r="C65" s="9" t="str">
        <x:v>blog.samaltman.com</x:v>
      </x:c>
      <x:c r="D65" s="9" t="str">
        <x:v>Reference carried by the corpus</x:v>
      </x:c>
      <x:c r="E65" s="9" t="str">
        <x:v>Referenced in recovered corpus; source not independently rechecked in this edition</x:v>
      </x:c>
      <x:c r="F65" s="9" t="str"/>
      <x:c r="G65" s="9" t="str">
        <x:v>COR-042</x:v>
      </x:c>
      <x:c r="H65" s="12" t="str">
        <x:f>IFERROR(HYPERLINK(I65,"Open source"),"Open source")</x:f>
        <x:v>Open source</x:v>
      </x:c>
      <x:c r="I65" s="11" t="str">
        <x:v>https://blog.samaltman.com/the-2016-election</x:v>
      </x:c>
    </x:row>
    <x:row r="66" ht="39" customHeight="1">
      <x:c r="A66" s="9" t="str">
        <x:v>REF-0062</x:v>
      </x:c>
      <x:c r="B66" s="9" t="str">
        <x:v>pseudo-membership review</x:v>
      </x:c>
      <x:c r="C66" s="9" t="str">
        <x:v>felixtaylor.org</x:v>
      </x:c>
      <x:c r="D66" s="9" t="str">
        <x:v>Reference carried by the corpus</x:v>
      </x:c>
      <x:c r="E66" s="9" t="str">
        <x:v>Referenced in recovered corpus; source not independently rechecked in this edition</x:v>
      </x:c>
      <x:c r="F66" s="9" t="str"/>
      <x:c r="G66" s="9" t="str">
        <x:v>COR-042</x:v>
      </x:c>
      <x:c r="H66" s="12" t="str">
        <x:f>IFERROR(HYPERLINK(I66,"Open source"),"Open source")</x:f>
        <x:v>Open source</x:v>
      </x:c>
      <x:c r="I66" s="11" t="str">
        <x:v>https://felixtaylor.org/the-order-of-the-golden-dawns-pseudo-membership/</x:v>
      </x:c>
    </x:row>
    <x:row r="67" ht="39" customHeight="1">
      <x:c r="A67" s="9" t="str">
        <x:v>REF-0063</x:v>
      </x:c>
      <x:c r="B67" s="9" t="str">
        <x:v>Aleister Crowley in the Desert excerpt</x:v>
      </x:c>
      <x:c r="C67" s="9" t="str">
        <x:v>press.uchicago.edu</x:v>
      </x:c>
      <x:c r="D67" s="9" t="str">
        <x:v>Reference carried by the corpus</x:v>
      </x:c>
      <x:c r="E67" s="9" t="str">
        <x:v>Referenced in recovered corpus; source not independently rechecked in this edition</x:v>
      </x:c>
      <x:c r="F67" s="9" t="str"/>
      <x:c r="G67" s="9" t="str">
        <x:v>COR-042</x:v>
      </x:c>
      <x:c r="H67" s="12" t="str">
        <x:f>IFERROR(HYPERLINK(I67,"Open source"),"Open source")</x:f>
        <x:v>Open source</x:v>
      </x:c>
      <x:c r="I67" s="11" t="str">
        <x:v>https://press.uchicago.edu/Misc/Chicago/642011.htm</x:v>
      </x:c>
    </x:row>
    <x:row r="68" ht="39" customHeight="1">
      <x:c r="A68" s="9" t="str">
        <x:v>REF-0064</x:v>
      </x:c>
      <x:c r="B68" s="9" t="str">
        <x:v>“The Sorcerer and His Apprentice”</x:v>
      </x:c>
      <x:c r="C68" s="9" t="str">
        <x:v>www.cambridge.org</x:v>
      </x:c>
      <x:c r="D68" s="9" t="str">
        <x:v>Reference carried by the corpus</x:v>
      </x:c>
      <x:c r="E68" s="9" t="str">
        <x:v>Referenced in recovered corpus; source not independently rechecked in this edition</x:v>
      </x:c>
      <x:c r="F68" s="9" t="str"/>
      <x:c r="G68" s="9" t="str">
        <x:v>COR-042</x:v>
      </x:c>
      <x:c r="H68" s="12" t="str">
        <x:f>IFERROR(HYPERLINK(I68,"Open source"),"Open source")</x:f>
        <x:v>Open source</x:v>
      </x:c>
      <x:c r="I68" s="11" t="str">
        <x:v>https://www.cambridge.org/core/journals/journal-of-british-studies/article/abs/sorcerer-and-his-apprentice-aleister-crowley-and-the-magical-exploration-of-edwardian-subjectivity/A32FB6313921CBEC79D267D85A7710C3</x:v>
      </x:c>
    </x:row>
    <x:row r="69" ht="39" customHeight="1">
      <x:c r="A69" s="9" t="str">
        <x:v>REF-0065</x:v>
      </x:c>
      <x:c r="B69" s="9" t="str">
        <x:v>The Golden Dawn Scrapbook</x:v>
      </x:c>
      <x:c r="C69" s="9" t="str">
        <x:v>archive.org</x:v>
      </x:c>
      <x:c r="D69" s="9" t="str">
        <x:v>Reference carried by the corpus</x:v>
      </x:c>
      <x:c r="E69" s="9" t="str">
        <x:v>Referenced in recovered corpus; source not independently rechecked in this edition</x:v>
      </x:c>
      <x:c r="F69" s="9" t="str"/>
      <x:c r="G69" s="9" t="str">
        <x:v>COR-042</x:v>
      </x:c>
      <x:c r="H69" s="12" t="str">
        <x:f>IFERROR(HYPERLINK(I69,"Open source"),"Open source")</x:f>
        <x:v>Open source</x:v>
      </x:c>
      <x:c r="I69" s="11" t="str">
        <x:v>https://archive.org/stream/R.a.Gilbert-TheGoldenDawnScrapbook-TheRiseAndFallOfAMagicalOrder/R.a.Gilbert-TheGoldenDawnScrapbook-TheRiseAndFallOfAMagicalOrder-1997_djvu.txt</x:v>
      </x:c>
    </x:row>
    <x:row r="70" ht="39" customHeight="1">
      <x:c r="A70" s="9" t="str">
        <x:v>REF-0066</x:v>
      </x:c>
      <x:c r="B70" s="9" t="str">
        <x:v>GSA; Greg Barbaccia Appointed Acting Director…; 2026-02-19</x:v>
      </x:c>
      <x:c r="C70" s="9" t="str">
        <x:v>www.gsa.gov</x:v>
      </x:c>
      <x:c r="D70" s="9" t="str">
        <x:v>Government / court / official source</x:v>
      </x:c>
      <x:c r="E70" s="9" t="str">
        <x:v>Referenced in recovered corpus; source not independently rechecked in this edition</x:v>
      </x:c>
      <x:c r="F70" s="9" t="str">
        <x:v>P-08</x:v>
      </x:c>
      <x:c r="G70" s="9" t="str">
        <x:v>COR-046; COR-048; COR-049; COR-051; COR-052; COR-064; COR-070; COR-079</x:v>
      </x:c>
      <x:c r="H70" s="12" t="str">
        <x:f>IFERROR(HYPERLINK(I70,"Open source"),"Open source")</x:f>
        <x:v>Open source</x:v>
      </x:c>
      <x:c r="I70" s="11" t="str">
        <x:v>https://www.gsa.gov/about-gsa/newsroom/news-releases/greg-barbaccia-appointed-acting-director-of-the-tts-02192026</x:v>
      </x:c>
    </x:row>
    <x:row r="71" ht="39" customHeight="1">
      <x:c r="A71" s="9" t="str">
        <x:v>REF-0067</x:v>
      </x:c>
      <x:c r="B71" s="9" t="str">
        <x:v>fedscoop.com</x:v>
      </x:c>
      <x:c r="C71" s="9" t="str">
        <x:v>fedscoop.com</x:v>
      </x:c>
      <x:c r="D71" s="9" t="str">
        <x:v>Reference carried by the corpus</x:v>
      </x:c>
      <x:c r="E71" s="9" t="str">
        <x:v>Referenced in recovered corpus; source not independently rechecked in this edition</x:v>
      </x:c>
      <x:c r="F71" s="9" t="str"/>
      <x:c r="G71" s="9" t="str">
        <x:v>COR-046; COR-049; COR-064</x:v>
      </x:c>
      <x:c r="H71" s="12" t="str">
        <x:f>IFERROR(HYPERLINK(I71,"Open source"),"Open source")</x:f>
        <x:v>Open source</x:v>
      </x:c>
      <x:c r="I71" s="11" t="str">
        <x:v>https://fedscoop.com/outgoing-federal-cio-greg-barbaccia-will-return-to-palantir/</x:v>
      </x:c>
    </x:row>
    <x:row r="72" ht="39" customHeight="1">
      <x:c r="A72" s="9" t="str">
        <x:v>REF-0068</x:v>
      </x:c>
      <x:c r="B72" s="9" t="str">
        <x:v>www.nhpr.org</x:v>
      </x:c>
      <x:c r="C72" s="9" t="str">
        <x:v>www.nhpr.org</x:v>
      </x:c>
      <x:c r="D72" s="9" t="str">
        <x:v>Reference carried by the corpus</x:v>
      </x:c>
      <x:c r="E72" s="9" t="str">
        <x:v>Referenced in recovered corpus; source not independently rechecked in this edition</x:v>
      </x:c>
      <x:c r="F72" s="9" t="str"/>
      <x:c r="G72" s="9" t="str">
        <x:v>COR-046</x:v>
      </x:c>
      <x:c r="H72" s="12" t="str">
        <x:f>IFERROR(HYPERLINK(I72,"Open source"),"Open source")</x:f>
        <x:v>Open source</x:v>
      </x:c>
      <x:c r="I72" s="11" t="str">
        <x:v>https://www.nhpr.org/2026-07-17/ice-shared-medicaid-data-it-wasnt-supposed-to-have-with-palantir</x:v>
      </x:c>
    </x:row>
    <x:row r="73" ht="39" customHeight="1">
      <x:c r="A73" s="9" t="str">
        <x:v>REF-0069</x:v>
      </x:c>
      <x:c r="B73" s="9" t="str">
        <x:v>Reuters; Trump reports over $1.4 billion in income from crypto ventures; 2026-06-30</x:v>
      </x:c>
      <x:c r="C73" s="9" t="str">
        <x:v>www.reuters.com</x:v>
      </x:c>
      <x:c r="D73" s="9" t="str">
        <x:v>Reference carried by the corpus</x:v>
      </x:c>
      <x:c r="E73" s="9" t="str">
        <x:v>Referenced in recovered corpus; source not independently rechecked in this edition</x:v>
      </x:c>
      <x:c r="F73" s="9" t="str">
        <x:v>T-02</x:v>
      </x:c>
      <x:c r="G73" s="9" t="str">
        <x:v>COR-046; COR-049; COR-052; COR-064</x:v>
      </x:c>
      <x:c r="H73" s="12" t="str">
        <x:f>IFERROR(HYPERLINK(I73,"Open source"),"Open source")</x:f>
        <x:v>Open source</x:v>
      </x:c>
      <x:c r="I73" s="11" t="str">
        <x:v>https://www.reuters.com/world/us/trump-reports-over-14-billion-income-crypto-ventures-2026-06-30/</x:v>
      </x:c>
    </x:row>
    <x:row r="74" ht="39" customHeight="1">
      <x:c r="A74" s="9" t="str">
        <x:v>REF-0070</x:v>
      </x:c>
      <x:c r="B74" s="9" t="str">
        <x:v>Associated Press; Trump filing shows he took in about $1.2 billion…; 2026-07-01</x:v>
      </x:c>
      <x:c r="C74" s="9" t="str">
        <x:v>apnews.com</x:v>
      </x:c>
      <x:c r="D74" s="9" t="str">
        <x:v>Reference carried by the corpus</x:v>
      </x:c>
      <x:c r="E74" s="9" t="str">
        <x:v>Referenced in recovered corpus; source not independently rechecked in this edition</x:v>
      </x:c>
      <x:c r="F74" s="9" t="str">
        <x:v>T-03</x:v>
      </x:c>
      <x:c r="G74" s="9" t="str">
        <x:v>COR-046; COR-049; COR-051; COR-052; COR-064; COR-079</x:v>
      </x:c>
      <x:c r="H74" s="12" t="str">
        <x:f>IFERROR(HYPERLINK(I74,"Open source"),"Open source")</x:f>
        <x:v>Open source</x:v>
      </x:c>
      <x:c r="I74" s="11" t="str">
        <x:v>https://apnews.com/article/trump-financial-disclosure-crypto-060c15062b8fedc6104159ea13775463</x:v>
      </x:c>
    </x:row>
    <x:row r="75" ht="39" customHeight="1">
      <x:c r="A75" s="9" t="str">
        <x:v>REF-0071</x:v>
      </x:c>
      <x:c r="B75" s="9" t="str">
        <x:v>www.linkedin.com</x:v>
      </x:c>
      <x:c r="C75" s="9" t="str">
        <x:v>www.linkedin.com</x:v>
      </x:c>
      <x:c r="D75" s="9" t="str">
        <x:v>Reference carried by the corpus</x:v>
      </x:c>
      <x:c r="E75" s="9" t="str">
        <x:v>Referenced in recovered corpus; source not independently rechecked in this edition</x:v>
      </x:c>
      <x:c r="F75" s="9" t="str"/>
      <x:c r="G75" s="9" t="str">
        <x:v>COR-046</x:v>
      </x:c>
      <x:c r="H75" s="12" t="str">
        <x:f>IFERROR(HYPERLINK(I75,"Open source"),"Open source")</x:f>
        <x:v>Open source</x:v>
      </x:c>
      <x:c r="I75" s="11" t="str">
        <x:v>https://www.linkedin.com/posts/cnbc_trumps-annual-financial-disclosure-shows-activity-7477851228585238528-6Ysw</x:v>
      </x:c>
    </x:row>
    <x:row r="76" ht="39" customHeight="1">
      <x:c r="A76" s="9" t="str">
        <x:v>REF-0072</x:v>
      </x:c>
      <x:c r="B76" s="9" t="str">
        <x:v>www.theguardian.com</x:v>
      </x:c>
      <x:c r="C76" s="9" t="str">
        <x:v>www.theguardian.com</x:v>
      </x:c>
      <x:c r="D76" s="9" t="str">
        <x:v>Reference carried by the corpus</x:v>
      </x:c>
      <x:c r="E76" s="9" t="str">
        <x:v>Referenced in recovered corpus; source not independently rechecked in this edition</x:v>
      </x:c>
      <x:c r="F76" s="9" t="str"/>
      <x:c r="G76" s="9" t="str">
        <x:v>COR-046; COR-064</x:v>
      </x:c>
      <x:c r="H76" s="12" t="str">
        <x:f>IFERROR(HYPERLINK(I76,"Open source"),"Open source")</x:f>
        <x:v>Open source</x:v>
      </x:c>
      <x:c r="I76" s="11" t="str">
        <x:v>https://www.theguardian.com/technology/2026/jun/20/trump-elon-musk-peter-thiel-retreat</x:v>
      </x:c>
    </x:row>
    <x:row r="77" ht="39" customHeight="1">
      <x:c r="A77" s="9" t="str">
        <x:v>REF-0073</x:v>
      </x:c>
      <x:c r="B77" s="9" t="str">
        <x:v>www.oge.gov</x:v>
      </x:c>
      <x:c r="C77" s="9" t="str">
        <x:v>www.oge.gov</x:v>
      </x:c>
      <x:c r="D77" s="9" t="str">
        <x:v>Government / court / official source</x:v>
      </x:c>
      <x:c r="E77" s="9" t="str">
        <x:v>Referenced in recovered corpus; source not independently rechecked in this edition</x:v>
      </x:c>
      <x:c r="F77" s="9" t="str"/>
      <x:c r="G77" s="9" t="str">
        <x:v>COR-046; COR-049</x:v>
      </x:c>
      <x:c r="H77" s="12" t="str">
        <x:f>IFERROR(HYPERLINK(I77,"Open source"),"Open source")</x:f>
        <x:v>Open source</x:v>
      </x:c>
      <x:c r="I77" s="11" t="str">
        <x:v>https://www.oge.gov/web/oge.nsf/Resources/Analyzing%2BPotential%2BConflicts%2Bof%2BInterest</x:v>
      </x:c>
    </x:row>
    <x:row r="78" ht="39" customHeight="1">
      <x:c r="A78" s="9" t="str">
        <x:v>REF-0074</x:v>
      </x:c>
      <x:c r="B78" s="9" t="str">
        <x:v>www2.oge.gov</x:v>
      </x:c>
      <x:c r="C78" s="9" t="str">
        <x:v>www2.oge.gov</x:v>
      </x:c>
      <x:c r="D78" s="9" t="str">
        <x:v>Government / court / official source</x:v>
      </x:c>
      <x:c r="E78" s="9" t="str">
        <x:v>Referenced in recovered corpus; source not independently rechecked in this edition</x:v>
      </x:c>
      <x:c r="F78" s="9" t="str"/>
      <x:c r="G78" s="9" t="str">
        <x:v>COR-046; COR-049; COR-064</x:v>
      </x:c>
      <x:c r="H78" s="12" t="str">
        <x:f>IFERROR(HYPERLINK(I78,"Open source"),"Open source")</x:f>
        <x:v>Open source</x:v>
      </x:c>
      <x:c r="I78" s="11" t="str">
        <x:v>https://www2.oge.gov/web/oge.nsf/Resources/5%2BC.F.R.%2BPart%2B2640%3A%2BInterpretation%2C%2BExemptions%2C%2BWaiver%2BGuidance%2BConcerning%2B18%2BU.S.C.%2B208%2B%28Acts%2BAffecting%2Ba%2BPersonal%2BFinancial%2BInterest%29</x:v>
      </x:c>
    </x:row>
    <x:row r="79" ht="39" customHeight="1">
      <x:c r="A79" s="9" t="str">
        <x:v>REF-0075</x:v>
      </x:c>
      <x:c r="B79" s="9" t="str">
        <x:v>OGE Form 201 request route</x:v>
      </x:c>
      <x:c r="C79" s="9" t="str">
        <x:v>www.oge.gov</x:v>
      </x:c>
      <x:c r="D79" s="9" t="str">
        <x:v>Government / court / official source</x:v>
      </x:c>
      <x:c r="E79" s="9" t="str">
        <x:v>Referenced in recovered corpus; source not independently rechecked in this edition</x:v>
      </x:c>
      <x:c r="F79" s="9" t="str"/>
      <x:c r="G79" s="9" t="str">
        <x:v>COR-010; COR-015; COR-021; COR-046</x:v>
      </x:c>
      <x:c r="H79" s="12" t="str">
        <x:f>IFERROR(HYPERLINK(I79,"Open source"),"Open source")</x:f>
        <x:v>Open source</x:v>
      </x:c>
      <x:c r="I79" s="11" t="str">
        <x:v>https://www.oge.gov/web/oge.nsf/Resources/OGE%2BForm%2B201%3A%2BRequest%2Ban%2BIndividual%E2%80%99s%2BEthics%2BDocuments</x:v>
      </x:c>
    </x:row>
    <x:row r="80" ht="39" customHeight="1">
      <x:c r="A80" s="9" t="str">
        <x:v>REF-0076</x:v>
      </x:c>
      <x:c r="B80" s="9" t="str">
        <x:v>Senate roll call</x:v>
      </x:c>
      <x:c r="C80" s="9" t="str">
        <x:v>www.senate.gov</x:v>
      </x:c>
      <x:c r="D80" s="9" t="str">
        <x:v>Government / court / official source</x:v>
      </x:c>
      <x:c r="E80" s="9" t="str">
        <x:v>Referenced in recovered corpus; source not independently rechecked in this edition</x:v>
      </x:c>
      <x:c r="F80" s="9" t="str"/>
      <x:c r="G80" s="9" t="str">
        <x:v>COR-010; COR-046</x:v>
      </x:c>
      <x:c r="H80" s="12" t="str">
        <x:f>IFERROR(HYPERLINK(I80,"Open source"),"Open source")</x:f>
        <x:v>Open source</x:v>
      </x:c>
      <x:c r="I80" s="11" t="str">
        <x:v>https://www.senate.gov/legislative/LIS/roll_call_votes/vote1192/vote_119_2_00230.htm</x:v>
      </x:c>
    </x:row>
    <x:row r="81" ht="39" customHeight="1">
      <x:c r="A81" s="9" t="str">
        <x:v>REF-0077</x:v>
      </x:c>
      <x:c r="B81" s="9" t="str">
        <x:v>DOJ Attorney General profile</x:v>
      </x:c>
      <x:c r="C81" s="9" t="str">
        <x:v>www.justice.gov</x:v>
      </x:c>
      <x:c r="D81" s="9" t="str">
        <x:v>Government / court / official source</x:v>
      </x:c>
      <x:c r="E81" s="9" t="str">
        <x:v>Referenced in recovered corpus; source not independently rechecked in this edition</x:v>
      </x:c>
      <x:c r="F81" s="9" t="str"/>
      <x:c r="G81" s="9" t="str">
        <x:v>COR-010; COR-046</x:v>
      </x:c>
      <x:c r="H81" s="12" t="str">
        <x:f>IFERROR(HYPERLINK(I81,"Open source"),"Open source")</x:f>
        <x:v>Open source</x:v>
      </x:c>
      <x:c r="I81" s="11" t="str">
        <x:v>https://www.justice.gov/ag/staff-profile/meet-attorney-general</x:v>
      </x:c>
    </x:row>
    <x:row r="82" ht="39" customHeight="1">
      <x:c r="A82" s="9" t="str">
        <x:v>REF-0078</x:v>
      </x:c>
      <x:c r="B82" s="9" t="str">
        <x:v>www.gsa.gov</x:v>
      </x:c>
      <x:c r="C82" s="9" t="str">
        <x:v>www.gsa.gov</x:v>
      </x:c>
      <x:c r="D82" s="9" t="str">
        <x:v>Government / court / official source</x:v>
      </x:c>
      <x:c r="E82" s="9" t="str">
        <x:v>Referenced in recovered corpus; source not independently rechecked in this edition</x:v>
      </x:c>
      <x:c r="F82" s="9" t="str"/>
      <x:c r="G82" s="9" t="str">
        <x:v>COR-048; COR-070</x:v>
      </x:c>
      <x:c r="H82" s="12" t="str">
        <x:f>IFERROR(HYPERLINK(I82,"Open source"),"Open source")</x:f>
        <x:v>Open source</x:v>
      </x:c>
      <x:c r="I82" s="11" t="str">
        <x:v>https://www.gsa.gov/about-gsa/organization/leadership-directory/acting-director-for-technology-transformation-services</x:v>
      </x:c>
    </x:row>
    <x:row r="83" ht="39" customHeight="1">
      <x:c r="A83" s="9" t="str">
        <x:v>REF-0079</x:v>
      </x:c>
      <x:c r="B83" s="9" t="str">
        <x:v>www.oge.gov</x:v>
      </x:c>
      <x:c r="C83" s="9" t="str">
        <x:v>www.oge.gov</x:v>
      </x:c>
      <x:c r="D83" s="9" t="str">
        <x:v>Government / court / official source</x:v>
      </x:c>
      <x:c r="E83" s="9" t="str">
        <x:v>Referenced in recovered corpus; source not independently rechecked in this edition</x:v>
      </x:c>
      <x:c r="F83" s="9" t="str"/>
      <x:c r="G83" s="9" t="str">
        <x:v>COR-049; COR-064</x:v>
      </x:c>
      <x:c r="H83" s="12" t="str">
        <x:f>IFERROR(HYPERLINK(I83,"Open source"),"Open source")</x:f>
        <x:v>Open source</x:v>
      </x:c>
      <x:c r="I83" s="11" t="str">
        <x:v>https://www.oge.gov/web/oge.nsf/Resources/Now%2BAvailable%3A%2BThe%2BPresident%E2%80%99s%2Band%2BVice%2BPresident%E2%80%99s%2Bcertified%2Bannual%2Bfinancial%2Bdisclosure%2Breports</x:v>
      </x:c>
    </x:row>
    <x:row r="84" ht="39" customHeight="1">
      <x:c r="A84" s="9" t="str">
        <x:v>REF-0080</x:v>
      </x:c>
      <x:c r="B84" s="9" t="str">
        <x:v>www.opb.org</x:v>
      </x:c>
      <x:c r="C84" s="9" t="str">
        <x:v>www.opb.org</x:v>
      </x:c>
      <x:c r="D84" s="9" t="str">
        <x:v>Reference carried by the corpus</x:v>
      </x:c>
      <x:c r="E84" s="9" t="str">
        <x:v>Referenced in recovered corpus; source not independently rechecked in this edition</x:v>
      </x:c>
      <x:c r="F84" s="9" t="str"/>
      <x:c r="G84" s="9" t="str">
        <x:v>COR-049</x:v>
      </x:c>
      <x:c r="H84" s="12" t="str">
        <x:f>IFERROR(HYPERLINK(I84,"Open source"),"Open source")</x:f>
        <x:v>Open source</x:v>
      </x:c>
      <x:c r="I84" s="11" t="str">
        <x:v>https://www.opb.org/article/2026/07/17/ice-shared-medicaid-data-it-shouldnt-have-with-palantir/</x:v>
      </x:c>
    </x:row>
    <x:row r="85" ht="39" customHeight="1">
      <x:c r="A85" s="9" t="str">
        <x:v>REF-0081</x:v>
      </x:c>
      <x:c r="B85" s="9" t="str">
        <x:v>Declaration of Anna Rich, same docket, ECF 182-1; filed 2026-07</x:v>
      </x:c>
      <x:c r="C85" s="9" t="str">
        <x:v>www.courtlistener.com</x:v>
      </x:c>
      <x:c r="D85" s="9" t="str">
        <x:v>Reference carried by the corpus</x:v>
      </x:c>
      <x:c r="E85" s="9" t="str">
        <x:v>Referenced in recovered corpus; source not independently rechecked in this edition</x:v>
      </x:c>
      <x:c r="F85" s="9" t="str">
        <x:v>A-02</x:v>
      </x:c>
      <x:c r="G85" s="9" t="str">
        <x:v>COR-049; COR-051; COR-052; COR-058; COR-079</x:v>
      </x:c>
      <x:c r="H85" s="12" t="str">
        <x:f>IFERROR(HYPERLINK(I85,"Open source"),"Open source")</x:f>
        <x:v>Open source</x:v>
      </x:c>
      <x:c r="I85" s="11" t="str">
        <x:v>https://www.courtlistener.com/docket/70687026/182/1/state-of-california-v-us-department-of-health-and-human-services/</x:v>
      </x:c>
    </x:row>
    <x:row r="86" ht="39" customHeight="1">
      <x:c r="A86" s="9" t="str">
        <x:v>REF-0082</x:v>
      </x:c>
      <x:c r="B86" s="9" t="str">
        <x:v>Same docket, ECF 182-2; redacted Exhibit A; filed 2026-07</x:v>
      </x:c>
      <x:c r="C86" s="9" t="str">
        <x:v>www.courtlistener.com</x:v>
      </x:c>
      <x:c r="D86" s="9" t="str">
        <x:v>Reference carried by the corpus</x:v>
      </x:c>
      <x:c r="E86" s="9" t="str">
        <x:v>Referenced in recovered corpus; source not independently rechecked in this edition</x:v>
      </x:c>
      <x:c r="F86" s="9" t="str">
        <x:v>P-07</x:v>
      </x:c>
      <x:c r="G86" s="9" t="str">
        <x:v>COR-049; COR-051; COR-052; COR-058; COR-079</x:v>
      </x:c>
      <x:c r="H86" s="12" t="str">
        <x:f>IFERROR(HYPERLINK(I86,"Open source"),"Open source")</x:f>
        <x:v>Open source</x:v>
      </x:c>
      <x:c r="I86" s="11" t="str">
        <x:v>https://www.courtlistener.com/docket/70687026/182/2/state-of-california-v-us-department-of-health-and-human-services/</x:v>
      </x:c>
    </x:row>
    <x:row r="87" ht="39" customHeight="1">
      <x:c r="A87" s="9" t="str">
        <x:v>REF-0083</x:v>
      </x:c>
      <x:c r="B87" s="9" t="str">
        <x:v>Nextgov/FCW; Greg Barbaccia to return to Palantir after leaving government; 2026-07-31</x:v>
      </x:c>
      <x:c r="C87" s="9" t="str">
        <x:v>www.nextgov.com</x:v>
      </x:c>
      <x:c r="D87" s="9" t="str">
        <x:v>Reference carried by the corpus</x:v>
      </x:c>
      <x:c r="E87" s="9" t="str">
        <x:v>Referenced in recovered corpus; source not independently rechecked in this edition</x:v>
      </x:c>
      <x:c r="F87" s="9" t="str">
        <x:v>V-04</x:v>
      </x:c>
      <x:c r="G87" s="9" t="str">
        <x:v>COR-049; COR-051; COR-052; COR-064; COR-079</x:v>
      </x:c>
      <x:c r="H87" s="12" t="str">
        <x:f>IFERROR(HYPERLINK(I87,"Open source"),"Open source")</x:f>
        <x:v>Open source</x:v>
      </x:c>
      <x:c r="I87" s="11" t="str">
        <x:v>https://www.nextgov.com/people/2026/07/greg-barbaccia-return-palantir-after-leaving-government/415149/</x:v>
      </x:c>
    </x:row>
    <x:row r="88" ht="39" customHeight="1">
      <x:c r="A88" s="9" t="str">
        <x:v>REF-0084</x:v>
      </x:c>
      <x:c r="B88" s="9" t="str">
        <x:v>Axios; Dialog, a secretive forum, plans D.C.-area campus; 2025-08-07</x:v>
      </x:c>
      <x:c r="C88" s="9" t="str">
        <x:v>www.axios.com</x:v>
      </x:c>
      <x:c r="D88" s="9" t="str">
        <x:v>Reference carried by the corpus</x:v>
      </x:c>
      <x:c r="E88" s="9" t="str">
        <x:v>Referenced in recovered corpus; source not independently rechecked in this edition</x:v>
      </x:c>
      <x:c r="F88" s="9" t="str">
        <x:v>PA-V06</x:v>
      </x:c>
      <x:c r="G88" s="9" t="str">
        <x:v>COR-049; COR-051; COR-052; COR-058; COR-079</x:v>
      </x:c>
      <x:c r="H88" s="12" t="str">
        <x:f>IFERROR(HYPERLINK(I88,"Open source"),"Open source")</x:f>
        <x:v>Open source</x:v>
      </x:c>
      <x:c r="I88" s="11" t="str">
        <x:v>https://www.axios.com/2025/08/07/dialog-secret-network-thiel-hoffman</x:v>
      </x:c>
    </x:row>
    <x:row r="89" ht="39" customHeight="1">
      <x:c r="A89" s="9" t="str">
        <x:v>REF-0085</x:v>
      </x:c>
      <x:c r="B89" s="9" t="str">
        <x:v>OGE Officials’ Individual Disclosures Search Collection</x:v>
      </x:c>
      <x:c r="C89" s="9" t="str">
        <x:v>www.oge.gov</x:v>
      </x:c>
      <x:c r="D89" s="9" t="str">
        <x:v>Government / court / official source</x:v>
      </x:c>
      <x:c r="E89" s="9" t="str">
        <x:v>Referenced in recovered corpus; source not independently rechecked in this edition</x:v>
      </x:c>
      <x:c r="F89" s="9" t="str"/>
      <x:c r="G89" s="9" t="str">
        <x:v>COR-010; COR-015; COR-021; COR-049; COR-064</x:v>
      </x:c>
      <x:c r="H89" s="12" t="str">
        <x:f>IFERROR(HYPERLINK(I89,"Open source"),"Open source")</x:f>
        <x:v>Open source</x:v>
      </x:c>
      <x:c r="I89" s="11" t="str">
        <x:v>https://www.oge.gov/web/oge.nsf/Officials%20Individual%20Disclosures%20Search%20Collection?OpenForm=</x:v>
      </x:c>
    </x:row>
    <x:row r="90" ht="39" customHeight="1">
      <x:c r="A90" s="9" t="str">
        <x:v>REF-0086</x:v>
      </x:c>
      <x:c r="B90" s="9" t="str">
        <x:v>uscode.house.gov</x:v>
      </x:c>
      <x:c r="C90" s="9" t="str">
        <x:v>uscode.house.gov</x:v>
      </x:c>
      <x:c r="D90" s="9" t="str">
        <x:v>Government / court / official source</x:v>
      </x:c>
      <x:c r="E90" s="9" t="str">
        <x:v>Referenced in recovered corpus; source not independently rechecked in this edition</x:v>
      </x:c>
      <x:c r="F90" s="9" t="str"/>
      <x:c r="G90" s="9" t="str">
        <x:v>COR-051; COR-079</x:v>
      </x:c>
      <x:c r="H90" s="12" t="str">
        <x:f>IFERROR(HYPERLINK(I90,"Open source"),"Open source")</x:f>
        <x:v>Open source</x:v>
      </x:c>
      <x:c r="I90" s="11" t="str">
        <x:v>https://uscode.house.gov/view.xhtml?req=%28title%3A18+section%3A208+edition%3Aprelim%29</x:v>
      </x:c>
    </x:row>
    <x:row r="91" ht="39" customHeight="1">
      <x:c r="A91" s="9" t="str">
        <x:v>REF-0087</x:v>
      </x:c>
      <x:c r="B91" s="9" t="str">
        <x:v>www.oge.gov</x:v>
      </x:c>
      <x:c r="C91" s="9" t="str">
        <x:v>www.oge.gov</x:v>
      </x:c>
      <x:c r="D91" s="9" t="str">
        <x:v>Government / court / official source</x:v>
      </x:c>
      <x:c r="E91" s="9" t="str">
        <x:v>Referenced in recovered corpus; source not independently rechecked in this edition</x:v>
      </x:c>
      <x:c r="F91" s="9" t="str"/>
      <x:c r="G91" s="9" t="str">
        <x:v>COR-051; COR-079</x:v>
      </x:c>
      <x:c r="H91" s="12" t="str">
        <x:f>IFERROR(HYPERLINK(I91,"Open source"),"Open source")</x:f>
        <x:v>Open source</x:v>
      </x:c>
      <x:c r="I91" s="11" t="str">
        <x:v>https://www.oge.gov/web/oge.nsf/Resources/5%2BC.F.R.%2BPart%2B2640%3A%2BInterpretation%2C%2BExemptions%2BWaiver%2BGuidance%2BConcerning%2B18%2BU.S.C.%2B208%2B%28Acts%2BAffecting%2Ba%2BPersonal%2BFinancial%2BInterest%29</x:v>
      </x:c>
    </x:row>
    <x:row r="92" ht="39" customHeight="1">
      <x:c r="A92" s="9" t="str">
        <x:v>REF-0088</x:v>
      </x:c>
      <x:c r="B92" s="9" t="str">
        <x:v>extapps2.oge.gov</x:v>
      </x:c>
      <x:c r="C92" s="9" t="str">
        <x:v>extapps2.oge.gov</x:v>
      </x:c>
      <x:c r="D92" s="9" t="str">
        <x:v>Government / court / official source</x:v>
      </x:c>
      <x:c r="E92" s="9" t="str">
        <x:v>Referenced in recovered corpus; source not independently rechecked in this edition</x:v>
      </x:c>
      <x:c r="F92" s="9" t="str"/>
      <x:c r="G92" s="9" t="str">
        <x:v>COR-051; COR-079</x:v>
      </x:c>
      <x:c r="H92" s="12" t="str">
        <x:f>IFERROR(HYPERLINK(I92,"Open source"),"Open source")</x:f>
        <x:v>Open source</x:v>
      </x:c>
      <x:c r="I92" s="11" t="str">
        <x:v>https://extapps2.oge.gov/Training/OGETraining.nsf/0/FFB38ABC6D2E9F9885258AAF0055EE44</x:v>
      </x:c>
    </x:row>
    <x:row r="93" ht="39" customHeight="1">
      <x:c r="A93" s="9" t="str">
        <x:v>REF-0089</x:v>
      </x:c>
      <x:c r="B93" s="9" t="str">
        <x:v>uscode.house.gov</x:v>
      </x:c>
      <x:c r="C93" s="9" t="str">
        <x:v>uscode.house.gov</x:v>
      </x:c>
      <x:c r="D93" s="9" t="str">
        <x:v>Government / court / official source</x:v>
      </x:c>
      <x:c r="E93" s="9" t="str">
        <x:v>Referenced in recovered corpus; source not independently rechecked in this edition</x:v>
      </x:c>
      <x:c r="F93" s="9" t="str"/>
      <x:c r="G93" s="9" t="str">
        <x:v>COR-051; COR-079</x:v>
      </x:c>
      <x:c r="H93" s="12" t="str">
        <x:f>IFERROR(HYPERLINK(I93,"Open source"),"Open source")</x:f>
        <x:v>Open source</x:v>
      </x:c>
      <x:c r="I93" s="11" t="str">
        <x:v>https://uscode.house.gov/view.xhtml?edition=prelim&amp;num=0&amp;req=granuleid%3AUSC-prelim-title44-section3602</x:v>
      </x:c>
    </x:row>
    <x:row r="94" ht="39" customHeight="1">
      <x:c r="A94" s="9" t="str">
        <x:v>REF-0090</x:v>
      </x:c>
      <x:c r="B94" s="9" t="str">
        <x:v>www.oge.gov</x:v>
      </x:c>
      <x:c r="C94" s="9" t="str">
        <x:v>www.oge.gov</x:v>
      </x:c>
      <x:c r="D94" s="9" t="str">
        <x:v>Government / court / official source</x:v>
      </x:c>
      <x:c r="E94" s="9" t="str">
        <x:v>Referenced in recovered corpus; source not independently rechecked in this edition</x:v>
      </x:c>
      <x:c r="F94" s="9" t="str"/>
      <x:c r="G94" s="9" t="str">
        <x:v>COR-051; COR-079</x:v>
      </x:c>
      <x:c r="H94" s="12" t="str">
        <x:f>IFERROR(HYPERLINK(I94,"Open source"),"Open source")</x:f>
        <x:v>Open source</x:v>
      </x:c>
      <x:c r="I94" s="11" t="str">
        <x:v>https://www.oge.gov/web/OGE.nsf/publicresources_disclosure-faq</x:v>
      </x:c>
    </x:row>
    <x:row r="95" ht="39" customHeight="1">
      <x:c r="A95" s="9" t="str">
        <x:v>REF-0091</x:v>
      </x:c>
      <x:c r="B95" s="9" t="str">
        <x:v>uscode.house.gov</x:v>
      </x:c>
      <x:c r="C95" s="9" t="str">
        <x:v>uscode.house.gov</x:v>
      </x:c>
      <x:c r="D95" s="9" t="str">
        <x:v>Government / court / official source</x:v>
      </x:c>
      <x:c r="E95" s="9" t="str">
        <x:v>Referenced in recovered corpus; source not independently rechecked in this edition</x:v>
      </x:c>
      <x:c r="F95" s="9" t="str"/>
      <x:c r="G95" s="9" t="str">
        <x:v>COR-051; COR-079</x:v>
      </x:c>
      <x:c r="H95" s="12" t="str">
        <x:f>IFERROR(HYPERLINK(I95,"Open source"),"Open source")</x:f>
        <x:v>Open source</x:v>
      </x:c>
      <x:c r="I95" s="11" t="str">
        <x:v>https://uscode.house.gov/view.xhtml?req=%28title%3A28%20section%3A455%20edition%3Aprelim%29</x:v>
      </x:c>
    </x:row>
    <x:row r="96" ht="39" customHeight="1">
      <x:c r="A96" s="9" t="str">
        <x:v>REF-0092</x:v>
      </x:c>
      <x:c r="B96" s="9" t="str">
        <x:v>DOJ OPA; Attorney General Pamela Bondi Hosts First Task Force Meeting…; 2025-04-22; official release</x:v>
      </x:c>
      <x:c r="C96" s="9" t="str">
        <x:v>www.justice.gov</x:v>
      </x:c>
      <x:c r="D96" s="9" t="str">
        <x:v>Government / court / official source</x:v>
      </x:c>
      <x:c r="E96" s="9" t="str">
        <x:v>Referenced in recovered corpus; source not independently rechecked in this edition</x:v>
      </x:c>
      <x:c r="F96" s="9" t="str">
        <x:v>R-04</x:v>
      </x:c>
      <x:c r="G96" s="9" t="str">
        <x:v>COR-051; COR-052; COR-079</x:v>
      </x:c>
      <x:c r="H96" s="12" t="str">
        <x:f>IFERROR(HYPERLINK(I96,"Open source"),"Open source")</x:f>
        <x:v>Open source</x:v>
      </x:c>
      <x:c r="I96" s="11" t="str">
        <x:v>https://www.justice.gov/opa/pr/attorney-general-pamela-bondi-hosts-first-task-force-meeting-eradicate-anti-christian-bias</x:v>
      </x:c>
    </x:row>
    <x:row r="97" ht="39" customHeight="1">
      <x:c r="A97" s="9" t="str">
        <x:v>REF-0093</x:v>
      </x:c>
      <x:c r="B97" s="9" t="str">
        <x:v>Executive Order 14291, “Establishment of the Religious Liberty Commission”</x:v>
      </x:c>
      <x:c r="C97" s="9" t="str">
        <x:v>www.whitehouse.gov</x:v>
      </x:c>
      <x:c r="D97" s="9" t="str">
        <x:v>Government / court / official source</x:v>
      </x:c>
      <x:c r="E97" s="9" t="str">
        <x:v>Referenced in recovered corpus; source not independently rechecked in this edition</x:v>
      </x:c>
      <x:c r="F97" s="9" t="str"/>
      <x:c r="G97" s="9" t="str">
        <x:v>COR-051; COR-058; COR-079</x:v>
      </x:c>
      <x:c r="H97" s="12" t="str">
        <x:f>IFERROR(HYPERLINK(I97,"Open source"),"Open source")</x:f>
        <x:v>Open source</x:v>
      </x:c>
      <x:c r="I97" s="11" t="str">
        <x:v>https://www.whitehouse.gov/presidential-actions/2025/05/establishment-of-the-religious-liberty-commission/</x:v>
      </x:c>
    </x:row>
    <x:row r="98" ht="39" customHeight="1">
      <x:c r="A98" s="9" t="str">
        <x:v>REF-0094</x:v>
      </x:c>
      <x:c r="B98" s="9" t="str">
        <x:v>www.justice.gov</x:v>
      </x:c>
      <x:c r="C98" s="9" t="str">
        <x:v>www.justice.gov</x:v>
      </x:c>
      <x:c r="D98" s="9" t="str">
        <x:v>Government / court / official source</x:v>
      </x:c>
      <x:c r="E98" s="9" t="str">
        <x:v>Referenced in recovered corpus; source not independently rechecked in this edition</x:v>
      </x:c>
      <x:c r="F98" s="9" t="str"/>
      <x:c r="G98" s="9" t="str">
        <x:v>COR-051; COR-079</x:v>
      </x:c>
      <x:c r="H98" s="12" t="str">
        <x:f>IFERROR(HYPERLINK(I98,"Open source"),"Open source")</x:f>
        <x:v>Open source</x:v>
      </x:c>
      <x:c r="I98" s="11" t="str">
        <x:v>https://www.justice.gov/d9/2026-04/2026-task-force-report-eradicating-anti-christian-bias-within-the-federal-government-508_0.pdf</x:v>
      </x:c>
    </x:row>
    <x:row r="99" ht="39" customHeight="1">
      <x:c r="A99" s="9" t="str">
        <x:v>REF-0095</x:v>
      </x:c>
      <x:c r="B99" s="9" t="str">
        <x:v>Deputy AG Todd Blanche/DOJ; Ending Regulation By Prosecution; 2025-04-07; memorandum</x:v>
      </x:c>
      <x:c r="C99" s="9" t="str">
        <x:v>www.justice.gov</x:v>
      </x:c>
      <x:c r="D99" s="9" t="str">
        <x:v>Government / court / official source</x:v>
      </x:c>
      <x:c r="E99" s="9" t="str">
        <x:v>Checked in this edition</x:v>
      </x:c>
      <x:c r="F99" s="9" t="str"/>
      <x:c r="G99" s="9" t="str">
        <x:v>COR-051; COR-058; COR-079</x:v>
      </x:c>
      <x:c r="H99" s="12" t="str">
        <x:f>IFERROR(HYPERLINK(I99,"Open source"),"Open source")</x:f>
        <x:v>Open source</x:v>
      </x:c>
      <x:c r="I99" s="11" t="str">
        <x:v>https://www.justice.gov/dag/media/1395781/dl</x:v>
      </x:c>
    </x:row>
    <x:row r="100" ht="39" customHeight="1">
      <x:c r="A100" s="9" t="str">
        <x:v>REF-0096</x:v>
      </x:c>
      <x:c r="B100" s="9" t="str">
        <x:v>OGE; Todd Blanche OGE Form 278-T; filed 2025-06-03, certified 2025-07-10</x:v>
      </x:c>
      <x:c r="C100" s="9" t="str">
        <x:v>extapps2.oge.gov</x:v>
      </x:c>
      <x:c r="D100" s="9" t="str">
        <x:v>Government / court / official source</x:v>
      </x:c>
      <x:c r="E100" s="9" t="str">
        <x:v>Checked in this edition</x:v>
      </x:c>
      <x:c r="F100" s="9" t="str">
        <x:v>C-04</x:v>
      </x:c>
      <x:c r="G100" s="9" t="str">
        <x:v>COR-010; COR-051; COR-052; COR-058; COR-079</x:v>
      </x:c>
      <x:c r="H100" s="12" t="str">
        <x:f>IFERROR(HYPERLINK(I100,"Open source"),"Open source")</x:f>
        <x:v>Open source</x:v>
      </x:c>
      <x:c r="I100" s="11" t="str">
        <x:v>https://extapps2.oge.gov/201/Presiden.nsf/PAS+Index/9E22E6BED062C62D85258CC5002C7DEA/$FILE/Todd-Blanche-06.03.2025-278T.pdf</x:v>
      </x:c>
    </x:row>
    <x:row r="101" ht="39" customHeight="1">
      <x:c r="A101" s="9" t="str">
        <x:v>REF-0097</x:v>
      </x:c>
      <x:c r="B101" s="9" t="str">
        <x:v>report on the chronology and DOJ’s clearance position</x:v>
      </x:c>
      <x:c r="C101" s="9" t="str">
        <x:v>www.propublica.org</x:v>
      </x:c>
      <x:c r="D101" s="9" t="str">
        <x:v>Reference carried by the corpus</x:v>
      </x:c>
      <x:c r="E101" s="9" t="str">
        <x:v>Referenced in recovered corpus; source not independently rechecked in this edition</x:v>
      </x:c>
      <x:c r="F101" s="9" t="str"/>
      <x:c r="G101" s="9" t="str">
        <x:v>COR-010; COR-051; COR-058; COR-079</x:v>
      </x:c>
      <x:c r="H101" s="12" t="str">
        <x:f>IFERROR(HYPERLINK(I101,"Open source"),"Open source")</x:f>
        <x:v>Open source</x:v>
      </x:c>
      <x:c r="I101" s="11" t="str">
        <x:v>https://www.propublica.org/article/todd-blanche-crypto-doj-trump</x:v>
      </x:c>
    </x:row>
    <x:row r="102" ht="39" customHeight="1">
      <x:c r="A102" s="9" t="str">
        <x:v>REF-0098</x:v>
      </x:c>
      <x:c r="B102" s="9" t="str">
        <x:v>www.hirono.senate.gov</x:v>
      </x:c>
      <x:c r="C102" s="9" t="str">
        <x:v>www.hirono.senate.gov</x:v>
      </x:c>
      <x:c r="D102" s="9" t="str">
        <x:v>Government / court / official source</x:v>
      </x:c>
      <x:c r="E102" s="9" t="str">
        <x:v>Referenced in recovered corpus; source not independently rechecked in this edition</x:v>
      </x:c>
      <x:c r="F102" s="9" t="str"/>
      <x:c r="G102" s="9" t="str">
        <x:v>COR-051; COR-079</x:v>
      </x:c>
      <x:c r="H102" s="12" t="str">
        <x:f>IFERROR(HYPERLINK(I102,"Open source"),"Open source")</x:f>
        <x:v>Open source</x:v>
      </x:c>
      <x:c r="I102" s="11" t="str">
        <x:v>https://www.hirono.senate.gov/imo/media/doc/20260128ltrfromsenatorstodagrecryptocurrencyconflicts.pdf</x:v>
      </x:c>
    </x:row>
    <x:row r="103" ht="39" customHeight="1">
      <x:c r="A103" s="9" t="str">
        <x:v>REF-0099</x:v>
      </x:c>
      <x:c r="B103" s="9" t="str">
        <x:v>Senate Judiciary Committee Democrats; oversight-status release; 2026-07-01</x:v>
      </x:c>
      <x:c r="C103" s="9" t="str">
        <x:v>www.judiciary.senate.gov</x:v>
      </x:c>
      <x:c r="D103" s="9" t="str">
        <x:v>Government / court / official source</x:v>
      </x:c>
      <x:c r="E103" s="9" t="str">
        <x:v>Referenced in recovered corpus; source not independently rechecked in this edition</x:v>
      </x:c>
      <x:c r="F103" s="9" t="str">
        <x:v>C-07</x:v>
      </x:c>
      <x:c r="G103" s="9" t="str">
        <x:v>COR-051; COR-052; COR-079</x:v>
      </x:c>
      <x:c r="H103" s="12" t="str">
        <x:f>IFERROR(HYPERLINK(I103,"Open source"),"Open source")</x:f>
        <x:v>Open source</x:v>
      </x:c>
      <x:c r="I103" s="11" t="str">
        <x:v>https://www.judiciary.senate.gov/press/dem/releases/senate-judiciary-democrats-demand-todd-blanche-answer-to-dozens-of-oversight-requests-ignored-by-justice-department</x:v>
      </x:c>
    </x:row>
    <x:row r="104" ht="39" customHeight="1">
      <x:c r="A104" s="9" t="str">
        <x:v>REF-0100</x:v>
      </x:c>
      <x:c r="B104" s="9" t="str">
        <x:v>campaignlegal.org</x:v>
      </x:c>
      <x:c r="C104" s="9" t="str">
        <x:v>campaignlegal.org</x:v>
      </x:c>
      <x:c r="D104" s="9" t="str">
        <x:v>Reference carried by the corpus</x:v>
      </x:c>
      <x:c r="E104" s="9" t="str">
        <x:v>Referenced in recovered corpus; source not independently rechecked in this edition</x:v>
      </x:c>
      <x:c r="F104" s="9" t="str"/>
      <x:c r="G104" s="9" t="str">
        <x:v>COR-051; COR-079</x:v>
      </x:c>
      <x:c r="H104" s="12" t="str">
        <x:f>IFERROR(HYPERLINK(I104,"Open source"),"Open source")</x:f>
        <x:v>Open source</x:v>
      </x:c>
      <x:c r="I104" s="11" t="str">
        <x:v>https://campaignlegal.org/document/clc-complaint-doj-inspector-general-regarding-deputy-ag-todd-blanche</x:v>
      </x:c>
    </x:row>
    <x:row r="105" ht="39" customHeight="1">
      <x:c r="A105" s="9" t="str">
        <x:v>REF-0101</x:v>
      </x:c>
      <x:c r="B105" s="9" t="str">
        <x:v>OGE; Donald J. Trump annual OGE Form 278e for 2025; received 2026-06-29</x:v>
      </x:c>
      <x:c r="C105" s="9" t="str">
        <x:v>extapps2.oge.gov</x:v>
      </x:c>
      <x:c r="D105" s="9" t="str">
        <x:v>Government / court / official source</x:v>
      </x:c>
      <x:c r="E105" s="9" t="str">
        <x:v>Referenced in recovered corpus; source not independently rechecked in this edition</x:v>
      </x:c>
      <x:c r="F105" s="9" t="str">
        <x:v>T-01</x:v>
      </x:c>
      <x:c r="G105" s="9" t="str">
        <x:v>COR-051; COR-052; COR-058; COR-079</x:v>
      </x:c>
      <x:c r="H105" s="12" t="str">
        <x:f>IFERROR(HYPERLINK(I105,"Open source"),"Open source")</x:f>
        <x:v>Open source</x:v>
      </x:c>
      <x:c r="I105" s="11" t="str">
        <x:v>https://extapps2.oge.gov/201/Presiden.nsf/PAS+Index/69AEAA9D7455ACD585258E27002DDEE1/$FILE/Donald-J-Trump-2026-278ANNUAL.pdf</x:v>
      </x:c>
    </x:row>
    <x:row r="106" ht="39" customHeight="1">
      <x:c r="A106" s="9" t="str">
        <x:v>REF-0102</x:v>
      </x:c>
      <x:c r="B106" s="9" t="str">
        <x:v>www.reuters.com</x:v>
      </x:c>
      <x:c r="C106" s="9" t="str">
        <x:v>www.reuters.com</x:v>
      </x:c>
      <x:c r="D106" s="9" t="str">
        <x:v>Reference carried by the corpus</x:v>
      </x:c>
      <x:c r="E106" s="9" t="str">
        <x:v>Referenced in recovered corpus; source not independently rechecked in this edition</x:v>
      </x:c>
      <x:c r="F106" s="9" t="str"/>
      <x:c r="G106" s="9" t="str">
        <x:v>COR-051; COR-079</x:v>
      </x:c>
      <x:c r="H106" s="12" t="str">
        <x:f>IFERROR(HYPERLINK(I106,"Open source"),"Open source")</x:f>
        <x:v>Open source</x:v>
      </x:c>
      <x:c r="I106" s="11" t="str">
        <x:v>https://www.reuters.com/world/us/trump-reports-more-than-14-billion-income-crypto-ventures-2026-06-30/</x:v>
      </x:c>
    </x:row>
    <x:row r="107" ht="39" customHeight="1">
      <x:c r="A107" s="9" t="str">
        <x:v>REF-0103</x:v>
      </x:c>
      <x:c r="B107" s="9" t="str">
        <x:v>White House; Strengthening American Leadership in Digital Financial Technology; 2025-01-23; Executive Order</x:v>
      </x:c>
      <x:c r="C107" s="9" t="str">
        <x:v>www.whitehouse.gov</x:v>
      </x:c>
      <x:c r="D107" s="9" t="str">
        <x:v>Government / court / official source</x:v>
      </x:c>
      <x:c r="E107" s="9" t="str">
        <x:v>Referenced in recovered corpus; source not independently rechecked in this edition</x:v>
      </x:c>
      <x:c r="F107" s="9" t="str">
        <x:v>T-04</x:v>
      </x:c>
      <x:c r="G107" s="9" t="str">
        <x:v>COR-051; COR-052; COR-058; COR-079</x:v>
      </x:c>
      <x:c r="H107" s="12" t="str">
        <x:f>IFERROR(HYPERLINK(I107,"Open source"),"Open source")</x:f>
        <x:v>Open source</x:v>
      </x:c>
      <x:c r="I107" s="11" t="str">
        <x:v>https://www.whitehouse.gov/presidential-actions/2025/01/strengthening-american-leadership-in-digital-financial-technology/</x:v>
      </x:c>
    </x:row>
    <x:row r="108" ht="39" customHeight="1">
      <x:c r="A108" s="9" t="str">
        <x:v>REF-0104</x:v>
      </x:c>
      <x:c r="B108" s="9" t="str">
        <x:v>“Establishment of the Strategic Bitcoin Reserve and United States Digital Asset Stockpile”</x:v>
      </x:c>
      <x:c r="C108" s="9" t="str">
        <x:v>www.whitehouse.gov</x:v>
      </x:c>
      <x:c r="D108" s="9" t="str">
        <x:v>Government / court / official source</x:v>
      </x:c>
      <x:c r="E108" s="9" t="str">
        <x:v>Referenced in recovered corpus; source not independently rechecked in this edition</x:v>
      </x:c>
      <x:c r="F108" s="9" t="str">
        <x:v>T-05</x:v>
      </x:c>
      <x:c r="G108" s="9" t="str">
        <x:v>COR-051; COR-052; COR-058; COR-079</x:v>
      </x:c>
      <x:c r="H108" s="12" t="str">
        <x:f>IFERROR(HYPERLINK(I108,"Open source"),"Open source")</x:f>
        <x:v>Open source</x:v>
      </x:c>
      <x:c r="I108" s="11" t="str">
        <x:v>https://www.whitehouse.gov/presidential-actions/2025/03/establishment-of-the-strategic-bitcoin-reserve-and-united-states-digital-asset-stockpile/</x:v>
      </x:c>
    </x:row>
    <x:row r="109" ht="39" customHeight="1">
      <x:c r="A109" s="9" t="str">
        <x:v>REF-0105</x:v>
      </x:c>
      <x:c r="B109" s="9" t="str">
        <x:v>www.prnewswire.com</x:v>
      </x:c>
      <x:c r="C109" s="9" t="str">
        <x:v>www.prnewswire.com</x:v>
      </x:c>
      <x:c r="D109" s="9" t="str">
        <x:v>Reference carried by the corpus</x:v>
      </x:c>
      <x:c r="E109" s="9" t="str">
        <x:v>Referenced in recovered corpus; source not independently rechecked in this edition</x:v>
      </x:c>
      <x:c r="F109" s="9" t="str"/>
      <x:c r="G109" s="9" t="str">
        <x:v>COR-051; COR-079</x:v>
      </x:c>
      <x:c r="H109" s="12" t="str">
        <x:f>IFERROR(HYPERLINK(I109,"Open source"),"Open source")</x:f>
        <x:v>Open source</x:v>
      </x:c>
      <x:c r="I109" s="11" t="str">
        <x:v>https://www.prnewswire.com/news-releases/mgx-backs-binance-in-landmark-investment-302400050.html</x:v>
      </x:c>
    </x:row>
    <x:row r="110" ht="39" customHeight="1">
      <x:c r="A110" s="9" t="str">
        <x:v>REF-0106</x:v>
      </x:c>
      <x:c r="B110" s="9" t="str">
        <x:v>USD1 transaction report</x:v>
      </x:c>
      <x:c r="C110" s="9" t="str">
        <x:v>www.theguardian.com</x:v>
      </x:c>
      <x:c r="D110" s="9" t="str">
        <x:v>Reference carried by the corpus</x:v>
      </x:c>
      <x:c r="E110" s="9" t="str">
        <x:v>Referenced in recovered corpus; source not independently rechecked in this edition</x:v>
      </x:c>
      <x:c r="F110" s="9" t="str"/>
      <x:c r="G110" s="9" t="str">
        <x:v>COR-051; COR-058; COR-079</x:v>
      </x:c>
      <x:c r="H110" s="12" t="str">
        <x:f>IFERROR(HYPERLINK(I110,"Open source"),"Open source")</x:f>
        <x:v>Open source</x:v>
      </x:c>
      <x:c r="I110" s="11" t="str">
        <x:v>https://www.theguardian.com/us-news/2025/may/02/abu-dhabi-firm-binance-trump-stablecoin</x:v>
      </x:c>
    </x:row>
    <x:row r="111" ht="39" customHeight="1">
      <x:c r="A111" s="9" t="str">
        <x:v>REF-0107</x:v>
      </x:c>
      <x:c r="B111" s="9" t="str">
        <x:v>Zhao pardon report</x:v>
      </x:c>
      <x:c r="C111" s="9" t="str">
        <x:v>apnews.com</x:v>
      </x:c>
      <x:c r="D111" s="9" t="str">
        <x:v>Reference carried by the corpus</x:v>
      </x:c>
      <x:c r="E111" s="9" t="str">
        <x:v>Referenced in recovered corpus; source not independently rechecked in this edition</x:v>
      </x:c>
      <x:c r="F111" s="9" t="str"/>
      <x:c r="G111" s="9" t="str">
        <x:v>COR-051; COR-058; COR-079</x:v>
      </x:c>
      <x:c r="H111" s="12" t="str">
        <x:f>IFERROR(HYPERLINK(I111,"Open source"),"Open source")</x:f>
        <x:v>Open source</x:v>
      </x:c>
      <x:c r="I111" s="11" t="str">
        <x:v>https://apnews.com/article/e1cb3fe516bc42b4c7ce5c107a280dc7</x:v>
      </x:c>
    </x:row>
    <x:row r="112" ht="39" customHeight="1">
      <x:c r="A112" s="9" t="str">
        <x:v>REF-0108</x:v>
      </x:c>
      <x:c r="B112" s="9" t="str">
        <x:v>www.banking.senate.gov</x:v>
      </x:c>
      <x:c r="C112" s="9" t="str">
        <x:v>www.banking.senate.gov</x:v>
      </x:c>
      <x:c r="D112" s="9" t="str">
        <x:v>Government / court / official source</x:v>
      </x:c>
      <x:c r="E112" s="9" t="str">
        <x:v>Referenced in recovered corpus; source not independently rechecked in this edition</x:v>
      </x:c>
      <x:c r="F112" s="9" t="str"/>
      <x:c r="G112" s="9" t="str">
        <x:v>COR-051; COR-079</x:v>
      </x:c>
      <x:c r="H112" s="12" t="str">
        <x:f>IFERROR(HYPERLINK(I112,"Open source"),"Open source")</x:f>
        <x:v>Open source</x:v>
      </x:c>
      <x:c r="I112" s="11" t="str">
        <x:v>https://www.banking.senate.gov/imo/media/doc/binancepardonletter.pdf</x:v>
      </x:c>
    </x:row>
    <x:row r="113" ht="39" customHeight="1">
      <x:c r="A113" s="9" t="str">
        <x:v>REF-0109</x:v>
      </x:c>
      <x:c r="B113" s="9" t="str">
        <x:v>ICE award 70CTD022FR0000170</x:v>
      </x:c>
      <x:c r="C113" s="9" t="str">
        <x:v>www.usaspending.gov</x:v>
      </x:c>
      <x:c r="D113" s="9" t="str">
        <x:v>Government / court / official source</x:v>
      </x:c>
      <x:c r="E113" s="9" t="str">
        <x:v>Referenced in recovered corpus; source not independently rechecked in this edition</x:v>
      </x:c>
      <x:c r="F113" s="9" t="str"/>
      <x:c r="G113" s="9" t="str">
        <x:v>COR-005; COR-051; COR-058; COR-079</x:v>
      </x:c>
      <x:c r="H113" s="12" t="str">
        <x:f>IFERROR(HYPERLINK(I113,"Open source"),"Open source")</x:f>
        <x:v>Open source</x:v>
      </x:c>
      <x:c r="I113" s="11" t="str">
        <x:v>https://www.usaspending.gov/award/CONT_AWD_70CTD022FR0000170_7012_GS35F0086U_4730</x:v>
      </x:c>
    </x:row>
    <x:row r="114" ht="39" customHeight="1">
      <x:c r="A114" s="9" t="str">
        <x:v>REF-0110</x:v>
      </x:c>
      <x:c r="B114" s="9" t="str">
        <x:v>2025 limited-sources justification</x:v>
      </x:c>
      <x:c r="C114" s="9" t="str">
        <x:v>iptp-production.s3.amazonaws.com</x:v>
      </x:c>
      <x:c r="D114" s="9" t="str">
        <x:v>Reference carried by the corpus</x:v>
      </x:c>
      <x:c r="E114" s="9" t="str">
        <x:v>Referenced in recovered corpus; source not independently rechecked in this edition</x:v>
      </x:c>
      <x:c r="F114" s="9" t="str"/>
      <x:c r="G114" s="9" t="str">
        <x:v>COR-051; COR-058; COR-079</x:v>
      </x:c>
      <x:c r="H114" s="12" t="str">
        <x:f>IFERROR(HYPERLINK(I114,"Open source"),"Open source")</x:f>
        <x:v>Open source</x:v>
      </x:c>
      <x:c r="I114" s="11" t="str">
        <x:v>https://iptp-production.s3.amazonaws.com/media/documents/2025.04.17_ICE_Limited_Sources_Justification_for_70CTD022FR0000170.pdf</x:v>
      </x:c>
    </x:row>
    <x:row r="115" ht="39" customHeight="1">
      <x:c r="A115" s="9" t="str">
        <x:v>REF-0111</x:v>
      </x:c>
      <x:c r="B115" s="9" t="str">
        <x:v>ICE/SAM; ICM and Investigative Analytics modernization notice; posted 2026-01-16; J&amp;A-25-0266</x:v>
      </x:c>
      <x:c r="C115" s="9" t="str">
        <x:v>sam.gov</x:v>
      </x:c>
      <x:c r="D115" s="9" t="str">
        <x:v>Government / court / official source</x:v>
      </x:c>
      <x:c r="E115" s="9" t="str">
        <x:v>Referenced in recovered corpus; source not independently rechecked in this edition</x:v>
      </x:c>
      <x:c r="F115" s="9" t="str">
        <x:v>P-03</x:v>
      </x:c>
      <x:c r="G115" s="9" t="str">
        <x:v>COR-051; COR-052; COR-058; COR-079</x:v>
      </x:c>
      <x:c r="H115" s="12" t="str">
        <x:f>IFERROR(HYPERLINK(I115,"Open source"),"Open source")</x:f>
        <x:v>Open source</x:v>
      </x:c>
      <x:c r="I115" s="11" t="str">
        <x:v>https://sam.gov/opp/5477991867424397affe85e2fad8b5fc/view</x:v>
      </x:c>
    </x:row>
    <x:row r="116" ht="39" customHeight="1">
      <x:c r="A116" s="9" t="str">
        <x:v>REF-0112</x:v>
      </x:c>
      <x:c r="B116" s="9" t="str">
        <x:v>2022 original notice</x:v>
      </x:c>
      <x:c r="C116" s="9" t="str">
        <x:v>sam.gov</x:v>
      </x:c>
      <x:c r="D116" s="9" t="str">
        <x:v>Government / court / official source</x:v>
      </x:c>
      <x:c r="E116" s="9" t="str">
        <x:v>Referenced in recovered corpus; source not independently rechecked in this edition</x:v>
      </x:c>
      <x:c r="F116" s="9" t="str"/>
      <x:c r="G116" s="9" t="str">
        <x:v>COR-005; COR-051; COR-058; COR-079</x:v>
      </x:c>
      <x:c r="H116" s="12" t="str">
        <x:f>IFERROR(HYPERLINK(I116,"Open source"),"Open source")</x:f>
        <x:v>Open source</x:v>
      </x:c>
      <x:c r="I116" s="11" t="str">
        <x:v>https://sam.gov/opp/027b10d0cff3409c91d52d5cef37d576/view</x:v>
      </x:c>
    </x:row>
    <x:row r="117" ht="39" customHeight="1">
      <x:c r="A117" s="9" t="str">
        <x:v>REF-0113</x:v>
      </x:c>
      <x:c r="B117" s="9" t="str">
        <x:v>ICE–Palantir award-action query</x:v>
      </x:c>
      <x:c r="C117" s="9" t="str">
        <x:v>www.fpds.gov</x:v>
      </x:c>
      <x:c r="D117" s="9" t="str">
        <x:v>Government / court / official source</x:v>
      </x:c>
      <x:c r="E117" s="9" t="str">
        <x:v>Referenced in recovered corpus; source not independently rechecked in this edition</x:v>
      </x:c>
      <x:c r="F117" s="9" t="str"/>
      <x:c r="G117" s="9" t="str">
        <x:v>COR-051; COR-058; COR-079</x:v>
      </x:c>
      <x:c r="H117" s="12" t="str">
        <x:f>IFERROR(HYPERLINK(I117,"Open source"),"Open source")</x:f>
        <x:v>Open source</x:v>
      </x:c>
      <x:c r="I117" s="11" t="str">
        <x:v>https://www.fpds.gov/ezsearch/fpdsportal?indexName=awardfull&amp;length=50&amp;q=palantir+VENDOR_FULL_NAME%3A%22PALANTIR+TECHNOLOGIES+INCORPORATED%22+DEPARTMENT_FULL_NAME%3A%22HOMELAND+SECURITY%2C+DEPARTMENT+OF%22+CONTRACTING_AGENCY_NAME%3A%22U.S.+IMMIGRATION+AND+CUSTOMS+ENFORCEMENT%22&amp;renderer=jsp&amp;s=FPDS.GOV&amp;templateName=PDF</x:v>
      </x:c>
    </x:row>
    <x:row r="118" ht="39" customHeight="1">
      <x:c r="A118" s="9" t="str">
        <x:v>REF-0114</x:v>
      </x:c>
      <x:c r="B118" s="9" t="str">
        <x:v>security.cms.gov</x:v>
      </x:c>
      <x:c r="C118" s="9" t="str">
        <x:v>security.cms.gov</x:v>
      </x:c>
      <x:c r="D118" s="9" t="str">
        <x:v>Government / court / official source</x:v>
      </x:c>
      <x:c r="E118" s="9" t="str">
        <x:v>Referenced in recovered corpus; source not independently rechecked in this edition</x:v>
      </x:c>
      <x:c r="F118" s="9" t="str"/>
      <x:c r="G118" s="9" t="str">
        <x:v>COR-051; COR-079</x:v>
      </x:c>
      <x:c r="H118" s="12" t="str">
        <x:f>IFERROR(HYPERLINK(I118,"Open source"),"Open source")</x:f>
        <x:v>Open source</x:v>
      </x:c>
      <x:c r="I118" s="11" t="str">
        <x:v>https://security.cms.gov/learn/cms-information-exchange-agreement-iea</x:v>
      </x:c>
    </x:row>
    <x:row r="119" ht="39" customHeight="1">
      <x:c r="A119" s="9" t="str">
        <x:v>REF-0115</x:v>
      </x:c>
      <x:c r="B119" s="9" t="str">
        <x:v>oag.ca.gov</x:v>
      </x:c>
      <x:c r="C119" s="9" t="str">
        <x:v>oag.ca.gov</x:v>
      </x:c>
      <x:c r="D119" s="9" t="str">
        <x:v>Government / court / official source</x:v>
      </x:c>
      <x:c r="E119" s="9" t="str">
        <x:v>Referenced in recovered corpus; source not independently rechecked in this edition</x:v>
      </x:c>
      <x:c r="F119" s="9" t="str"/>
      <x:c r="G119" s="9" t="str">
        <x:v>COR-051; COR-079</x:v>
      </x:c>
      <x:c r="H119" s="12" t="str">
        <x:f>IFERROR(HYPERLINK(I119,"Open source"),"Open source")</x:f>
        <x:v>Open source</x:v>
      </x:c>
      <x:c r="I119" s="11" t="str">
        <x:v>https://oag.ca.gov/news/press-releases/attorney-general-bonta-secures-preliminary-relief-blocking-california%E2%80%99s-medicaid</x:v>
      </x:c>
    </x:row>
    <x:row r="120" ht="39" customHeight="1">
      <x:c r="A120" s="9" t="str">
        <x:v>REF-0116</x:v>
      </x:c>
      <x:c r="B120" s="9" t="str">
        <x:v>Plaintiffs’ motion to enforce, California v. HHS, ECF 151; filed 2026-03-26</x:v>
      </x:c>
      <x:c r="C120" s="9" t="str">
        <x:v>oag.ca.gov</x:v>
      </x:c>
      <x:c r="D120" s="9" t="str">
        <x:v>Government / court / official source</x:v>
      </x:c>
      <x:c r="E120" s="9" t="str">
        <x:v>Referenced in recovered corpus; source not independently rechecked in this edition</x:v>
      </x:c>
      <x:c r="F120" s="9" t="str">
        <x:v>A-01</x:v>
      </x:c>
      <x:c r="G120" s="9" t="str">
        <x:v>COR-051; COR-052; COR-079</x:v>
      </x:c>
      <x:c r="H120" s="12" t="str">
        <x:f>IFERROR(HYPERLINK(I120,"Open source"),"Open source")</x:f>
        <x:v>Open source</x:v>
      </x:c>
      <x:c r="I120" s="11" t="str">
        <x:v>https://oag.ca.gov/system/files/attachments/press-docs/151%20Pls%20Mot%20to%20Enforce.pdf</x:v>
      </x:c>
    </x:row>
    <x:row r="121" ht="39" customHeight="1">
      <x:c r="A121" s="9" t="str">
        <x:v>REF-0117</x:v>
      </x:c>
      <x:c r="B121" s="9" t="str">
        <x:v>www.kclu.org</x:v>
      </x:c>
      <x:c r="C121" s="9" t="str">
        <x:v>www.kclu.org</x:v>
      </x:c>
      <x:c r="D121" s="9" t="str">
        <x:v>Reference carried by the corpus</x:v>
      </x:c>
      <x:c r="E121" s="9" t="str">
        <x:v>Referenced in recovered corpus; source not independently rechecked in this edition</x:v>
      </x:c>
      <x:c r="F121" s="9" t="str"/>
      <x:c r="G121" s="9" t="str">
        <x:v>COR-051; COR-079</x:v>
      </x:c>
      <x:c r="H121" s="12" t="str">
        <x:f>IFERROR(HYPERLINK(I121,"Open source"),"Open source")</x:f>
        <x:v>Open source</x:v>
      </x:c>
      <x:c r="I121" s="11" t="str">
        <x:v>https://www.kclu.org/science-technology/2026-07-17/ice-shared-medicaid-data-it-wasnt-supposed-to-have-with-palantir?_amp=true</x:v>
      </x:c>
    </x:row>
    <x:row r="122" ht="39" customHeight="1">
      <x:c r="A122" s="9" t="str">
        <x:v>REF-0118</x:v>
      </x:c>
      <x:c r="B122" s="9" t="str">
        <x:v>www.nextgov.com</x:v>
      </x:c>
      <x:c r="C122" s="9" t="str">
        <x:v>www.nextgov.com</x:v>
      </x:c>
      <x:c r="D122" s="9" t="str">
        <x:v>Reference carried by the corpus</x:v>
      </x:c>
      <x:c r="E122" s="9" t="str">
        <x:v>Referenced in recovered corpus; source not independently rechecked in this edition</x:v>
      </x:c>
      <x:c r="F122" s="9" t="str"/>
      <x:c r="G122" s="9" t="str">
        <x:v>COR-051; COR-079</x:v>
      </x:c>
      <x:c r="H122" s="12" t="str">
        <x:f>IFERROR(HYPERLINK(I122,"Open source"),"Open source")</x:f>
        <x:v>Open source</x:v>
      </x:c>
      <x:c r="I122" s="11" t="str">
        <x:v>https://www.nextgov.com/people/2026/07/greg-barbaccia-leave-federal-cio-role-end-august/414620/</x:v>
      </x:c>
    </x:row>
    <x:row r="123" ht="39" customHeight="1">
      <x:c r="A123" s="9" t="str">
        <x:v>REF-0119</x:v>
      </x:c>
      <x:c r="B123" s="9" t="str">
        <x:v>ProPublica; Barbaccia financial-disclosure index; live</x:v>
      </x:c>
      <x:c r="C123" s="9" t="str">
        <x:v>projects.propublica.org</x:v>
      </x:c>
      <x:c r="D123" s="9" t="str">
        <x:v>Reference carried by the corpus</x:v>
      </x:c>
      <x:c r="E123" s="9" t="str">
        <x:v>Referenced in recovered corpus; source not independently rechecked in this edition</x:v>
      </x:c>
      <x:c r="F123" s="9" t="str">
        <x:v>V-05</x:v>
      </x:c>
      <x:c r="G123" s="9" t="str">
        <x:v>COR-051; COR-052; COR-079</x:v>
      </x:c>
      <x:c r="H123" s="12" t="str">
        <x:f>IFERROR(HYPERLINK(I123,"Open source"),"Open source")</x:f>
        <x:v>Open source</x:v>
      </x:c>
      <x:c r="I123" s="11" t="str">
        <x:v>https://projects.propublica.org/trump-team-financial-disclosures/appointees/barbaccia-gregory-j/</x:v>
      </x:c>
    </x:row>
    <x:row r="124" ht="39" customHeight="1">
      <x:c r="A124" s="9" t="str">
        <x:v>REF-0120</x:v>
      </x:c>
      <x:c r="B124" s="9" t="str">
        <x:v>DOJ/OGE; Kash Patel Ethics Agreement; 2025-01-28</x:v>
      </x:c>
      <x:c r="C124" s="9" t="str">
        <x:v>extapps2.oge.gov</x:v>
      </x:c>
      <x:c r="D124" s="9" t="str">
        <x:v>Government / court / official source</x:v>
      </x:c>
      <x:c r="E124" s="9" t="str">
        <x:v>Referenced in recovered corpus; source not independently rechecked in this edition</x:v>
      </x:c>
      <x:c r="F124" s="9" t="str">
        <x:v>P-10</x:v>
      </x:c>
      <x:c r="G124" s="9" t="str">
        <x:v>COR-051; COR-052; COR-079</x:v>
      </x:c>
      <x:c r="H124" s="12" t="str">
        <x:f>IFERROR(HYPERLINK(I124,"Open source"),"Open source")</x:f>
        <x:v>Open source</x:v>
      </x:c>
      <x:c r="I124" s="11" t="str">
        <x:v>https://extapps2.oge.gov/201/Presiden.nsf/PAS%2BIndex/730D7A12BBF6654785258C240032196E/%24FILE/Patel%2C%20Kashyap%20%20finalEA.pdf</x:v>
      </x:c>
    </x:row>
    <x:row r="125" ht="39" customHeight="1">
      <x:c r="A125" s="9" t="str">
        <x:v>REF-0121</x:v>
      </x:c>
      <x:c r="B125" s="9" t="str">
        <x:v>Kash Patel; OGE Form 278-T; signed 2025-07-21, certified 2025-08-01</x:v>
      </x:c>
      <x:c r="C125" s="9" t="str">
        <x:v>static.notus.org</x:v>
      </x:c>
      <x:c r="D125" s="9" t="str">
        <x:v>Reference carried by the corpus</x:v>
      </x:c>
      <x:c r="E125" s="9" t="str">
        <x:v>Referenced in recovered corpus; source not independently rechecked in this edition</x:v>
      </x:c>
      <x:c r="F125" s="9" t="str">
        <x:v>P-11</x:v>
      </x:c>
      <x:c r="G125" s="9" t="str">
        <x:v>COR-051; COR-052; COR-079</x:v>
      </x:c>
      <x:c r="H125" s="12" t="str">
        <x:f>IFERROR(HYPERLINK(I125,"Open source"),"Open source")</x:f>
        <x:v>Open source</x:v>
      </x:c>
      <x:c r="I125" s="11" t="str">
        <x:v>https://static.notus.org/3b/61/46d6712d4aff9412d01276fbf797/kashyap-patel-07-21-2025-278t.pdf</x:v>
      </x:c>
    </x:row>
    <x:row r="126" ht="39" customHeight="1">
      <x:c r="A126" s="9" t="str">
        <x:v>REF-0122</x:v>
      </x:c>
      <x:c r="B126" s="9" t="str">
        <x:v>projects.propublica.org</x:v>
      </x:c>
      <x:c r="C126" s="9" t="str">
        <x:v>projects.propublica.org</x:v>
      </x:c>
      <x:c r="D126" s="9" t="str">
        <x:v>Reference carried by the corpus</x:v>
      </x:c>
      <x:c r="E126" s="9" t="str">
        <x:v>Referenced in recovered corpus; source not independently rechecked in this edition</x:v>
      </x:c>
      <x:c r="F126" s="9" t="str"/>
      <x:c r="G126" s="9" t="str">
        <x:v>COR-051; COR-079</x:v>
      </x:c>
      <x:c r="H126" s="12" t="str">
        <x:f>IFERROR(HYPERLINK(I126,"Open source"),"Open source")</x:f>
        <x:v>Open source</x:v>
      </x:c>
      <x:c r="I126" s="11" t="str">
        <x:v>https://projects.propublica.org/trump-team-financial-disclosures/appointees/minor-clark/</x:v>
      </x:c>
    </x:row>
    <x:row r="127" ht="39" customHeight="1">
      <x:c r="A127" s="9" t="str">
        <x:v>REF-0123</x:v>
      </x:c>
      <x:c r="B127" s="9" t="str">
        <x:v>Bannon and the 2025 Speaker contest</x:v>
      </x:c>
      <x:c r="C127" s="9" t="str">
        <x:v>www.washingtonpost.com</x:v>
      </x:c>
      <x:c r="D127" s="9" t="str">
        <x:v>Reference carried by the corpus</x:v>
      </x:c>
      <x:c r="E127" s="9" t="str">
        <x:v>Referenced in recovered corpus; source not independently rechecked in this edition</x:v>
      </x:c>
      <x:c r="F127" s="9" t="str"/>
      <x:c r="G127" s="9" t="str">
        <x:v>COR-051; COR-058; COR-079</x:v>
      </x:c>
      <x:c r="H127" s="12" t="str">
        <x:f>IFERROR(HYPERLINK(I127,"Open source"),"Open source")</x:f>
        <x:v>Open source</x:v>
      </x:c>
      <x:c r="I127" s="11" t="str">
        <x:v>https://www.washingtonpost.com/politics/2025/01/03/johnson-speaker-vote-trump/</x:v>
      </x:c>
    </x:row>
    <x:row r="128" ht="39" customHeight="1">
      <x:c r="A128" s="9" t="str">
        <x:v>REF-0124</x:v>
      </x:c>
      <x:c r="B128" s="9" t="str">
        <x:v>ProPublica; Mike Johnson Is Living With an Evangelical Influence Seeker; 2025-02-28</x:v>
      </x:c>
      <x:c r="C128" s="9" t="str">
        <x:v>www.propublica.org</x:v>
      </x:c>
      <x:c r="D128" s="9" t="str">
        <x:v>Reference carried by the corpus</x:v>
      </x:c>
      <x:c r="E128" s="9" t="str">
        <x:v>Referenced in recovered corpus; source not independently rechecked in this edition</x:v>
      </x:c>
      <x:c r="F128" s="9" t="str">
        <x:v>PA-V03</x:v>
      </x:c>
      <x:c r="G128" s="9" t="str">
        <x:v>COR-051; COR-052; COR-058; COR-079</x:v>
      </x:c>
      <x:c r="H128" s="12" t="str">
        <x:f>IFERROR(HYPERLINK(I128,"Open source"),"Open source")</x:f>
        <x:v>Open source</x:v>
      </x:c>
      <x:c r="I128" s="11" t="str">
        <x:v>https://www.propublica.org/article/mike-johnson-evangelical-pastor-steve-berger-roommates</x:v>
      </x:c>
    </x:row>
    <x:row r="129" ht="39" customHeight="1">
      <x:c r="A129" s="9" t="str">
        <x:v>REF-0125</x:v>
      </x:c>
      <x:c r="B129" s="9" t="str">
        <x:v>Johnson relocation report</x:v>
      </x:c>
      <x:c r="C129" s="9" t="str">
        <x:v>www.semafor.com</x:v>
      </x:c>
      <x:c r="D129" s="9" t="str">
        <x:v>Reference carried by the corpus</x:v>
      </x:c>
      <x:c r="E129" s="9" t="str">
        <x:v>Referenced in recovered corpus; source not independently rechecked in this edition</x:v>
      </x:c>
      <x:c r="F129" s="9" t="str"/>
      <x:c r="G129" s="9" t="str">
        <x:v>COR-051; COR-058; COR-079</x:v>
      </x:c>
      <x:c r="H129" s="12" t="str">
        <x:f>IFERROR(HYPERLINK(I129,"Open source"),"Open source")</x:f>
        <x:v>Open source</x:v>
      </x:c>
      <x:c r="I129" s="11" t="str">
        <x:v>https://www.semafor.com/article/04/30/2025/house-speaker-mike-johnson-rents-house-from-colleague</x:v>
      </x:c>
    </x:row>
    <x:row r="130" ht="39" customHeight="1">
      <x:c r="A130" s="9" t="str">
        <x:v>REF-0126</x:v>
      </x:c>
      <x:c r="B130" s="9" t="str">
        <x:v>Board of Directors</x:v>
      </x:c>
      <x:c r="C130" s="9" t="str">
        <x:v>investors.palantir.com</x:v>
      </x:c>
      <x:c r="D130" s="9" t="str">
        <x:v>Reference carried by the corpus</x:v>
      </x:c>
      <x:c r="E130" s="9" t="str">
        <x:v>Referenced in recovered corpus; source not independently rechecked in this edition</x:v>
      </x:c>
      <x:c r="F130" s="9" t="str"/>
      <x:c r="G130" s="9" t="str">
        <x:v>COR-051; COR-058; COR-079</x:v>
      </x:c>
      <x:c r="H130" s="12" t="str">
        <x:f>IFERROR(HYPERLINK(I130,"Open source"),"Open source")</x:f>
        <x:v>Open source</x:v>
      </x:c>
      <x:c r="I130" s="11" t="str">
        <x:v>https://investors.palantir.com/board.html</x:v>
      </x:c>
    </x:row>
    <x:row r="131" ht="39" customHeight="1">
      <x:c r="A131" s="9" t="str">
        <x:v>REF-0127</x:v>
      </x:c>
      <x:c r="B131" s="9" t="str">
        <x:v>www.rte.ie</x:v>
      </x:c>
      <x:c r="C131" s="9" t="str">
        <x:v>www.rte.ie</x:v>
      </x:c>
      <x:c r="D131" s="9" t="str">
        <x:v>Reference carried by the corpus</x:v>
      </x:c>
      <x:c r="E131" s="9" t="str">
        <x:v>Referenced in recovered corpus; source not independently rechecked in this edition</x:v>
      </x:c>
      <x:c r="F131" s="9" t="str"/>
      <x:c r="G131" s="9" t="str">
        <x:v>COR-051; COR-079</x:v>
      </x:c>
      <x:c r="H131" s="12" t="str">
        <x:f>IFERROR(HYPERLINK(I131,"Open source"),"Open source")</x:f>
        <x:v>Open source</x:v>
      </x:c>
      <x:c r="I131" s="11" t="str">
        <x:v>https://www.rte.ie/news/2026/0703/1581622-powerscourt-dialog/</x:v>
      </x:c>
    </x:row>
    <x:row r="132" ht="39" customHeight="1">
      <x:c r="A132" s="9" t="str">
        <x:v>REF-0128</x:v>
      </x:c>
      <x:c r="B132" s="9" t="str">
        <x:v>www.congress.gov</x:v>
      </x:c>
      <x:c r="C132" s="9" t="str">
        <x:v>www.congress.gov</x:v>
      </x:c>
      <x:c r="D132" s="9" t="str">
        <x:v>Government / court / official source</x:v>
      </x:c>
      <x:c r="E132" s="9" t="str">
        <x:v>Referenced in recovered corpus; source not independently rechecked in this edition</x:v>
      </x:c>
      <x:c r="F132" s="9" t="str"/>
      <x:c r="G132" s="9" t="str">
        <x:v>COR-051; COR-079</x:v>
      </x:c>
      <x:c r="H132" s="12" t="str">
        <x:f>IFERROR(HYPERLINK(I132,"Open source"),"Open source")</x:f>
        <x:v>Open source</x:v>
      </x:c>
      <x:c r="I132" s="11" t="str">
        <x:v>https://www.congress.gov/amendment/119th-congress/senate-amendment/2814/all-info</x:v>
      </x:c>
    </x:row>
    <x:row r="133" ht="39" customHeight="1">
      <x:c r="A133" s="9" t="str">
        <x:v>REF-0129</x:v>
      </x:c>
      <x:c r="B133" s="9" t="str">
        <x:v>www.senate.gov</x:v>
      </x:c>
      <x:c r="C133" s="9" t="str">
        <x:v>www.senate.gov</x:v>
      </x:c>
      <x:c r="D133" s="9" t="str">
        <x:v>Government / court / official source</x:v>
      </x:c>
      <x:c r="E133" s="9" t="str">
        <x:v>Referenced in recovered corpus; source not independently rechecked in this edition</x:v>
      </x:c>
      <x:c r="F133" s="9" t="str"/>
      <x:c r="G133" s="9" t="str">
        <x:v>COR-051; COR-079</x:v>
      </x:c>
      <x:c r="H133" s="12" t="str">
        <x:f>IFERROR(HYPERLINK(I133,"Open source"),"Open source")</x:f>
        <x:v>Open source</x:v>
      </x:c>
      <x:c r="I133" s="11" t="str">
        <x:v>https://www.senate.gov/legislative/LIS/roll_call_votes/vote1191/vote_119_1_00363.htm</x:v>
      </x:c>
    </x:row>
    <x:row r="134" ht="39" customHeight="1">
      <x:c r="A134" s="9" t="str">
        <x:v>REF-0130</x:v>
      </x:c>
      <x:c r="B134" s="9" t="str">
        <x:v>The Verge; The unholy alliance that killed the AI moratorium; 2025-07-11</x:v>
      </x:c>
      <x:c r="C134" s="9" t="str">
        <x:v>www.theverge.com</x:v>
      </x:c>
      <x:c r="D134" s="9" t="str">
        <x:v>Reference carried by the corpus</x:v>
      </x:c>
      <x:c r="E134" s="9" t="str">
        <x:v>Referenced in recovered corpus; source not independently rechecked in this edition</x:v>
      </x:c>
      <x:c r="F134" s="9" t="str">
        <x:v>PA-V01</x:v>
      </x:c>
      <x:c r="G134" s="9" t="str">
        <x:v>COR-051; COR-052; COR-079</x:v>
      </x:c>
      <x:c r="H134" s="12" t="str">
        <x:f>IFERROR(HYPERLINK(I134,"Open source"),"Open source")</x:f>
        <x:v>Open source</x:v>
      </x:c>
      <x:c r="I134" s="11" t="str">
        <x:v>https://www.theverge.com/politics/704424/ai-moratorium-ted-cruz-steve-bannon-trump</x:v>
      </x:c>
    </x:row>
    <x:row r="135" ht="39" customHeight="1">
      <x:c r="A135" s="9" t="str">
        <x:v>REF-0131</x:v>
      </x:c>
      <x:c r="B135" s="9" t="str">
        <x:v>Associated Press; How a GOP rift doomed a ban on state AI laws…; 2025-07-02</x:v>
      </x:c>
      <x:c r="C135" s="9" t="str">
        <x:v>apnews.com</x:v>
      </x:c>
      <x:c r="D135" s="9" t="str">
        <x:v>Reference carried by the corpus</x:v>
      </x:c>
      <x:c r="E135" s="9" t="str">
        <x:v>Referenced in recovered corpus; source not independently rechecked in this edition</x:v>
      </x:c>
      <x:c r="F135" s="9" t="str">
        <x:v>PA-V02</x:v>
      </x:c>
      <x:c r="G135" s="9" t="str">
        <x:v>COR-051; COR-052; COR-079</x:v>
      </x:c>
      <x:c r="H135" s="12" t="str">
        <x:f>IFERROR(HYPERLINK(I135,"Open source"),"Open source")</x:f>
        <x:v>Open source</x:v>
      </x:c>
      <x:c r="I135" s="11" t="str">
        <x:v>https://apnews.com/article/artificial-intelligence-republicans-trump-tax-bill-97d700da09cac62aa510eb4411bab24e</x:v>
      </x:c>
    </x:row>
    <x:row r="136" ht="39" customHeight="1">
      <x:c r="A136" s="9" t="str">
        <x:v>REF-0132</x:v>
      </x:c>
      <x:c r="B136" s="9" t="str">
        <x:v>Leonard Leo biography</x:v>
      </x:c>
      <x:c r="C136" s="9" t="str">
        <x:v>fedsoc.org</x:v>
      </x:c>
      <x:c r="D136" s="9" t="str">
        <x:v>Reference carried by the corpus</x:v>
      </x:c>
      <x:c r="E136" s="9" t="str">
        <x:v>Referenced in recovered corpus; source not independently rechecked in this edition</x:v>
      </x:c>
      <x:c r="F136" s="9" t="str"/>
      <x:c r="G136" s="9" t="str">
        <x:v>COR-051; COR-058; COR-079</x:v>
      </x:c>
      <x:c r="H136" s="12" t="str">
        <x:f>IFERROR(HYPERLINK(I136,"Open source"),"Open source")</x:f>
        <x:v>Open source</x:v>
      </x:c>
      <x:c r="I136" s="11" t="str">
        <x:v>https://fedsoc.org/ttd-topics/leonard-leo</x:v>
      </x:c>
    </x:row>
    <x:row r="137" ht="39" customHeight="1">
      <x:c r="A137" s="9" t="str">
        <x:v>REF-0133</x:v>
      </x:c>
      <x:c r="B137" s="9" t="str">
        <x:v>U.S. Senate; Supreme Court Nominations (1789–Present); current table</x:v>
      </x:c>
      <x:c r="C137" s="9" t="str">
        <x:v>www.senate.gov</x:v>
      </x:c>
      <x:c r="D137" s="9" t="str">
        <x:v>Government / court / official source</x:v>
      </x:c>
      <x:c r="E137" s="9" t="str">
        <x:v>Checked in this edition</x:v>
      </x:c>
      <x:c r="F137" s="9" t="str">
        <x:v>JU-P01</x:v>
      </x:c>
      <x:c r="G137" s="9" t="str">
        <x:v>COR-051; COR-052; COR-058; COR-079</x:v>
      </x:c>
      <x:c r="H137" s="12" t="str">
        <x:f>IFERROR(HYPERLINK(I137,"Open source"),"Open source")</x:f>
        <x:v>Open source</x:v>
      </x:c>
      <x:c r="I137" s="11" t="str">
        <x:v>https://www.senate.gov/legislative/nominations/SupremeCourtNominations1789present.htm</x:v>
      </x:c>
    </x:row>
    <x:row r="138" ht="39" customHeight="1">
      <x:c r="A138" s="9" t="str">
        <x:v>REF-0134</x:v>
      </x:c>
      <x:c r="B138" s="9" t="str">
        <x:v>historical overview of judicial nominations</x:v>
      </x:c>
      <x:c r="C138" s="9" t="str">
        <x:v>www.senate.gov</x:v>
      </x:c>
      <x:c r="D138" s="9" t="str">
        <x:v>Government / court / official source</x:v>
      </x:c>
      <x:c r="E138" s="9" t="str">
        <x:v>Referenced in recovered corpus; source not independently rechecked in this edition</x:v>
      </x:c>
      <x:c r="F138" s="9" t="str"/>
      <x:c r="G138" s="9" t="str">
        <x:v>COR-051; COR-058; COR-079</x:v>
      </x:c>
      <x:c r="H138" s="12" t="str">
        <x:f>IFERROR(HYPERLINK(I138,"Open source"),"Open source")</x:f>
        <x:v>Open source</x:v>
      </x:c>
      <x:c r="I138" s="11" t="str">
        <x:v>https://www.senate.gov/about/powers-procedures/nominations/judicial-nominations-overview.htm</x:v>
      </x:c>
    </x:row>
    <x:row r="139" ht="39" customHeight="1">
      <x:c r="A139" s="9" t="str">
        <x:v>REF-0135</x:v>
      </x:c>
      <x:c r="B139" s="9" t="str">
        <x:v>March 16, 2016, statement on the Supreme Court nomination</x:v>
      </x:c>
      <x:c r="C139" s="9" t="str">
        <x:v>www.republicanleader.senate.gov</x:v>
      </x:c>
      <x:c r="D139" s="9" t="str">
        <x:v>Government / court / official source</x:v>
      </x:c>
      <x:c r="E139" s="9" t="str">
        <x:v>Referenced in recovered corpus; source not independently rechecked in this edition</x:v>
      </x:c>
      <x:c r="F139" s="9" t="str"/>
      <x:c r="G139" s="9" t="str">
        <x:v>COR-051; COR-058; COR-079</x:v>
      </x:c>
      <x:c r="H139" s="12" t="str">
        <x:f>IFERROR(HYPERLINK(I139,"Open source"),"Open source")</x:f>
        <x:v>Open source</x:v>
      </x:c>
      <x:c r="I139" s="11" t="str">
        <x:v>https://www.republicanleader.senate.gov/newsroom/remarks/mcconnell-on-supreme-court-nomination</x:v>
      </x:c>
    </x:row>
    <x:row r="140" ht="39" customHeight="1">
      <x:c r="A140" s="9" t="str">
        <x:v>REF-0136</x:v>
      </x:c>
      <x:c r="B140" s="9" t="str">
        <x:v>2017 confirmation-campaign announcement</x:v>
      </x:c>
      <x:c r="C140" s="9" t="str">
        <x:v>judicialnetwork.com</x:v>
      </x:c>
      <x:c r="D140" s="9" t="str">
        <x:v>Reference carried by the corpus</x:v>
      </x:c>
      <x:c r="E140" s="9" t="str">
        <x:v>Referenced in recovered corpus; source not independently rechecked in this edition</x:v>
      </x:c>
      <x:c r="F140" s="9" t="str"/>
      <x:c r="G140" s="9" t="str">
        <x:v>COR-051; COR-058; COR-079</x:v>
      </x:c>
      <x:c r="H140" s="12" t="str">
        <x:f>IFERROR(HYPERLINK(I140,"Open source"),"Open source")</x:f>
        <x:v>Open source</x:v>
      </x:c>
      <x:c r="I140" s="11" t="str">
        <x:v>https://judicialnetwork.com/jcn-press-release/judicial-crisis-network-launches-10-million-campaign-preserve-justice-scalias-legacy-support-president-elect-trump-nominee/</x:v>
      </x:c>
    </x:row>
    <x:row r="141" ht="39" customHeight="1">
      <x:c r="A141" s="9" t="str">
        <x:v>REF-0137</x:v>
      </x:c>
      <x:c r="B141" s="9" t="str">
        <x:v>2020 ad-blitz announcement</x:v>
      </x:c>
      <x:c r="C141" s="9" t="str">
        <x:v>judicialnetwork.com</x:v>
      </x:c>
      <x:c r="D141" s="9" t="str">
        <x:v>Reference carried by the corpus</x:v>
      </x:c>
      <x:c r="E141" s="9" t="str">
        <x:v>Referenced in recovered corpus; source not independently rechecked in this edition</x:v>
      </x:c>
      <x:c r="F141" s="9" t="str"/>
      <x:c r="G141" s="9" t="str">
        <x:v>COR-051; COR-058; COR-079</x:v>
      </x:c>
      <x:c r="H141" s="12" t="str">
        <x:f>IFERROR(HYPERLINK(I141,"Open source"),"Open source")</x:f>
        <x:v>Open source</x:v>
      </x:c>
      <x:c r="I141" s="11" t="str">
        <x:v>https://judicialnetwork.com/in-the-news/jcn-launches-multimillion-dollar-initial-ad-blitz-to-fill-scotus-seat/</x:v>
      </x:c>
    </x:row>
    <x:row r="142" ht="39" customHeight="1">
      <x:c r="A142" s="9" t="str">
        <x:v>REF-0138</x:v>
      </x:c>
      <x:c r="B142" s="9" t="str">
        <x:v>projects.propublica.org</x:v>
      </x:c>
      <x:c r="C142" s="9" t="str">
        <x:v>projects.propublica.org</x:v>
      </x:c>
      <x:c r="D142" s="9" t="str">
        <x:v>Reference carried by the corpus</x:v>
      </x:c>
      <x:c r="E142" s="9" t="str">
        <x:v>Referenced in recovered corpus; source not independently rechecked in this edition</x:v>
      </x:c>
      <x:c r="F142" s="9" t="str"/>
      <x:c r="G142" s="9" t="str">
        <x:v>COR-051; COR-079</x:v>
      </x:c>
      <x:c r="H142" s="12" t="str">
        <x:f>IFERROR(HYPERLINK(I142,"Open source"),"Open source")</x:f>
        <x:v>Open source</x:v>
      </x:c>
      <x:c r="I142" s="11" t="str">
        <x:v>https://projects.propublica.org/nonprofits/organizations/850784793</x:v>
      </x:c>
    </x:row>
    <x:row r="143" ht="39" customHeight="1">
      <x:c r="A143" s="9" t="str">
        <x:v>REF-0139</x:v>
      </x:c>
      <x:c r="B143" s="9" t="str">
        <x:v>ProPublica; How a Secretive Billionaire Handed His Fortune…; 2022-08-22</x:v>
      </x:c>
      <x:c r="C143" s="9" t="str">
        <x:v>www.propublica.org</x:v>
      </x:c>
      <x:c r="D143" s="9" t="str">
        <x:v>Reference carried by the corpus</x:v>
      </x:c>
      <x:c r="E143" s="9" t="str">
        <x:v>Referenced in recovered corpus; source not independently rechecked in this edition</x:v>
      </x:c>
      <x:c r="F143" s="9" t="str">
        <x:v>JU-V03</x:v>
      </x:c>
      <x:c r="G143" s="9" t="str">
        <x:v>COR-051; COR-052; COR-079</x:v>
      </x:c>
      <x:c r="H143" s="12" t="str">
        <x:f>IFERROR(HYPERLINK(I143,"Open source"),"Open source")</x:f>
        <x:v>Open source</x:v>
      </x:c>
      <x:c r="I143" s="11" t="str">
        <x:v>https://www.propublica.org/article/dark-money-leonard-leo-barre-seid</x:v>
      </x:c>
    </x:row>
    <x:row r="144" ht="39" customHeight="1">
      <x:c r="A144" s="9" t="str">
        <x:v>REF-0140</x:v>
      </x:c>
      <x:c r="B144" s="9" t="str">
        <x:v>Leonard Leo network investigation</x:v>
      </x:c>
      <x:c r="C144" s="9" t="str">
        <x:v>www.propublica.org</x:v>
      </x:c>
      <x:c r="D144" s="9" t="str">
        <x:v>Reference carried by the corpus</x:v>
      </x:c>
      <x:c r="E144" s="9" t="str">
        <x:v>Referenced in recovered corpus; source not independently rechecked in this edition</x:v>
      </x:c>
      <x:c r="F144" s="9" t="str"/>
      <x:c r="G144" s="9" t="str">
        <x:v>COR-051; COR-058; COR-079</x:v>
      </x:c>
      <x:c r="H144" s="12" t="str">
        <x:f>IFERROR(HYPERLINK(I144,"Open source"),"Open source")</x:f>
        <x:v>Open source</x:v>
      </x:c>
      <x:c r="I144" s="11" t="str">
        <x:v>https://www.propublica.org/article/we-dont-talk-about-leonard-leo-supreme-court-supermajority</x:v>
      </x:c>
    </x:row>
    <x:row r="145" ht="39" customHeight="1">
      <x:c r="A145" s="9" t="str">
        <x:v>REF-0141</x:v>
      </x:c>
      <x:c r="B145" s="9" t="str">
        <x:v>ProPublica; Clarence Thomas Secretly Accepted Luxury Trips…; 2023-04-06</x:v>
      </x:c>
      <x:c r="C145" s="9" t="str">
        <x:v>www.propublica.org</x:v>
      </x:c>
      <x:c r="D145" s="9" t="str">
        <x:v>Reference carried by the corpus</x:v>
      </x:c>
      <x:c r="E145" s="9" t="str">
        <x:v>Referenced in recovered corpus; source not independently rechecked in this edition</x:v>
      </x:c>
      <x:c r="F145" s="9" t="str">
        <x:v>JU-V05</x:v>
      </x:c>
      <x:c r="G145" s="9" t="str">
        <x:v>COR-051; COR-052; COR-079</x:v>
      </x:c>
      <x:c r="H145" s="12" t="str">
        <x:f>IFERROR(HYPERLINK(I145,"Open source"),"Open source")</x:f>
        <x:v>Open source</x:v>
      </x:c>
      <x:c r="I145" s="11" t="str">
        <x:v>https://www.propublica.org/article/clarence-thomas-scotus-undisclosed-luxury-travel-gifts-crow</x:v>
      </x:c>
    </x:row>
    <x:row r="146" ht="39" customHeight="1">
      <x:c r="A146" s="9" t="str">
        <x:v>REF-0142</x:v>
      </x:c>
      <x:c r="B146" s="9" t="str">
        <x:v>www.propublica.org</x:v>
      </x:c>
      <x:c r="C146" s="9" t="str">
        <x:v>www.propublica.org</x:v>
      </x:c>
      <x:c r="D146" s="9" t="str">
        <x:v>Reference carried by the corpus</x:v>
      </x:c>
      <x:c r="E146" s="9" t="str">
        <x:v>Referenced in recovered corpus; source not independently rechecked in this edition</x:v>
      </x:c>
      <x:c r="F146" s="9" t="str"/>
      <x:c r="G146" s="9" t="str">
        <x:v>COR-051; COR-079</x:v>
      </x:c>
      <x:c r="H146" s="12" t="str">
        <x:f>IFERROR(HYPERLINK(I146,"Open source"),"Open source")</x:f>
        <x:v>Open source</x:v>
      </x:c>
      <x:c r="I146" s="11" t="str">
        <x:v>https://www.propublica.org/article/clarence-thomas-response-trips-legal-experts-harlan-crow</x:v>
      </x:c>
    </x:row>
    <x:row r="147" ht="39" customHeight="1">
      <x:c r="A147" s="9" t="str">
        <x:v>REF-0143</x:v>
      </x:c>
      <x:c r="B147" s="9" t="str">
        <x:v>www.propublica.org</x:v>
      </x:c>
      <x:c r="C147" s="9" t="str">
        <x:v>www.propublica.org</x:v>
      </x:c>
      <x:c r="D147" s="9" t="str">
        <x:v>Reference carried by the corpus</x:v>
      </x:c>
      <x:c r="E147" s="9" t="str">
        <x:v>Referenced in recovered corpus; source not independently rechecked in this edition</x:v>
      </x:c>
      <x:c r="F147" s="9" t="str"/>
      <x:c r="G147" s="9" t="str">
        <x:v>COR-051; COR-079</x:v>
      </x:c>
      <x:c r="H147" s="12" t="str">
        <x:f>IFERROR(HYPERLINK(I147,"Open source"),"Open source")</x:f>
        <x:v>Open source</x:v>
      </x:c>
      <x:c r="I147" s="11" t="str">
        <x:v>https://www.propublica.org/article/clarence-thomas-disclosure-filing-harlan-crow-real-estate-travel-scotus</x:v>
      </x:c>
    </x:row>
    <x:row r="148" ht="39" customHeight="1">
      <x:c r="A148" s="9" t="str">
        <x:v>REF-0144</x:v>
      </x:c>
      <x:c r="B148" s="9" t="str">
        <x:v>ProPublica; Justice Samuel Alito Took Luxury Fishing Vacation…; 2023-06-20</x:v>
      </x:c>
      <x:c r="C148" s="9" t="str">
        <x:v>www.propublica.org</x:v>
      </x:c>
      <x:c r="D148" s="9" t="str">
        <x:v>Reference carried by the corpus</x:v>
      </x:c>
      <x:c r="E148" s="9" t="str">
        <x:v>Referenced in recovered corpus; source not independently rechecked in this edition</x:v>
      </x:c>
      <x:c r="F148" s="9" t="str">
        <x:v>JU-V07</x:v>
      </x:c>
      <x:c r="G148" s="9" t="str">
        <x:v>COR-051; COR-052; COR-079</x:v>
      </x:c>
      <x:c r="H148" s="12" t="str">
        <x:f>IFERROR(HYPERLINK(I148,"Open source"),"Open source")</x:f>
        <x:v>Open source</x:v>
      </x:c>
      <x:c r="I148" s="11" t="str">
        <x:v>https://www.propublica.org/article/samuel-alito-luxury-fishing-trip-paul-singer-scotus-supreme-court</x:v>
      </x:c>
    </x:row>
    <x:row r="149" ht="39" customHeight="1">
      <x:c r="A149" s="9" t="str">
        <x:v>REF-0145</x:v>
      </x:c>
      <x:c r="B149" s="9" t="str">
        <x:v>Washington Post; Gorsuch property sale renews calls…; 2023-04-25</x:v>
      </x:c>
      <x:c r="C149" s="9" t="str">
        <x:v>www.washingtonpost.com</x:v>
      </x:c>
      <x:c r="D149" s="9" t="str">
        <x:v>Reference carried by the corpus</x:v>
      </x:c>
      <x:c r="E149" s="9" t="str">
        <x:v>Referenced in recovered corpus; source not independently rechecked in this edition</x:v>
      </x:c>
      <x:c r="F149" s="9" t="str">
        <x:v>JU-V08</x:v>
      </x:c>
      <x:c r="G149" s="9" t="str">
        <x:v>COR-051; COR-052; COR-079</x:v>
      </x:c>
      <x:c r="H149" s="12" t="str">
        <x:f>IFERROR(HYPERLINK(I149,"Open source"),"Open source")</x:f>
        <x:v>Open source</x:v>
      </x:c>
      <x:c r="I149" s="11" t="str">
        <x:v>https://www.washingtonpost.com/politics/2023/04/25/neil-gorsuch-property-sale-law-firm-ethics/</x:v>
      </x:c>
    </x:row>
    <x:row r="150" ht="39" customHeight="1">
      <x:c r="A150" s="9" t="str">
        <x:v>REF-0146</x:v>
      </x:c>
      <x:c r="B150" s="9" t="str">
        <x:v>www.uscourts.gov</x:v>
      </x:c>
      <x:c r="C150" s="9" t="str">
        <x:v>www.uscourts.gov</x:v>
      </x:c>
      <x:c r="D150" s="9" t="str">
        <x:v>Government / court / official source</x:v>
      </x:c>
      <x:c r="E150" s="9" t="str">
        <x:v>Referenced in recovered corpus; source not independently rechecked in this edition</x:v>
      </x:c>
      <x:c r="F150" s="9" t="str"/>
      <x:c r="G150" s="9" t="str">
        <x:v>COR-051; COR-079</x:v>
      </x:c>
      <x:c r="H150" s="12" t="str">
        <x:f>IFERROR(HYPERLINK(I150,"Open source"),"Open source")</x:f>
        <x:v>Open source</x:v>
      </x:c>
      <x:c r="I150" s="11" t="str">
        <x:v>https://www.uscourts.gov/administration-policies/judiciary-financial-disclosure-reports</x:v>
      </x:c>
    </x:row>
    <x:row r="151" ht="39" customHeight="1">
      <x:c r="A151" s="9" t="str">
        <x:v>REF-0147</x:v>
      </x:c>
      <x:c r="B151" s="9" t="str">
        <x:v>www.supremecourt.gov</x:v>
      </x:c>
      <x:c r="C151" s="9" t="str">
        <x:v>www.supremecourt.gov</x:v>
      </x:c>
      <x:c r="D151" s="9" t="str">
        <x:v>Government / court / official source</x:v>
      </x:c>
      <x:c r="E151" s="9" t="str">
        <x:v>Referenced in recovered corpus; source not independently rechecked in this edition</x:v>
      </x:c>
      <x:c r="F151" s="9" t="str"/>
      <x:c r="G151" s="9" t="str">
        <x:v>COR-051; COR-079</x:v>
      </x:c>
      <x:c r="H151" s="12" t="str">
        <x:f>IFERROR(HYPERLINK(I151,"Open source"),"Open source")</x:f>
        <x:v>Open source</x:v>
      </x:c>
      <x:c r="I151" s="11" t="str">
        <x:v>https://www.supremecourt.gov/about/code-of-conduct-for-justices_november_13_2023.pdf</x:v>
      </x:c>
    </x:row>
    <x:row r="152" ht="39" customHeight="1">
      <x:c r="A152" s="9" t="str">
        <x:v>REF-0148</x:v>
      </x:c>
      <x:c r="B152" s="9" t="str">
        <x:v>www.washingtonpost.com</x:v>
      </x:c>
      <x:c r="C152" s="9" t="str">
        <x:v>www.washingtonpost.com</x:v>
      </x:c>
      <x:c r="D152" s="9" t="str">
        <x:v>Reference carried by the corpus</x:v>
      </x:c>
      <x:c r="E152" s="9" t="str">
        <x:v>Referenced in recovered corpus; source not independently rechecked in this edition</x:v>
      </x:c>
      <x:c r="F152" s="9" t="str"/>
      <x:c r="G152" s="9" t="str">
        <x:v>COR-051; COR-079</x:v>
      </x:c>
      <x:c r="H152" s="12" t="str">
        <x:f>IFERROR(HYPERLINK(I152,"Open source"),"Open source")</x:f>
        <x:v>Open source</x:v>
      </x:c>
      <x:c r="I152" s="11" t="str">
        <x:v>https://www.washingtonpost.com/politics/2023/06/07/supreme-court-justice-disclosures-clarence-thomas/</x:v>
      </x:c>
    </x:row>
    <x:row r="153" ht="39" customHeight="1">
      <x:c r="A153" s="9" t="str">
        <x:v>REF-0149</x:v>
      </x:c>
      <x:c r="B153" s="9" t="str">
        <x:v>fixthecourt.com</x:v>
      </x:c>
      <x:c r="C153" s="9" t="str">
        <x:v>fixthecourt.com</x:v>
      </x:c>
      <x:c r="D153" s="9" t="str">
        <x:v>Reference carried by the corpus</x:v>
      </x:c>
      <x:c r="E153" s="9" t="str">
        <x:v>Referenced in recovered corpus; source not independently rechecked in this edition</x:v>
      </x:c>
      <x:c r="F153" s="9" t="str"/>
      <x:c r="G153" s="9" t="str">
        <x:v>COR-051; COR-079</x:v>
      </x:c>
      <x:c r="H153" s="12" t="str">
        <x:f>IFERROR(HYPERLINK(I153,"Open source"),"Open source")</x:f>
        <x:v>Open source</x:v>
      </x:c>
      <x:c r="I153" s="11" t="str">
        <x:v>https://fixthecourt.com/wp-content/uploads/2024/06/Thomas-Clarence-Annual-2023.pdf</x:v>
      </x:c>
    </x:row>
    <x:row r="154" ht="39" customHeight="1">
      <x:c r="A154" s="9" t="str">
        <x:v>REF-0150</x:v>
      </x:c>
      <x:c r="B154" s="9" t="str">
        <x:v>www.govinfo.gov</x:v>
      </x:c>
      <x:c r="C154" s="9" t="str">
        <x:v>www.govinfo.gov</x:v>
      </x:c>
      <x:c r="D154" s="9" t="str">
        <x:v>Government / court / official source</x:v>
      </x:c>
      <x:c r="E154" s="9" t="str">
        <x:v>Referenced in recovered corpus; source not independently rechecked in this edition</x:v>
      </x:c>
      <x:c r="F154" s="9" t="str"/>
      <x:c r="G154" s="9" t="str">
        <x:v>COR-051; COR-079</x:v>
      </x:c>
      <x:c r="H154" s="12" t="str">
        <x:f>IFERROR(HYPERLINK(I154,"Open source"),"Open source")</x:f>
        <x:v>Open source</x:v>
      </x:c>
      <x:c r="I154" s="11" t="str">
        <x:v>https://www.govinfo.gov/app/details/USREPORTS-573/USREPORTS-573-134/context</x:v>
      </x:c>
    </x:row>
    <x:row r="155" ht="39" customHeight="1">
      <x:c r="A155" s="9" t="str">
        <x:v>REF-0151</x:v>
      </x:c>
      <x:c r="B155" s="9" t="str">
        <x:v>Neil Gorsuch; 2017 financial disclosure</x:v>
      </x:c>
      <x:c r="C155" s="9" t="str">
        <x:v>fixthecourt.com</x:v>
      </x:c>
      <x:c r="D155" s="9" t="str">
        <x:v>Reference carried by the corpus</x:v>
      </x:c>
      <x:c r="E155" s="9" t="str">
        <x:v>Referenced in recovered corpus; source not independently rechecked in this edition</x:v>
      </x:c>
      <x:c r="F155" s="9" t="str">
        <x:v>JU-P05</x:v>
      </x:c>
      <x:c r="G155" s="9" t="str">
        <x:v>COR-051; COR-052; COR-079</x:v>
      </x:c>
      <x:c r="H155" s="12" t="str">
        <x:f>IFERROR(HYPERLINK(I155,"Open source"),"Open source")</x:f>
        <x:v>Open source</x:v>
      </x:c>
      <x:c r="I155" s="11" t="str">
        <x:v>https://fixthecourt.com/wp-content/uploads/2018/06/Gorsuch-NM-J3.-SUP_R_17.pdf</x:v>
      </x:c>
    </x:row>
    <x:row r="156" ht="39" customHeight="1">
      <x:c r="A156" s="9" t="str">
        <x:v>REF-0152</x:v>
      </x:c>
      <x:c r="B156" s="9" t="str">
        <x:v>www.politico.com</x:v>
      </x:c>
      <x:c r="C156" s="9" t="str">
        <x:v>www.politico.com</x:v>
      </x:c>
      <x:c r="D156" s="9" t="str">
        <x:v>Reference carried by the corpus</x:v>
      </x:c>
      <x:c r="E156" s="9" t="str">
        <x:v>Referenced in recovered corpus; source not independently rechecked in this edition</x:v>
      </x:c>
      <x:c r="F156" s="9" t="str"/>
      <x:c r="G156" s="9" t="str">
        <x:v>COR-051; COR-079</x:v>
      </x:c>
      <x:c r="H156" s="12" t="str">
        <x:f>IFERROR(HYPERLINK(I156,"Open source"),"Open source")</x:f>
        <x:v>Open source</x:v>
      </x:c>
      <x:c r="I156" s="11" t="str">
        <x:v>https://www.politico.com/news/2023/04/25/neil-gorsuch-colorado-property-sale-00093579</x:v>
      </x:c>
    </x:row>
    <x:row r="157" ht="39" customHeight="1">
      <x:c r="A157" s="9" t="str">
        <x:v>REF-0153</x:v>
      </x:c>
      <x:c r="B157" s="9" t="str">
        <x:v>Kendal B. Price; sworn affidavit; 2022-12-02</x:v>
      </x:c>
      <x:c r="C157" s="9" t="str">
        <x:v>www.documentcloud.org</x:v>
      </x:c>
      <x:c r="D157" s="9" t="str">
        <x:v>Reference carried by the corpus</x:v>
      </x:c>
      <x:c r="E157" s="9" t="str">
        <x:v>Referenced in recovered corpus; source not independently rechecked in this edition</x:v>
      </x:c>
      <x:c r="F157" s="9" t="str">
        <x:v>JU-A05</x:v>
      </x:c>
      <x:c r="G157" s="9" t="str">
        <x:v>COR-051; COR-052; COR-079</x:v>
      </x:c>
      <x:c r="H157" s="12" t="str">
        <x:f>IFERROR(HYPERLINK(I157,"Open source"),"Open source")</x:f>
        <x:v>Open source</x:v>
      </x:c>
      <x:c r="I157" s="11" t="str">
        <x:v>https://www.documentcloud.org/documents/23791123-2-of-8-sworn-affidavit-of-kendal-b-price-12-02-2022</x:v>
      </x:c>
    </x:row>
    <x:row r="158" ht="39" customHeight="1">
      <x:c r="A158" s="9" t="str">
        <x:v>REF-0154</x:v>
      </x:c>
      <x:c r="B158" s="9" t="str">
        <x:v>www.uscourts.gov</x:v>
      </x:c>
      <x:c r="C158" s="9" t="str">
        <x:v>www.uscourts.gov</x:v>
      </x:c>
      <x:c r="D158" s="9" t="str">
        <x:v>Government / court / official source</x:v>
      </x:c>
      <x:c r="E158" s="9" t="str">
        <x:v>Referenced in recovered corpus; source not independently rechecked in this edition</x:v>
      </x:c>
      <x:c r="F158" s="9" t="str"/>
      <x:c r="G158" s="9" t="str">
        <x:v>COR-051; COR-079</x:v>
      </x:c>
      <x:c r="H158" s="12" t="str">
        <x:f>IFERROR(HYPERLINK(I158,"Open source"),"Open source")</x:f>
        <x:v>Open source</x:v>
      </x:c>
      <x:c r="I158" s="11" t="str">
        <x:v>https://www.uscourts.gov/sites/default/files/vol02b-ch02_0.pdf</x:v>
      </x:c>
    </x:row>
    <x:row r="159" ht="39" customHeight="1">
      <x:c r="A159" s="9" t="str">
        <x:v>REF-0155</x:v>
      </x:c>
      <x:c r="B159" s="9" t="str">
        <x:v>Google Doc</x:v>
      </x:c>
      <x:c r="C159" s="9" t="str">
        <x:v>docs.google.com</x:v>
      </x:c>
      <x:c r="D159" s="9" t="str">
        <x:v>Research artifact / conversation</x:v>
      </x:c>
      <x:c r="E159" s="9" t="str">
        <x:v>Referenced in recovered corpus; source not independently rechecked in this edition</x:v>
      </x:c>
      <x:c r="F159" s="9" t="str"/>
      <x:c r="G159" s="9" t="str">
        <x:v>COR-052</x:v>
      </x:c>
      <x:c r="H159" s="12" t="str">
        <x:f>IFERROR(HYPERLINK(I159,"Open source"),"Open source")</x:f>
        <x:v>Open source</x:v>
      </x:c>
      <x:c r="I159" s="11" t="str">
        <x:v>https://docs.google.com/document/d/1TTb_VIdpQ-VN03UdG6lihNMAMeQO3YDS07BNsHh--Sg/edit?usp=drivesdk</x:v>
      </x:c>
    </x:row>
    <x:row r="160" ht="39" customHeight="1">
      <x:c r="A160" s="9" t="str">
        <x:v>REF-0156</x:v>
      </x:c>
      <x:c r="B160" s="9" t="str">
        <x:v>Drive file</x:v>
      </x:c>
      <x:c r="C160" s="9" t="str">
        <x:v>drive.google.com</x:v>
      </x:c>
      <x:c r="D160" s="9" t="str">
        <x:v>Research artifact / conversation</x:v>
      </x:c>
      <x:c r="E160" s="9" t="str">
        <x:v>Referenced in recovered corpus; source not independently rechecked in this edition</x:v>
      </x:c>
      <x:c r="F160" s="9" t="str"/>
      <x:c r="G160" s="9" t="str">
        <x:v>COR-052</x:v>
      </x:c>
      <x:c r="H160" s="12" t="str">
        <x:f>IFERROR(HYPERLINK(I160,"Open source"),"Open source")</x:f>
        <x:v>Open source</x:v>
      </x:c>
      <x:c r="I160" s="11" t="str">
        <x:v>https://drive.google.com/file/d/1Is30aE1PL2gZO9RMxKkHo19vJOwc6Cxi/view</x:v>
      </x:c>
    </x:row>
    <x:row r="161" ht="39" customHeight="1">
      <x:c r="A161" s="9" t="str">
        <x:v>REF-0157</x:v>
      </x:c>
      <x:c r="B161" s="9" t="str">
        <x:v>Drive file</x:v>
      </x:c>
      <x:c r="C161" s="9" t="str">
        <x:v>drive.google.com</x:v>
      </x:c>
      <x:c r="D161" s="9" t="str">
        <x:v>Research artifact / conversation</x:v>
      </x:c>
      <x:c r="E161" s="9" t="str">
        <x:v>Referenced in recovered corpus; source not independently rechecked in this edition</x:v>
      </x:c>
      <x:c r="F161" s="9" t="str"/>
      <x:c r="G161" s="9" t="str">
        <x:v>COR-052</x:v>
      </x:c>
      <x:c r="H161" s="12" t="str">
        <x:f>IFERROR(HYPERLINK(I161,"Open source"),"Open source")</x:f>
        <x:v>Open source</x:v>
      </x:c>
      <x:c r="I161" s="11" t="str">
        <x:v>https://drive.google.com/file/d/1aa9jHwDjJnmP4FBBXnWAYA-4zslhtxf4/view</x:v>
      </x:c>
    </x:row>
    <x:row r="162" ht="39" customHeight="1">
      <x:c r="A162" s="9" t="str">
        <x:v>REF-0158</x:v>
      </x:c>
      <x:c r="B162" s="9" t="str">
        <x:v>Politics administration investigation</x:v>
      </x:c>
      <x:c r="C162" s="9" t="str">
        <x:v>docs.google.com</x:v>
      </x:c>
      <x:c r="D162" s="9" t="str">
        <x:v>Research artifact / conversation</x:v>
      </x:c>
      <x:c r="E162" s="9" t="str">
        <x:v>Referenced in recovered corpus; source not independently rechecked in this edition</x:v>
      </x:c>
      <x:c r="F162" s="9" t="str"/>
      <x:c r="G162" s="9" t="str">
        <x:v>COR-010; COR-052</x:v>
      </x:c>
      <x:c r="H162" s="12" t="str">
        <x:f>IFERROR(HYPERLINK(I162,"Open source"),"Open source")</x:f>
        <x:v>Open source</x:v>
      </x:c>
      <x:c r="I162" s="11" t="str">
        <x:v>https://docs.google.com/document/d/1PQNE3sX9-qiZ_U1LeEIvHFxHgIXJg5inpDkXic332fw/edit</x:v>
      </x:c>
    </x:row>
    <x:row r="163" ht="39" customHeight="1">
      <x:c r="A163" s="9" t="str">
        <x:v>REF-0159</x:v>
      </x:c>
      <x:c r="B163" s="9" t="str">
        <x:v>White House; President Trump Announces Appointments to the White House Faith Office; 2025-02-07; appointment release</x:v>
      </x:c>
      <x:c r="C163" s="9" t="str">
        <x:v>www.whitehouse.gov</x:v>
      </x:c>
      <x:c r="D163" s="9" t="str">
        <x:v>Government / court / official source</x:v>
      </x:c>
      <x:c r="E163" s="9" t="str">
        <x:v>Referenced in recovered corpus; source not independently rechecked in this edition</x:v>
      </x:c>
      <x:c r="F163" s="9" t="str">
        <x:v>R-02</x:v>
      </x:c>
      <x:c r="G163" s="9" t="str">
        <x:v>COR-052</x:v>
      </x:c>
      <x:c r="H163" s="12" t="str">
        <x:f>IFERROR(HYPERLINK(I163,"Open source"),"Open source")</x:f>
        <x:v>Open source</x:v>
      </x:c>
      <x:c r="I163" s="11" t="str">
        <x:v>https://www.whitehouse.gov/presidential-actions/2025/02/president-trump-announces-appointments-to-the-white-house-faith-office/</x:v>
      </x:c>
    </x:row>
    <x:row r="164" ht="39" customHeight="1">
      <x:c r="A164" s="9" t="str">
        <x:v>REF-0160</x:v>
      </x:c>
      <x:c r="B164" s="9" t="str">
        <x:v>Attorney General; Federal Law Protections for Religious Liberty; 2026-07-23; memorandum to all departments/agencies</x:v>
      </x:c>
      <x:c r="C164" s="9" t="str">
        <x:v>www.justice.gov</x:v>
      </x:c>
      <x:c r="D164" s="9" t="str">
        <x:v>Government / court / official source</x:v>
      </x:c>
      <x:c r="E164" s="9" t="str">
        <x:v>Checked in this edition</x:v>
      </x:c>
      <x:c r="F164" s="9" t="str">
        <x:v>R-05</x:v>
      </x:c>
      <x:c r="G164" s="9" t="str">
        <x:v>COR-052</x:v>
      </x:c>
      <x:c r="H164" s="12" t="str">
        <x:f>IFERROR(HYPERLINK(I164,"Open source"),"Open source")</x:f>
        <x:v>Open source</x:v>
      </x:c>
      <x:c r="I164" s="11" t="str">
        <x:v>https://www.justice.gov/opa/media/1453756/dl?inline=</x:v>
      </x:c>
    </x:row>
    <x:row r="165" ht="39" customHeight="1">
      <x:c r="A165" s="9" t="str">
        <x:v>REF-0161</x:v>
      </x:c>
      <x:c r="B165" s="9" t="str">
        <x:v>Office of Sen. Mazie Hirono; oversight letter/release; 2026-01-28</x:v>
      </x:c>
      <x:c r="C165" s="9" t="str">
        <x:v>www.hirono.senate.gov</x:v>
      </x:c>
      <x:c r="D165" s="9" t="str">
        <x:v>Government / court / official source</x:v>
      </x:c>
      <x:c r="E165" s="9" t="str">
        <x:v>Referenced in recovered corpus; source not independently rechecked in this edition</x:v>
      </x:c>
      <x:c r="F165" s="9" t="str">
        <x:v>C-06</x:v>
      </x:c>
      <x:c r="G165" s="9" t="str">
        <x:v>COR-052</x:v>
      </x:c>
      <x:c r="H165" s="12" t="str">
        <x:f>IFERROR(HYPERLINK(I165,"Open source"),"Open source")</x:f>
        <x:v>Open source</x:v>
      </x:c>
      <x:c r="I165" s="11" t="str">
        <x:v>https://www.hirono.senate.gov/news/press-releases/hirono-warren-durbin-lead-colleagues-in-pressing-deputy-attorney-general-blanche-on-conflicts-of-interest-following-decision-to-ease-prosecution-of-cryptocurrency-related-crimes</x:v>
      </x:c>
    </x:row>
    <x:row r="166" ht="39" customHeight="1">
      <x:c r="A166" s="9" t="str">
        <x:v>REF-0162</x:v>
      </x:c>
      <x:c r="B166" s="9" t="str">
        <x:v>U.S. Code; 18 U.S.C. §208</x:v>
      </x:c>
      <x:c r="C166" s="9" t="str">
        <x:v>www.govinfo.gov</x:v>
      </x:c>
      <x:c r="D166" s="9" t="str">
        <x:v>Government / court / official source</x:v>
      </x:c>
      <x:c r="E166" s="9" t="str">
        <x:v>Checked in this edition</x:v>
      </x:c>
      <x:c r="F166" s="9" t="str">
        <x:v>C-08</x:v>
      </x:c>
      <x:c r="G166" s="9" t="str">
        <x:v>COR-010; COR-015; COR-021; COR-052</x:v>
      </x:c>
      <x:c r="H166" s="12" t="str">
        <x:f>IFERROR(HYPERLINK(I166,"Open source"),"Open source")</x:f>
        <x:v>Open source</x:v>
      </x:c>
      <x:c r="I166" s="11" t="str">
        <x:v>https://www.govinfo.gov/link/uscode/18/208</x:v>
      </x:c>
    </x:row>
    <x:row r="167" ht="39" customHeight="1">
      <x:c r="A167" s="9" t="str">
        <x:v>REF-0163</x:v>
      </x:c>
      <x:c r="B167" s="9" t="str">
        <x:v>eCFR; 5 C.F.R. Part 2640; current through 2026-08-18</x:v>
      </x:c>
      <x:c r="C167" s="9" t="str">
        <x:v>www.ecfr.gov</x:v>
      </x:c>
      <x:c r="D167" s="9" t="str">
        <x:v>Government / court / official source</x:v>
      </x:c>
      <x:c r="E167" s="9" t="str">
        <x:v>Referenced in recovered corpus; source not independently rechecked in this edition</x:v>
      </x:c>
      <x:c r="F167" s="9" t="str">
        <x:v>C-09</x:v>
      </x:c>
      <x:c r="G167" s="9" t="str">
        <x:v>COR-052</x:v>
      </x:c>
      <x:c r="H167" s="12" t="str">
        <x:f>IFERROR(HYPERLINK(I167,"Open source"),"Open source")</x:f>
        <x:v>Open source</x:v>
      </x:c>
      <x:c r="I167" s="11" t="str">
        <x:v>https://www.ecfr.gov/current/title-5/chapter-XVI/subchapter-B/part-2640</x:v>
      </x:c>
    </x:row>
    <x:row r="168" ht="39" customHeight="1">
      <x:c r="A168" s="9" t="str">
        <x:v>REF-0164</x:v>
      </x:c>
      <x:c r="B168" s="9" t="str">
        <x:v>OGE; 18 U.S.C. §208(a) Job Aid; 2026</x:v>
      </x:c>
      <x:c r="C168" s="9" t="str">
        <x:v>extapps2.oge.gov</x:v>
      </x:c>
      <x:c r="D168" s="9" t="str">
        <x:v>Government / court / official source</x:v>
      </x:c>
      <x:c r="E168" s="9" t="str">
        <x:v>Referenced in recovered corpus; source not independently rechecked in this edition</x:v>
      </x:c>
      <x:c r="F168" s="9" t="str">
        <x:v>C-10</x:v>
      </x:c>
      <x:c r="G168" s="9" t="str">
        <x:v>COR-010; COR-052</x:v>
      </x:c>
      <x:c r="H168" s="12" t="str">
        <x:f>IFERROR(HYPERLINK(I168,"Open source"),"Open source")</x:f>
        <x:v>Open source</x:v>
      </x:c>
      <x:c r="I168" s="11" t="str">
        <x:v>https://extapps2.oge.gov/Training/OGETraining.nsf/xsp/.ibmmodres/domino/OpenAttachment/training/ogetraining.nsf/D699B9D62E9E16B885258D77004F256A/Body/18%20U.S.C.%20208%28a%29%20Job%20Aid.pdf</x:v>
      </x:c>
    </x:row>
    <x:row r="169" ht="39" customHeight="1">
      <x:c r="A169" s="9" t="str">
        <x:v>REF-0165</x:v>
      </x:c>
      <x:c r="B169" s="9" t="str">
        <x:v>U.S. Code; 18 U.S.C. §202(c)</x:v>
      </x:c>
      <x:c r="C169" s="9" t="str">
        <x:v>www.govinfo.gov</x:v>
      </x:c>
      <x:c r="D169" s="9" t="str">
        <x:v>Government / court / official source</x:v>
      </x:c>
      <x:c r="E169" s="9" t="str">
        <x:v>Referenced in recovered corpus; source not independently rechecked in this edition</x:v>
      </x:c>
      <x:c r="F169" s="9" t="str">
        <x:v>T-06</x:v>
      </x:c>
      <x:c r="G169" s="9" t="str">
        <x:v>COR-052</x:v>
      </x:c>
      <x:c r="H169" s="12" t="str">
        <x:f>IFERROR(HYPERLINK(I169,"Open source"),"Open source")</x:f>
        <x:v>Open source</x:v>
      </x:c>
      <x:c r="I169" s="11" t="str">
        <x:v>https://www.govinfo.gov/link/uscode/18/202</x:v>
      </x:c>
    </x:row>
    <x:row r="170" ht="39" customHeight="1">
      <x:c r="A170" s="9" t="str">
        <x:v>REF-0166</x:v>
      </x:c>
      <x:c r="B170" s="9" t="str">
        <x:v>DOJ OPA; Binance and CEO Plead Guilty to Federal Charges in $4B Resolution; 2023-11-21</x:v>
      </x:c>
      <x:c r="C170" s="9" t="str">
        <x:v>www.justice.gov</x:v>
      </x:c>
      <x:c r="D170" s="9" t="str">
        <x:v>Government / court / official source</x:v>
      </x:c>
      <x:c r="E170" s="9" t="str">
        <x:v>Referenced in recovered corpus; source not independently rechecked in this edition</x:v>
      </x:c>
      <x:c r="F170" s="9" t="str">
        <x:v>T-08</x:v>
      </x:c>
      <x:c r="G170" s="9" t="str">
        <x:v>COR-052</x:v>
      </x:c>
      <x:c r="H170" s="12" t="str">
        <x:f>IFERROR(HYPERLINK(I170,"Open source"),"Open source")</x:f>
        <x:v>Open source</x:v>
      </x:c>
      <x:c r="I170" s="11" t="str">
        <x:v>https://www.justice.gov/archives/opa/pr/binance-and-ceo-plead-guilty-federal-charges-4b-resolution</x:v>
      </x:c>
    </x:row>
    <x:row r="171" ht="39" customHeight="1">
      <x:c r="A171" s="9" t="str">
        <x:v>REF-0167</x:v>
      </x:c>
      <x:c r="B171" s="9" t="str">
        <x:v>President/DOJ Pardon Office; Pardon — Changpeng Zhao; 2025-10-21</x:v>
      </x:c>
      <x:c r="C171" s="9" t="str">
        <x:v>www.justice.gov</x:v>
      </x:c>
      <x:c r="D171" s="9" t="str">
        <x:v>Government / court / official source</x:v>
      </x:c>
      <x:c r="E171" s="9" t="str">
        <x:v>Referenced in recovered corpus; source not independently rechecked in this edition</x:v>
      </x:c>
      <x:c r="F171" s="9" t="str">
        <x:v>T-09</x:v>
      </x:c>
      <x:c r="G171" s="9" t="str">
        <x:v>COR-052</x:v>
      </x:c>
      <x:c r="H171" s="12" t="str">
        <x:f>IFERROR(HYPERLINK(I171,"Open source"),"Open source")</x:f>
        <x:v>Open source</x:v>
      </x:c>
      <x:c r="I171" s="11" t="str">
        <x:v>https://www.justice.gov/pardon/media/1416576/dl?inline=</x:v>
      </x:c>
    </x:row>
    <x:row r="172" ht="39" customHeight="1">
      <x:c r="A172" s="9" t="str">
        <x:v>REF-0168</x:v>
      </x:c>
      <x:c r="B172" s="9" t="str">
        <x:v>Office of Rep. Sean Casten; congressional letter/release; 2025-11-06</x:v>
      </x:c>
      <x:c r="C172" s="9" t="str">
        <x:v>casten.house.gov</x:v>
      </x:c>
      <x:c r="D172" s="9" t="str">
        <x:v>Government / court / official source</x:v>
      </x:c>
      <x:c r="E172" s="9" t="str">
        <x:v>Referenced in recovered corpus; source not independently rechecked in this edition</x:v>
      </x:c>
      <x:c r="F172" s="9" t="str">
        <x:v>T-11</x:v>
      </x:c>
      <x:c r="G172" s="9" t="str">
        <x:v>COR-052</x:v>
      </x:c>
      <x:c r="H172" s="12" t="str">
        <x:f>IFERROR(HYPERLINK(I172,"Open source"),"Open source")</x:f>
        <x:v>Open source</x:v>
      </x:c>
      <x:c r="I172" s="11" t="str">
        <x:v>https://casten.house.gov/media/press-releases/casten-27-house-dems-condemn-pardon-of-binance-founder</x:v>
      </x:c>
    </x:row>
    <x:row r="173" ht="39" customHeight="1">
      <x:c r="A173" s="9" t="str">
        <x:v>REF-0169</x:v>
      </x:c>
      <x:c r="B173" s="9" t="str">
        <x:v>Department of Defense; Contracts For May 21, 2025; award 2025-05-20; modification P00005/W911QX-24-D-0012</x:v>
      </x:c>
      <x:c r="C173" s="9" t="str">
        <x:v>www.war.gov</x:v>
      </x:c>
      <x:c r="D173" s="9" t="str">
        <x:v>Government / court / official source</x:v>
      </x:c>
      <x:c r="E173" s="9" t="str">
        <x:v>Checked in this edition</x:v>
      </x:c>
      <x:c r="F173" s="9" t="str">
        <x:v>P-01</x:v>
      </x:c>
      <x:c r="G173" s="9" t="str">
        <x:v>COR-052</x:v>
      </x:c>
      <x:c r="H173" s="12" t="str">
        <x:f>IFERROR(HYPERLINK(I173,"Open source"),"Open source")</x:f>
        <x:v>Open source</x:v>
      </x:c>
      <x:c r="I173" s="11" t="str">
        <x:v>https://www.war.gov/News/Contracts/Contract/Article/4194643/</x:v>
      </x:c>
    </x:row>
    <x:row r="174" ht="39" customHeight="1">
      <x:c r="A174" s="9" t="str">
        <x:v>REF-0170</x:v>
      </x:c>
      <x:c r="B174" s="9" t="str">
        <x:v>U.S. Army; enterprise service agreement announcement; 2025-07-31</x:v>
      </x:c>
      <x:c r="C174" s="9" t="str">
        <x:v>www.army.mil</x:v>
      </x:c>
      <x:c r="D174" s="9" t="str">
        <x:v>Government / court / official source</x:v>
      </x:c>
      <x:c r="E174" s="9" t="str">
        <x:v>Checked in this edition</x:v>
      </x:c>
      <x:c r="F174" s="9" t="str">
        <x:v>P-02</x:v>
      </x:c>
      <x:c r="G174" s="9" t="str">
        <x:v>COR-052</x:v>
      </x:c>
      <x:c r="H174" s="12" t="str">
        <x:f>IFERROR(HYPERLINK(I174,"Open source"),"Open source")</x:f>
        <x:v>Open source</x:v>
      </x:c>
      <x:c r="I174" s="11" t="str">
        <x:v>https://www.army.mil/article/287506/u_s_army_awards_enterprise_service_agreement_to_enhance_military_readiness_and_drive_operational_efficiency</x:v>
      </x:c>
    </x:row>
    <x:row r="175" ht="39" customHeight="1">
      <x:c r="A175" s="9" t="str">
        <x:v>REF-0171</x:v>
      </x:c>
      <x:c r="B175" s="9" t="str">
        <x:v>FBI/DOJ; USAspending award 15F06723C0002443; 2023-09-20</x:v>
      </x:c>
      <x:c r="C175" s="9" t="str">
        <x:v>www.usaspending.gov</x:v>
      </x:c>
      <x:c r="D175" s="9" t="str">
        <x:v>Government / court / official source</x:v>
      </x:c>
      <x:c r="E175" s="9" t="str">
        <x:v>Referenced in recovered corpus; source not independently rechecked in this edition</x:v>
      </x:c>
      <x:c r="F175" s="9" t="str">
        <x:v>P-04</x:v>
      </x:c>
      <x:c r="G175" s="9" t="str">
        <x:v>COR-052</x:v>
      </x:c>
      <x:c r="H175" s="12" t="str">
        <x:f>IFERROR(HYPERLINK(I175,"Open source"),"Open source")</x:f>
        <x:v>Open source</x:v>
      </x:c>
      <x:c r="I175" s="11" t="str">
        <x:v>https://www.usaspending.gov/keyword_search/15F06723C0002443</x:v>
      </x:c>
    </x:row>
    <x:row r="176" ht="39" customHeight="1">
      <x:c r="A176" s="9" t="str">
        <x:v>REF-0172</x:v>
      </x:c>
      <x:c r="B176" s="9" t="str">
        <x:v>CMS; Data Sharing Agreements; modified 2026-01-23</x:v>
      </x:c>
      <x:c r="C176" s="9" t="str">
        <x:v>www.cms.gov</x:v>
      </x:c>
      <x:c r="D176" s="9" t="str">
        <x:v>Government / court / official source</x:v>
      </x:c>
      <x:c r="E176" s="9" t="str">
        <x:v>Referenced in recovered corpus; source not independently rechecked in this edition</x:v>
      </x:c>
      <x:c r="F176" s="9" t="str">
        <x:v>P-05</x:v>
      </x:c>
      <x:c r="G176" s="9" t="str">
        <x:v>COR-052</x:v>
      </x:c>
      <x:c r="H176" s="12" t="str">
        <x:f>IFERROR(HYPERLINK(I176,"Open source"),"Open source")</x:f>
        <x:v>Open source</x:v>
      </x:c>
      <x:c r="I176" s="11" t="str">
        <x:v>https://www.cms.gov/about-cms/information-systems/privacy/data-sharing-agreements</x:v>
      </x:c>
    </x:row>
    <x:row r="177" ht="39" customHeight="1">
      <x:c r="A177" s="9" t="str">
        <x:v>REF-0173</x:v>
      </x:c>
      <x:c r="B177" s="9" t="str">
        <x:v>OMB ethics filing; Gregory J. Barbaccia new-entrant OGE Form 278e; certified 2025-04-03</x:v>
      </x:c>
      <x:c r="C177" s="9" t="str">
        <x:v>www.documentcloud.org</x:v>
      </x:c>
      <x:c r="D177" s="9" t="str">
        <x:v>Reference carried by the corpus</x:v>
      </x:c>
      <x:c r="E177" s="9" t="str">
        <x:v>Referenced in recovered corpus; source not independently rechecked in this edition</x:v>
      </x:c>
      <x:c r="F177" s="9" t="str">
        <x:v>P-09</x:v>
      </x:c>
      <x:c r="G177" s="9" t="str">
        <x:v>COR-052</x:v>
      </x:c>
      <x:c r="H177" s="12" t="str">
        <x:f>IFERROR(HYPERLINK(I177,"Open source"),"Open source")</x:f>
        <x:v>Open source</x:v>
      </x:c>
      <x:c r="I177" s="11" t="str">
        <x:v>https://www.documentcloud.org/documents/26102482-barbaccia-gregory-j-general-278s-new-entrant-278-2025/</x:v>
      </x:c>
    </x:row>
    <x:row r="178" ht="39" customHeight="1">
      <x:c r="A178" s="9" t="str">
        <x:v>REF-0174</x:v>
      </x:c>
      <x:c r="B178" s="9" t="str">
        <x:v>Palantir Technologies Investor Relations; Board of Directors; checked 2026-08-17</x:v>
      </x:c>
      <x:c r="C178" s="9" t="str">
        <x:v>investors.palantir.com</x:v>
      </x:c>
      <x:c r="D178" s="9" t="str">
        <x:v>Reference carried by the corpus</x:v>
      </x:c>
      <x:c r="E178" s="9" t="str">
        <x:v>Referenced in recovered corpus; source not independently rechecked in this edition</x:v>
      </x:c>
      <x:c r="F178" s="9" t="str">
        <x:v>PA-P01</x:v>
      </x:c>
      <x:c r="G178" s="9" t="str">
        <x:v>COR-052</x:v>
      </x:c>
      <x:c r="H178" s="12" t="str">
        <x:f>IFERROR(HYPERLINK(I178,"Open source"),"Open source")</x:f>
        <x:v>Open source</x:v>
      </x:c>
      <x:c r="I178" s="11" t="str">
        <x:v>https://investors.palantir.com/governance/board-of-directors</x:v>
      </x:c>
    </x:row>
    <x:row r="179" ht="39" customHeight="1">
      <x:c r="A179" s="9" t="str">
        <x:v>REF-0175</x:v>
      </x:c>
      <x:c r="B179" s="9" t="str">
        <x:v>Marble Freedom Trust; Form 990 for tax period ending Apr. 2021; filing ID 202240749349301569</x:v>
      </x:c>
      <x:c r="C179" s="9" t="str">
        <x:v>projects.propublica.org</x:v>
      </x:c>
      <x:c r="D179" s="9" t="str">
        <x:v>Reference carried by the corpus</x:v>
      </x:c>
      <x:c r="E179" s="9" t="str">
        <x:v>Referenced in recovered corpus; source not independently rechecked in this edition</x:v>
      </x:c>
      <x:c r="F179" s="9" t="str">
        <x:v>JU-P02</x:v>
      </x:c>
      <x:c r="G179" s="9" t="str">
        <x:v>COR-052</x:v>
      </x:c>
      <x:c r="H179" s="12" t="str">
        <x:f>IFERROR(HYPERLINK(I179,"Open source"),"Open source")</x:f>
        <x:v>Open source</x:v>
      </x:c>
      <x:c r="I179" s="11" t="str">
        <x:v>https://projects.propublica.org/nonprofits/organizations/850784793/202240749349301569/IRS990</x:v>
      </x:c>
    </x:row>
    <x:row r="180" ht="39" customHeight="1">
      <x:c r="A180" s="9" t="str">
        <x:v>REF-0176</x:v>
      </x:c>
      <x:c r="B180" s="9" t="str">
        <x:v>Clarence Thomas; 2023 financial disclosure, amended language; filed 2024-05-15</x:v>
      </x:c>
      <x:c r="C180" s="9" t="str">
        <x:v>www.documentcloud.org</x:v>
      </x:c>
      <x:c r="D180" s="9" t="str">
        <x:v>Reference carried by the corpus</x:v>
      </x:c>
      <x:c r="E180" s="9" t="str">
        <x:v>Referenced in recovered corpus; source not independently rechecked in this edition</x:v>
      </x:c>
      <x:c r="F180" s="9" t="str">
        <x:v>JU-P03</x:v>
      </x:c>
      <x:c r="G180" s="9" t="str">
        <x:v>COR-052</x:v>
      </x:c>
      <x:c r="H180" s="12" t="str">
        <x:f>IFERROR(HYPERLINK(I180,"Open source"),"Open source")</x:f>
        <x:v>Open source</x:v>
      </x:c>
      <x:c r="I180" s="11" t="str">
        <x:v>https://www.documentcloud.org/documents/24737890-thomas-clarence-annual-2023#document/p6</x:v>
      </x:c>
    </x:row>
    <x:row r="181" ht="39" customHeight="1">
      <x:c r="A181" s="9" t="str">
        <x:v>REF-0177</x:v>
      </x:c>
      <x:c r="B181" s="9" t="str">
        <x:v>Supreme Court; Republic of Argentina v. NML Capital, 573 U.S. 134; 2014-06-16</x:v>
      </x:c>
      <x:c r="C181" s="9" t="str">
        <x:v>www.supremecourt.gov</x:v>
      </x:c>
      <x:c r="D181" s="9" t="str">
        <x:v>Government / court / official source</x:v>
      </x:c>
      <x:c r="E181" s="9" t="str">
        <x:v>Referenced in recovered corpus; source not independently rechecked in this edition</x:v>
      </x:c>
      <x:c r="F181" s="9" t="str">
        <x:v>JU-P04</x:v>
      </x:c>
      <x:c r="G181" s="9" t="str">
        <x:v>COR-052</x:v>
      </x:c>
      <x:c r="H181" s="12" t="str">
        <x:f>IFERROR(HYPERLINK(I181,"Open source"),"Open source")</x:f>
        <x:v>Open source</x:v>
      </x:c>
      <x:c r="I181" s="11" t="str">
        <x:v>https://www.supremecourt.gov/opinions/13pdf/12-842_6j37.pdf</x:v>
      </x:c>
    </x:row>
    <x:row r="182" ht="39" customHeight="1">
      <x:c r="A182" s="9" t="str">
        <x:v>REF-0178</x:v>
      </x:c>
      <x:c r="B182" s="9" t="str">
        <x:v>John Roberts; 2022 financial disclosure</x:v>
      </x:c>
      <x:c r="C182" s="9" t="str">
        <x:v>www.documentcloud.org</x:v>
      </x:c>
      <x:c r="D182" s="9" t="str">
        <x:v>Reference carried by the corpus</x:v>
      </x:c>
      <x:c r="E182" s="9" t="str">
        <x:v>Referenced in recovered corpus; source not independently rechecked in this edition</x:v>
      </x:c>
      <x:c r="F182" s="9" t="str">
        <x:v>JU-P06</x:v>
      </x:c>
      <x:c r="G182" s="9" t="str">
        <x:v>COR-052</x:v>
      </x:c>
      <x:c r="H182" s="12" t="str">
        <x:f>IFERROR(HYPERLINK(I182,"Open source"),"Open source")</x:f>
        <x:v>Open source</x:v>
      </x:c>
      <x:c r="I182" s="11" t="str">
        <x:v>https://www.documentcloud.org/documents/24216443-john-roberts-2022-financial-disclosure/</x:v>
      </x:c>
    </x:row>
    <x:row r="183" ht="39" customHeight="1">
      <x:c r="A183" s="9" t="str">
        <x:v>REF-0179</x:v>
      </x:c>
      <x:c r="B183" s="9" t="str">
        <x:v>Committee on Codes of Conduct; Advisory Opinion 107; 2011-03</x:v>
      </x:c>
      <x:c r="C183" s="9" t="str">
        <x:v>www.uscourts.gov</x:v>
      </x:c>
      <x:c r="D183" s="9" t="str">
        <x:v>Government / court / official source</x:v>
      </x:c>
      <x:c r="E183" s="9" t="str">
        <x:v>Referenced in recovered corpus; source not independently rechecked in this edition</x:v>
      </x:c>
      <x:c r="F183" s="9" t="str">
        <x:v>JU-P07</x:v>
      </x:c>
      <x:c r="G183" s="9" t="str">
        <x:v>COR-052</x:v>
      </x:c>
      <x:c r="H183" s="12" t="str">
        <x:f>IFERROR(HYPERLINK(I183,"Open source"),"Open source")</x:f>
        <x:v>Open source</x:v>
      </x:c>
      <x:c r="I183" s="11" t="str">
        <x:v>https://www.uscourts.gov/sites/default/files/vol02b-ch02.pdf#page=203</x:v>
      </x:c>
    </x:row>
    <x:row r="184" ht="39" customHeight="1">
      <x:c r="A184" s="9" t="str">
        <x:v>REF-0180</x:v>
      </x:c>
      <x:c r="B184" s="9" t="str">
        <x:v>Brett Kavanaugh; 2025 AO Form 10; signed 2026-05-15</x:v>
      </x:c>
      <x:c r="C184" s="9" t="str">
        <x:v>fixthecourt.com</x:v>
      </x:c>
      <x:c r="D184" s="9" t="str">
        <x:v>Reference carried by the corpus</x:v>
      </x:c>
      <x:c r="E184" s="9" t="str">
        <x:v>Referenced in recovered corpus; source not independently rechecked in this edition</x:v>
      </x:c>
      <x:c r="F184" s="9" t="str">
        <x:v>JU-P08</x:v>
      </x:c>
      <x:c r="G184" s="9" t="str">
        <x:v>COR-052</x:v>
      </x:c>
      <x:c r="H184" s="12" t="str">
        <x:f>IFERROR(HYPERLINK(I184,"Open source"),"Open source")</x:f>
        <x:v>Open source</x:v>
      </x:c>
      <x:c r="I184" s="11" t="str">
        <x:v>https://fixthecourt.com/wp-content/uploads/2026/06/Kavanaugh-Brett-M-Annual-2025.pdf</x:v>
      </x:c>
    </x:row>
    <x:row r="185" ht="39" customHeight="1">
      <x:c r="A185" s="9" t="str">
        <x:v>REF-0181</x:v>
      </x:c>
      <x:c r="B185" s="9" t="str">
        <x:v>Amy C. Barrett; 2025 AO Form 10; signed 2026-05-21</x:v>
      </x:c>
      <x:c r="C185" s="9" t="str">
        <x:v>fixthecourt.com</x:v>
      </x:c>
      <x:c r="D185" s="9" t="str">
        <x:v>Reference carried by the corpus</x:v>
      </x:c>
      <x:c r="E185" s="9" t="str">
        <x:v>Referenced in recovered corpus; source not independently rechecked in this edition</x:v>
      </x:c>
      <x:c r="F185" s="9" t="str">
        <x:v>JU-P09</x:v>
      </x:c>
      <x:c r="G185" s="9" t="str">
        <x:v>COR-052</x:v>
      </x:c>
      <x:c r="H185" s="12" t="str">
        <x:f>IFERROR(HYPERLINK(I185,"Open source"),"Open source")</x:f>
        <x:v>Open source</x:v>
      </x:c>
      <x:c r="I185" s="11" t="str">
        <x:v>https://fixthecourt.com/wp-content/uploads/2026/06/Barrett-Amy-C-Annual-2025.pdf</x:v>
      </x:c>
    </x:row>
    <x:row r="186" ht="39" customHeight="1">
      <x:c r="A186" s="9" t="str">
        <x:v>REF-0182</x:v>
      </x:c>
      <x:c r="B186" s="9" t="str">
        <x:v>Library of Congress/CRS; Constitution Annotated, Art. II §2 cl. 2</x:v>
      </x:c>
      <x:c r="C186" s="9" t="str">
        <x:v>constitution.congress.gov</x:v>
      </x:c>
      <x:c r="D186" s="9" t="str">
        <x:v>Government / court / official source</x:v>
      </x:c>
      <x:c r="E186" s="9" t="str">
        <x:v>Referenced in recovered corpus; source not independently rechecked in this edition</x:v>
      </x:c>
      <x:c r="F186" s="9" t="str">
        <x:v>JU-P10</x:v>
      </x:c>
      <x:c r="G186" s="9" t="str">
        <x:v>COR-052</x:v>
      </x:c>
      <x:c r="H186" s="12" t="str">
        <x:f>IFERROR(HYPERLINK(I186,"Open source"),"Open source")</x:f>
        <x:v>Open source</x:v>
      </x:c>
      <x:c r="I186" s="11" t="str">
        <x:v>https://constitution.congress.gov/browse/article-2/section-2/clause-2/</x:v>
      </x:c>
    </x:row>
    <x:row r="187" ht="39" customHeight="1">
      <x:c r="A187" s="9" t="str">
        <x:v>REF-0183</x:v>
      </x:c>
      <x:c r="B187" s="9" t="str">
        <x:v>Library of Congress/CRS; Constitution Annotated, Art. III §1</x:v>
      </x:c>
      <x:c r="C187" s="9" t="str">
        <x:v>constitution.congress.gov</x:v>
      </x:c>
      <x:c r="D187" s="9" t="str">
        <x:v>Government / court / official source</x:v>
      </x:c>
      <x:c r="E187" s="9" t="str">
        <x:v>Referenced in recovered corpus; source not independently rechecked in this edition</x:v>
      </x:c>
      <x:c r="F187" s="9" t="str">
        <x:v>JU-P11</x:v>
      </x:c>
      <x:c r="G187" s="9" t="str">
        <x:v>COR-052</x:v>
      </x:c>
      <x:c r="H187" s="12" t="str">
        <x:f>IFERROR(HYPERLINK(I187,"Open source"),"Open source")</x:f>
        <x:v>Open source</x:v>
      </x:c>
      <x:c r="I187" s="11" t="str">
        <x:v>https://constitution.congress.gov/browse/article-3/section-1/</x:v>
      </x:c>
    </x:row>
    <x:row r="188" ht="39" customHeight="1">
      <x:c r="A188" s="9" t="str">
        <x:v>REF-0184</x:v>
      </x:c>
      <x:c r="B188" s="9" t="str">
        <x:v>ProPublica; Six Senators Accuse Deputy Attorney General of ‘Glaring’ Crypto Conflict…; 2026-01-29</x:v>
      </x:c>
      <x:c r="C188" s="9" t="str">
        <x:v>www.propublica.org</x:v>
      </x:c>
      <x:c r="D188" s="9" t="str">
        <x:v>Reference carried by the corpus</x:v>
      </x:c>
      <x:c r="E188" s="9" t="str">
        <x:v>Referenced in recovered corpus; source not independently rechecked in this edition</x:v>
      </x:c>
      <x:c r="F188" s="9" t="str">
        <x:v>C-05</x:v>
      </x:c>
      <x:c r="G188" s="9" t="str">
        <x:v>COR-052</x:v>
      </x:c>
      <x:c r="H188" s="12" t="str">
        <x:f>IFERROR(HYPERLINK(I188,"Open source"),"Open source")</x:f>
        <x:v>Open source</x:v>
      </x:c>
      <x:c r="I188" s="11" t="str">
        <x:v>https://www.propublica.org/article/todd-blanche-crypto-conflict-senator-letter</x:v>
      </x:c>
    </x:row>
    <x:row r="189" ht="39" customHeight="1">
      <x:c r="A189" s="9" t="str">
        <x:v>REF-0185</x:v>
      </x:c>
      <x:c r="B189" s="9" t="str">
        <x:v>Reuters; Trump-linked stablecoin to close Abu Dhabi investment in Binance…; 2025-05-01</x:v>
      </x:c>
      <x:c r="C189" s="9" t="str">
        <x:v>www.reuters.com</x:v>
      </x:c>
      <x:c r="D189" s="9" t="str">
        <x:v>Reference carried by the corpus</x:v>
      </x:c>
      <x:c r="E189" s="9" t="str">
        <x:v>Referenced in recovered corpus; source not independently rechecked in this edition</x:v>
      </x:c>
      <x:c r="F189" s="9" t="str">
        <x:v>T-07</x:v>
      </x:c>
      <x:c r="G189" s="9" t="str">
        <x:v>COR-052</x:v>
      </x:c>
      <x:c r="H189" s="12" t="str">
        <x:f>IFERROR(HYPERLINK(I189,"Open source"),"Open source")</x:f>
        <x:v>Open source</x:v>
      </x:c>
      <x:c r="I189" s="11" t="str">
        <x:v>https://www.reuters.com/world/middle-east/wlfs-zach-witkoff-usd1-selected-official-stablecoin-mgx-investment-binance-2025-05-01/</x:v>
      </x:c>
    </x:row>
    <x:row r="190" ht="39" customHeight="1">
      <x:c r="A190" s="9" t="str">
        <x:v>REF-0186</x:v>
      </x:c>
      <x:c r="B190" s="9" t="str">
        <x:v>Reuters; Trump pardons convicted Binance founder Zhao…; 2025-10-23</x:v>
      </x:c>
      <x:c r="C190" s="9" t="str">
        <x:v>www.reuters.com</x:v>
      </x:c>
      <x:c r="D190" s="9" t="str">
        <x:v>Reference carried by the corpus</x:v>
      </x:c>
      <x:c r="E190" s="9" t="str">
        <x:v>Referenced in recovered corpus; source not independently rechecked in this edition</x:v>
      </x:c>
      <x:c r="F190" s="9" t="str">
        <x:v>T-10</x:v>
      </x:c>
      <x:c r="G190" s="9" t="str">
        <x:v>COR-052</x:v>
      </x:c>
      <x:c r="H190" s="12" t="str">
        <x:f>IFERROR(HYPERLINK(I190,"Open source"),"Open source")</x:f>
        <x:v>Open source</x:v>
      </x:c>
      <x:c r="I190" s="11" t="str">
        <x:v>https://www.reuters.com/world/us/trump-pardons-convicted-binance-founder-zhao-white-house-says-2025-10-23/</x:v>
      </x:c>
    </x:row>
    <x:row r="191" ht="39" customHeight="1">
      <x:c r="A191" s="9" t="str">
        <x:v>REF-0187</x:v>
      </x:c>
      <x:c r="B191" s="9" t="str">
        <x:v>NPR/KPBS; ICE shared Medicaid data it wasn't supposed to have with Palantir; 2026-07-17, updated 2026-07-18</x:v>
      </x:c>
      <x:c r="C191" s="9" t="str">
        <x:v>www.kpbs.org</x:v>
      </x:c>
      <x:c r="D191" s="9" t="str">
        <x:v>Reference carried by the corpus</x:v>
      </x:c>
      <x:c r="E191" s="9" t="str">
        <x:v>Checked in this edition</x:v>
      </x:c>
      <x:c r="F191" s="9" t="str">
        <x:v>V-01</x:v>
      </x:c>
      <x:c r="G191" s="9" t="str">
        <x:v>COR-052</x:v>
      </x:c>
      <x:c r="H191" s="12" t="str">
        <x:f>IFERROR(HYPERLINK(I191,"Open source"),"Open source")</x:f>
        <x:v>Open source</x:v>
      </x:c>
      <x:c r="I191" s="11" t="str">
        <x:v>https://www.kpbs.org/news/health/2026/07/17/ice-shared-medicaid-data-it-wasnt-supposed-to-have-with-palantir</x:v>
      </x:c>
    </x:row>
    <x:row r="192" ht="39" customHeight="1">
      <x:c r="A192" s="9" t="str">
        <x:v>REF-0188</x:v>
      </x:c>
      <x:c r="B192" s="9" t="str">
        <x:v>Nextgov/FCW; Gregory Barbaccia named federal CIO; 2025-01-27</x:v>
      </x:c>
      <x:c r="C192" s="9" t="str">
        <x:v>www.nextgov.com</x:v>
      </x:c>
      <x:c r="D192" s="9" t="str">
        <x:v>Reference carried by the corpus</x:v>
      </x:c>
      <x:c r="E192" s="9" t="str">
        <x:v>Referenced in recovered corpus; source not independently rechecked in this edition</x:v>
      </x:c>
      <x:c r="F192" s="9" t="str">
        <x:v>V-02</x:v>
      </x:c>
      <x:c r="G192" s="9" t="str">
        <x:v>COR-052</x:v>
      </x:c>
      <x:c r="H192" s="12" t="str">
        <x:f>IFERROR(HYPERLINK(I192,"Open source"),"Open source")</x:f>
        <x:v>Open source</x:v>
      </x:c>
      <x:c r="I192" s="11" t="str">
        <x:v>https://www.nextgov.com/people/2025/01/gregory-barbacia-named-federal-cio/402501/</x:v>
      </x:c>
    </x:row>
    <x:row r="193" ht="39" customHeight="1">
      <x:c r="A193" s="9" t="str">
        <x:v>REF-0189</x:v>
      </x:c>
      <x:c r="B193" s="9" t="str">
        <x:v>Federal News Network; Federal CIO Barbaccia leaving in August; 2026-07-07</x:v>
      </x:c>
      <x:c r="C193" s="9" t="str">
        <x:v>federalnewsnetwork.com</x:v>
      </x:c>
      <x:c r="D193" s="9" t="str">
        <x:v>Reference carried by the corpus</x:v>
      </x:c>
      <x:c r="E193" s="9" t="str">
        <x:v>Referenced in recovered corpus; source not independently rechecked in this edition</x:v>
      </x:c>
      <x:c r="F193" s="9" t="str">
        <x:v>V-03</x:v>
      </x:c>
      <x:c r="G193" s="9" t="str">
        <x:v>COR-052</x:v>
      </x:c>
      <x:c r="H193" s="12" t="str">
        <x:f>IFERROR(HYPERLINK(I193,"Open source"),"Open source")</x:f>
        <x:v>Open source</x:v>
      </x:c>
      <x:c r="I193" s="11" t="str">
        <x:v>https://federalnewsnetwork.com/cio-news/2026/07/federal-cio-barbaccia-leaving-in-august/</x:v>
      </x:c>
    </x:row>
    <x:row r="194" ht="39" customHeight="1">
      <x:c r="A194" s="9" t="str">
        <x:v>REF-0190</x:v>
      </x:c>
      <x:c r="B194" s="9" t="str">
        <x:v>ProPublica; Kash Patel financial-disclosure index; live</x:v>
      </x:c>
      <x:c r="C194" s="9" t="str">
        <x:v>projects.propublica.org</x:v>
      </x:c>
      <x:c r="D194" s="9" t="str">
        <x:v>Reference carried by the corpus</x:v>
      </x:c>
      <x:c r="E194" s="9" t="str">
        <x:v>Referenced in recovered corpus; source not independently rechecked in this edition</x:v>
      </x:c>
      <x:c r="F194" s="9" t="str">
        <x:v>V-06</x:v>
      </x:c>
      <x:c r="G194" s="9" t="str">
        <x:v>COR-052</x:v>
      </x:c>
      <x:c r="H194" s="12" t="str">
        <x:f>IFERROR(HYPERLINK(I194,"Open source"),"Open source")</x:f>
        <x:v>Open source</x:v>
      </x:c>
      <x:c r="I194" s="11" t="str">
        <x:v>https://projects.propublica.org/trump-team-financial-disclosures/appointees/patel-kashyap-p/</x:v>
      </x:c>
    </x:row>
    <x:row r="195" ht="39" customHeight="1">
      <x:c r="A195" s="9" t="str">
        <x:v>REF-0191</x:v>
      </x:c>
      <x:c r="B195" s="9" t="str">
        <x:v>ProPublica; Secretive D.C. Influence Project…; 2025-03-06</x:v>
      </x:c>
      <x:c r="C195" s="9" t="str">
        <x:v>www.propublica.org</x:v>
      </x:c>
      <x:c r="D195" s="9" t="str">
        <x:v>Reference carried by the corpus</x:v>
      </x:c>
      <x:c r="E195" s="9" t="str">
        <x:v>Referenced in recovered corpus; source not independently rechecked in this edition</x:v>
      </x:c>
      <x:c r="F195" s="9" t="str">
        <x:v>PA-V04</x:v>
      </x:c>
      <x:c r="G195" s="9" t="str">
        <x:v>COR-052</x:v>
      </x:c>
      <x:c r="H195" s="12" t="str">
        <x:f>IFERROR(HYPERLINK(I195,"Open source"),"Open source")</x:f>
        <x:v>Open source</x:v>
      </x:c>
      <x:c r="I195" s="11" t="str">
        <x:v>https://www.propublica.org/article/roommates-steve-berger-mike-johnson-andy-ogles-right-wing-influence-townhouse</x:v>
      </x:c>
    </x:row>
    <x:row r="196" ht="39" customHeight="1">
      <x:c r="A196" s="9" t="str">
        <x:v>REF-0192</x:v>
      </x:c>
      <x:c r="B196" s="9" t="str">
        <x:v>Courthouse News Service; Watchdog says Mike Johnson used campaign funds…; 2025-08-08</x:v>
      </x:c>
      <x:c r="C196" s="9" t="str">
        <x:v>www.courthousenews.com</x:v>
      </x:c>
      <x:c r="D196" s="9" t="str">
        <x:v>Reference carried by the corpus</x:v>
      </x:c>
      <x:c r="E196" s="9" t="str">
        <x:v>Referenced in recovered corpus; source not independently rechecked in this edition</x:v>
      </x:c>
      <x:c r="F196" s="9" t="str">
        <x:v>PA-V05</x:v>
      </x:c>
      <x:c r="G196" s="9" t="str">
        <x:v>COR-052</x:v>
      </x:c>
      <x:c r="H196" s="12" t="str">
        <x:f>IFERROR(HYPERLINK(I196,"Open source"),"Open source")</x:f>
        <x:v>Open source</x:v>
      </x:c>
      <x:c r="I196" s="11" t="str">
        <x:v>https://www.courthousenews.com/watchdog-says-mike-johnson-used-campaign-funds-to-rent-from-gop-lawmaker/</x:v>
      </x:c>
    </x:row>
    <x:row r="197" ht="39" customHeight="1">
      <x:c r="A197" s="9" t="str">
        <x:v>REF-0193</x:v>
      </x:c>
      <x:c r="B197" s="9" t="str">
        <x:v>TheJournal.ie; Wicklow hotel cancels Peter Thiel-linked ‘Dialog’ conference; 2026-07-03</x:v>
      </x:c>
      <x:c r="C197" s="9" t="str">
        <x:v>www.thejournal.ie</x:v>
      </x:c>
      <x:c r="D197" s="9" t="str">
        <x:v>Reference carried by the corpus</x:v>
      </x:c>
      <x:c r="E197" s="9" t="str">
        <x:v>Referenced in recovered corpus; source not independently rechecked in this edition</x:v>
      </x:c>
      <x:c r="F197" s="9" t="str">
        <x:v>PA-V07</x:v>
      </x:c>
      <x:c r="G197" s="9" t="str">
        <x:v>COR-052</x:v>
      </x:c>
      <x:c r="H197" s="12" t="str">
        <x:f>IFERROR(HYPERLINK(I197,"Open source"),"Open source")</x:f>
        <x:v>Open source</x:v>
      </x:c>
      <x:c r="I197" s="11" t="str">
        <x:v>https://www.thejournal.ie/wicklow-hotel-powerscourt-dialog-cancelled-7089941-Jul2026/</x:v>
      </x:c>
    </x:row>
    <x:row r="198" ht="39" customHeight="1">
      <x:c r="A198" s="9" t="str">
        <x:v>REF-0194</x:v>
      </x:c>
      <x:c r="B198" s="9" t="str">
        <x:v>Washington Post; Federalist Society’s Leonard Leo is helping Trump make landmark judicial choices; 2019-05-21</x:v>
      </x:c>
      <x:c r="C198" s="9" t="str">
        <x:v>www.washingtonpost.com</x:v>
      </x:c>
      <x:c r="D198" s="9" t="str">
        <x:v>Reference carried by the corpus</x:v>
      </x:c>
      <x:c r="E198" s="9" t="str">
        <x:v>Referenced in recovered corpus; source not independently rechecked in this edition</x:v>
      </x:c>
      <x:c r="F198" s="9" t="str">
        <x:v>JU-V01</x:v>
      </x:c>
      <x:c r="G198" s="9" t="str">
        <x:v>COR-052</x:v>
      </x:c>
      <x:c r="H198" s="12" t="str">
        <x:f>IFERROR(HYPERLINK(I198,"Open source"),"Open source")</x:f>
        <x:v>Open source</x:v>
      </x:c>
      <x:c r="I198" s="11" t="str">
        <x:v>https://www.washingtonpost.com/graphics/2019/investigations/leonard-leo-federalists-society-courts/</x:v>
      </x:c>
    </x:row>
    <x:row r="199" ht="39" customHeight="1">
      <x:c r="A199" s="9" t="str">
        <x:v>REF-0195</x:v>
      </x:c>
      <x:c r="B199" s="9" t="str">
        <x:v>TIME; Mitch McConnell Explains His Strategy on Judges; 2018-02-08</x:v>
      </x:c>
      <x:c r="C199" s="9" t="str">
        <x:v>time.com</x:v>
      </x:c>
      <x:c r="D199" s="9" t="str">
        <x:v>Reference carried by the corpus</x:v>
      </x:c>
      <x:c r="E199" s="9" t="str">
        <x:v>Referenced in recovered corpus; source not independently rechecked in this edition</x:v>
      </x:c>
      <x:c r="F199" s="9" t="str">
        <x:v>JU-V02</x:v>
      </x:c>
      <x:c r="G199" s="9" t="str">
        <x:v>COR-052</x:v>
      </x:c>
      <x:c r="H199" s="12" t="str">
        <x:f>IFERROR(HYPERLINK(I199,"Open source"),"Open source")</x:f>
        <x:v>Open source</x:v>
      </x:c>
      <x:c r="I199" s="11" t="str">
        <x:v>https://time.com/5138247/mitch-mcconnell-judicial-strategy/</x:v>
      </x:c>
    </x:row>
    <x:row r="200" ht="39" customHeight="1">
      <x:c r="A200" s="9" t="str">
        <x:v>REF-0196</x:v>
      </x:c>
      <x:c r="B200" s="9" t="str">
        <x:v>ProPublica; Justice Clarence Thomas Acknowledges He Should Have Disclosed…; 2024-06-07</x:v>
      </x:c>
      <x:c r="C200" s="9" t="str">
        <x:v>www.propublica.org</x:v>
      </x:c>
      <x:c r="D200" s="9" t="str">
        <x:v>Reference carried by the corpus</x:v>
      </x:c>
      <x:c r="E200" s="9" t="str">
        <x:v>Referenced in recovered corpus; source not independently rechecked in this edition</x:v>
      </x:c>
      <x:c r="F200" s="9" t="str">
        <x:v>JU-V04</x:v>
      </x:c>
      <x:c r="G200" s="9" t="str">
        <x:v>COR-052</x:v>
      </x:c>
      <x:c r="H200" s="12" t="str">
        <x:f>IFERROR(HYPERLINK(I200,"Open source"),"Open source")</x:f>
        <x:v>Open source</x:v>
      </x:c>
      <x:c r="I200" s="11" t="str">
        <x:v>https://www.propublica.org/article/clarence-thomas-gift-disclosures-harlan-crow</x:v>
      </x:c>
    </x:row>
    <x:row r="201" ht="39" customHeight="1">
      <x:c r="A201" s="9" t="str">
        <x:v>REF-0197</x:v>
      </x:c>
      <x:c r="B201" s="9" t="str">
        <x:v>Reuters; US Supreme Court’s Thomas will not be referred to Justice Department…; 2025-01-02</x:v>
      </x:c>
      <x:c r="C201" s="9" t="str">
        <x:v>www.reuters.com</x:v>
      </x:c>
      <x:c r="D201" s="9" t="str">
        <x:v>Reference carried by the corpus</x:v>
      </x:c>
      <x:c r="E201" s="9" t="str">
        <x:v>Referenced in recovered corpus; source not independently rechecked in this edition</x:v>
      </x:c>
      <x:c r="F201" s="9" t="str">
        <x:v>JU-V06</x:v>
      </x:c>
      <x:c r="G201" s="9" t="str">
        <x:v>COR-052</x:v>
      </x:c>
      <x:c r="H201" s="12" t="str">
        <x:f>IFERROR(HYPERLINK(I201,"Open source"),"Open source")</x:f>
        <x:v>Open source</x:v>
      </x:c>
      <x:c r="I201" s="11" t="str">
        <x:v>https://www.reuters.com/legal/us-supreme-courts-thomas-will-not-be-referred-justice-department-judiciary-says-2025-01-02/</x:v>
      </x:c>
    </x:row>
    <x:row r="202" ht="39" customHeight="1">
      <x:c r="A202" s="9" t="str">
        <x:v>REF-0198</x:v>
      </x:c>
      <x:c r="B202" s="9" t="str">
        <x:v>Business Insider; Jane Roberts… made $10.3 million in commissions…; 2023-04-28</x:v>
      </x:c>
      <x:c r="C202" s="9" t="str">
        <x:v>www.businessinsider.com</x:v>
      </x:c>
      <x:c r="D202" s="9" t="str">
        <x:v>Reference carried by the corpus</x:v>
      </x:c>
      <x:c r="E202" s="9" t="str">
        <x:v>Referenced in recovered corpus; source not independently rechecked in this edition</x:v>
      </x:c>
      <x:c r="F202" s="9" t="str">
        <x:v>JU-V09</x:v>
      </x:c>
      <x:c r="G202" s="9" t="str">
        <x:v>COR-052</x:v>
      </x:c>
      <x:c r="H202" s="12" t="str">
        <x:f>IFERROR(HYPERLINK(I202,"Open source"),"Open source")</x:f>
        <x:v>Open source</x:v>
      </x:c>
      <x:c r="I202" s="11" t="str">
        <x:v>https://www.businessinsider.com/jane-roberts-chief-justice-wife-10-million-commissions-2023-4</x:v>
      </x:c>
    </x:row>
    <x:row r="203" ht="39" customHeight="1">
      <x:c r="A203" s="9" t="str">
        <x:v>REF-0199</x:v>
      </x:c>
      <x:c r="B203" s="9" t="str">
        <x:v>Federalist Society; Leonard A. Leo biography; checked 2026-08-18</x:v>
      </x:c>
      <x:c r="C203" s="9" t="str">
        <x:v>fedsoc.org</x:v>
      </x:c>
      <x:c r="D203" s="9" t="str">
        <x:v>Reference carried by the corpus</x:v>
      </x:c>
      <x:c r="E203" s="9" t="str">
        <x:v>Referenced in recovered corpus; source not independently rechecked in this edition</x:v>
      </x:c>
      <x:c r="F203" s="9" t="str">
        <x:v>JU-A01</x:v>
      </x:c>
      <x:c r="G203" s="9" t="str">
        <x:v>COR-052</x:v>
      </x:c>
      <x:c r="H203" s="12" t="str">
        <x:f>IFERROR(HYPERLINK(I203,"Open source"),"Open source")</x:f>
        <x:v>Open source</x:v>
      </x:c>
      <x:c r="I203" s="11" t="str">
        <x:v>https://fedsoc.org/bio/leonard-leo</x:v>
      </x:c>
    </x:row>
    <x:row r="204" ht="39" customHeight="1">
      <x:c r="A204" s="9" t="str">
        <x:v>REF-0200</x:v>
      </x:c>
      <x:c r="B204" s="9" t="str">
        <x:v>JCN; Confirm Kavanaugh, a $1.4 Million Ad Buy; 2018-07-09</x:v>
      </x:c>
      <x:c r="C204" s="9" t="str">
        <x:v>confirmkavanaugh.com</x:v>
      </x:c>
      <x:c r="D204" s="9" t="str">
        <x:v>Reference carried by the corpus</x:v>
      </x:c>
      <x:c r="E204" s="9" t="str">
        <x:v>Referenced in recovered corpus; source not independently rechecked in this edition</x:v>
      </x:c>
      <x:c r="F204" s="9" t="str">
        <x:v>JU-A02</x:v>
      </x:c>
      <x:c r="G204" s="9" t="str">
        <x:v>COR-052</x:v>
      </x:c>
      <x:c r="H204" s="12" t="str">
        <x:f>IFERROR(HYPERLINK(I204,"Open source"),"Open source")</x:f>
        <x:v>Open source</x:v>
      </x:c>
      <x:c r="I204" s="11" t="str">
        <x:v>https://confirmkavanaugh.com/2018/07/judicial-crisis-network-launches-confirm-kavanaugh-a-1-4-million-ad-buy-national-al-in-nd-wv/</x:v>
      </x:c>
    </x:row>
    <x:row r="205" ht="39" customHeight="1">
      <x:c r="A205" s="9" t="str">
        <x:v>REF-0201</x:v>
      </x:c>
      <x:c r="B205" s="9" t="str">
        <x:v>JCN; JCN Continues Drumbeat for Judge Amy Coney Barrett…; 2020 campaign</x:v>
      </x:c>
      <x:c r="C205" s="9" t="str">
        <x:v>judicialnetwork.com</x:v>
      </x:c>
      <x:c r="D205" s="9" t="str">
        <x:v>Reference carried by the corpus</x:v>
      </x:c>
      <x:c r="E205" s="9" t="str">
        <x:v>Referenced in recovered corpus; source not independently rechecked in this edition</x:v>
      </x:c>
      <x:c r="F205" s="9" t="str">
        <x:v>JU-A03</x:v>
      </x:c>
      <x:c r="G205" s="9" t="str">
        <x:v>COR-052</x:v>
      </x:c>
      <x:c r="H205" s="12" t="str">
        <x:f>IFERROR(HYPERLINK(I205,"Open source"),"Open source")</x:f>
        <x:v>Open source</x:v>
      </x:c>
      <x:c r="I205" s="11" t="str">
        <x:v>https://judicialnetwork.com/in-the-news/jcn-continues-drumbeat-for-acb/</x:v>
      </x:c>
    </x:row>
    <x:row r="206" ht="39" customHeight="1">
      <x:c r="A206" s="9" t="str">
        <x:v>REF-0202</x:v>
      </x:c>
      <x:c r="B206" s="9" t="str">
        <x:v>Brennan Center; Conservative Group Behind Kavanaugh Confirmation…; 2018-09-12</x:v>
      </x:c>
      <x:c r="C206" s="9" t="str">
        <x:v>www.brennancenter.org</x:v>
      </x:c>
      <x:c r="D206" s="9" t="str">
        <x:v>Reference carried by the corpus</x:v>
      </x:c>
      <x:c r="E206" s="9" t="str">
        <x:v>Referenced in recovered corpus; source not independently rechecked in this edition</x:v>
      </x:c>
      <x:c r="F206" s="9" t="str">
        <x:v>JU-A04</x:v>
      </x:c>
      <x:c r="G206" s="9" t="str">
        <x:v>COR-052</x:v>
      </x:c>
      <x:c r="H206" s="12" t="str">
        <x:f>IFERROR(HYPERLINK(I206,"Open source"),"Open source")</x:f>
        <x:v>Open source</x:v>
      </x:c>
      <x:c r="I206" s="11" t="str">
        <x:v>https://www.brennancenter.org/our-work/analysis-opinion/conservative-group-behind-kavanaugh-confirmation-has-spent-years</x:v>
      </x:c>
    </x:row>
    <x:row r="207" ht="39" customHeight="1">
      <x:c r="A207" s="9" t="str">
        <x:v>REF-0203</x:v>
      </x:c>
      <x:c r="B207" s="9" t="str">
        <x:v>etcsl.orin</x:v>
      </x:c>
      <x:c r="C207" s="9" t="str">
        <x:v>etcsl.orin</x:v>
      </x:c>
      <x:c r="D207" s="9" t="str">
        <x:v>Reference carried by the corpus</x:v>
      </x:c>
      <x:c r="E207" s="9" t="str">
        <x:v>Referenced in recovered corpus; source not independently rechecked in this edition</x:v>
      </x:c>
      <x:c r="F207" s="9" t="str"/>
      <x:c r="G207" s="9" t="str">
        <x:v>COR-088</x:v>
      </x:c>
      <x:c r="H207" s="12" t="str">
        <x:f>IFERROR(HYPERLINK(I207,"Open source"),"Open source")</x:f>
        <x:v>Open source</x:v>
      </x:c>
      <x:c r="I207" s="11" t="str">
        <x:v>https://etcsl.orin</x:v>
      </x:c>
    </x:row>
    <x:row r="208" ht="39" customHeight="1">
      <x:c r="A208" s="9" t="str">
        <x:v>REF-0204</x:v>
      </x:c>
      <x:c r="B208" s="9" t="str">
        <x:v>rigveda-</x:v>
      </x:c>
      <x:c r="C208" s="9" t="str">
        <x:v>rigveda-</x:v>
      </x:c>
      <x:c r="D208" s="9" t="str">
        <x:v>Reference carried by the corpus</x:v>
      </x:c>
      <x:c r="E208" s="9" t="str">
        <x:v>Referenced in recovered corpus; source not independently rechecked in this edition</x:v>
      </x:c>
      <x:c r="F208" s="9" t="str"/>
      <x:c r="G208" s="9" t="str">
        <x:v>COR-088</x:v>
      </x:c>
      <x:c r="H208" s="12" t="str">
        <x:f>IFERROR(HYPERLINK(I208,"Open source"),"Open source")</x:f>
        <x:v>Open source</x:v>
      </x:c>
      <x:c r="I208" s="11" t="str">
        <x:v>https://rigveda-</x:v>
      </x:c>
    </x:row>
    <x:row r="209" ht="39" customHeight="1">
      <x:c r="A209" s="9" t="str">
        <x:v>REF-0205</x:v>
      </x:c>
      <x:c r="B209" s="9" t="str">
        <x:v>en.wikis</x:v>
      </x:c>
      <x:c r="C209" s="9" t="str">
        <x:v>en.wikis</x:v>
      </x:c>
      <x:c r="D209" s="9" t="str">
        <x:v>Reference carried by the corpus</x:v>
      </x:c>
      <x:c r="E209" s="9" t="str">
        <x:v>Referenced in recovered corpus; source not independently rechecked in this edition</x:v>
      </x:c>
      <x:c r="F209" s="9" t="str"/>
      <x:c r="G209" s="9" t="str">
        <x:v>COR-088</x:v>
      </x:c>
      <x:c r="H209" s="12" t="str">
        <x:f>IFERROR(HYPERLINK(I209,"Open source"),"Open source")</x:f>
        <x:v>Open source</x:v>
      </x:c>
      <x:c r="I209" s="11" t="str">
        <x:v>https://en.wikis</x:v>
      </x:c>
    </x:row>
    <x:row r="210" ht="39" customHeight="1">
      <x:c r="A210" s="9" t="str">
        <x:v>REF-0206</x:v>
      </x:c>
      <x:c r="B210" s="9" t="str">
        <x:v>chs.harv</x:v>
      </x:c>
      <x:c r="C210" s="9" t="str">
        <x:v>chs.harv</x:v>
      </x:c>
      <x:c r="D210" s="9" t="str">
        <x:v>Reference carried by the corpus</x:v>
      </x:c>
      <x:c r="E210" s="9" t="str">
        <x:v>Referenced in recovered corpus; source not independently rechecked in this edition</x:v>
      </x:c>
      <x:c r="F210" s="9" t="str"/>
      <x:c r="G210" s="9" t="str">
        <x:v>COR-088</x:v>
      </x:c>
      <x:c r="H210" s="12" t="str">
        <x:f>IFERROR(HYPERLINK(I210,"Open source"),"Open source")</x:f>
        <x:v>Open source</x:v>
      </x:c>
      <x:c r="I210" s="11" t="str">
        <x:v>https://chs.harv</x:v>
      </x:c>
    </x:row>
    <x:row r="211" ht="39" customHeight="1">
      <x:c r="A211" s="9" t="str">
        <x:v>REF-0207</x:v>
      </x:c>
      <x:c r="B211" s="9" t="str">
        <x:v>ctext.org</x:v>
      </x:c>
      <x:c r="C211" s="9" t="str">
        <x:v>ctext.org</x:v>
      </x:c>
      <x:c r="D211" s="9" t="str">
        <x:v>Reference carried by the corpus</x:v>
      </x:c>
      <x:c r="E211" s="9" t="str">
        <x:v>Referenced in recovered corpus; source not independently rechecked in this edition</x:v>
      </x:c>
      <x:c r="F211" s="9" t="str"/>
      <x:c r="G211" s="9" t="str">
        <x:v>COR-088</x:v>
      </x:c>
      <x:c r="H211" s="12" t="str">
        <x:f>IFERROR(HYPERLINK(I211,"Open source"),"Open source")</x:f>
        <x:v>Open source</x:v>
      </x:c>
      <x:c r="I211" s="11" t="str">
        <x:v>https://ctext.org</x:v>
      </x:c>
    </x:row>
    <x:row r="212" ht="39" customHeight="1">
      <x:c r="A212" s="9" t="str">
        <x:v>REF-0208</x:v>
      </x:c>
      <x:c r="B212" s="9" t="str">
        <x:v>www.briti</x:v>
      </x:c>
      <x:c r="C212" s="9" t="str">
        <x:v>www.briti</x:v>
      </x:c>
      <x:c r="D212" s="9" t="str">
        <x:v>Reference carried by the corpus</x:v>
      </x:c>
      <x:c r="E212" s="9" t="str">
        <x:v>Referenced in recovered corpus; source not independently rechecked in this edition</x:v>
      </x:c>
      <x:c r="F212" s="9" t="str"/>
      <x:c r="G212" s="9" t="str">
        <x:v>COR-088</x:v>
      </x:c>
      <x:c r="H212" s="12" t="str">
        <x:f>IFERROR(HYPERLINK(I212,"Open source"),"Open source")</x:f>
        <x:v>Open source</x:v>
      </x:c>
      <x:c r="I212" s="11" t="str">
        <x:v>https://www.briti</x:v>
      </x:c>
    </x:row>
    <x:row r="213" ht="39" customHeight="1">
      <x:c r="A213" s="9" t="str">
        <x:v>REF-0209</x:v>
      </x:c>
      <x:c r="B213" s="9" t="str">
        <x:v>kojiki.kok</x:v>
      </x:c>
      <x:c r="C213" s="9" t="str">
        <x:v>kojiki.kok</x:v>
      </x:c>
      <x:c r="D213" s="9" t="str">
        <x:v>Reference carried by the corpus</x:v>
      </x:c>
      <x:c r="E213" s="9" t="str">
        <x:v>Referenced in recovered corpus; source not independently rechecked in this edition</x:v>
      </x:c>
      <x:c r="F213" s="9" t="str"/>
      <x:c r="G213" s="9" t="str">
        <x:v>COR-088</x:v>
      </x:c>
      <x:c r="H213" s="12" t="str">
        <x:f>IFERROR(HYPERLINK(I213,"Open source"),"Open source")</x:f>
        <x:v>Open source</x:v>
      </x:c>
      <x:c r="I213" s="11" t="str">
        <x:v>https://kojiki.kok</x:v>
      </x:c>
    </x:row>
    <x:row r="214" ht="39" customHeight="1">
      <x:c r="A214" s="9" t="str">
        <x:v>REF-0210</x:v>
      </x:c>
      <x:c r="B214" s="9" t="str">
        <x:v>Revelation 13</x:v>
      </x:c>
      <x:c r="C214" s="9" t="str">
        <x:v>www.biblegateway.com</x:v>
      </x:c>
      <x:c r="D214" s="9" t="str">
        <x:v>Reference carried by the corpus</x:v>
      </x:c>
      <x:c r="E214" s="9" t="str">
        <x:v>Referenced in recovered corpus; source not independently rechecked in this edition</x:v>
      </x:c>
      <x:c r="F214" s="9" t="str"/>
      <x:c r="G214" s="9" t="str">
        <x:v>COR-089; COR-090</x:v>
      </x:c>
      <x:c r="H214" s="12" t="str">
        <x:f>IFERROR(HYPERLINK(I214,"Open source"),"Open source")</x:f>
        <x:v>Open source</x:v>
      </x:c>
      <x:c r="I214" s="11" t="str">
        <x:v>https://www.biblegateway.com/passage/?search=Revelation%2013&amp;version=NRSVUE</x:v>
      </x:c>
    </x:row>
    <x:row r="215" ht="39" customHeight="1">
      <x:c r="A215" s="9" t="str">
        <x:v>REF-0211</x:v>
      </x:c>
      <x:c r="B215" s="9" t="str">
        <x:v>Revelation 17–18</x:v>
      </x:c>
      <x:c r="C215" s="9" t="str">
        <x:v>www.biblegateway.com</x:v>
      </x:c>
      <x:c r="D215" s="9" t="str">
        <x:v>Reference carried by the corpus</x:v>
      </x:c>
      <x:c r="E215" s="9" t="str">
        <x:v>Referenced in recovered corpus; source not independently rechecked in this edition</x:v>
      </x:c>
      <x:c r="F215" s="9" t="str"/>
      <x:c r="G215" s="9" t="str">
        <x:v>COR-089; COR-090</x:v>
      </x:c>
      <x:c r="H215" s="12" t="str">
        <x:f>IFERROR(HYPERLINK(I215,"Open source"),"Open source")</x:f>
        <x:v>Open source</x:v>
      </x:c>
      <x:c r="I215" s="11" t="str">
        <x:v>https://www.biblegateway.com/passage/?search=Revelation%2017-18&amp;version=NRSVUE</x:v>
      </x:c>
    </x:row>
    <x:row r="216" ht="39" customHeight="1">
      <x:c r="A216" s="9" t="str">
        <x:v>REF-0212</x:v>
      </x:c>
      <x:c r="B216" s="9" t="str">
        <x:v>Daniel 3 and 7</x:v>
      </x:c>
      <x:c r="C216" s="9" t="str">
        <x:v>www.biblegateway.com</x:v>
      </x:c>
      <x:c r="D216" s="9" t="str">
        <x:v>Reference carried by the corpus</x:v>
      </x:c>
      <x:c r="E216" s="9" t="str">
        <x:v>Referenced in recovered corpus; source not independently rechecked in this edition</x:v>
      </x:c>
      <x:c r="F216" s="9" t="str"/>
      <x:c r="G216" s="9" t="str">
        <x:v>COR-089; COR-090</x:v>
      </x:c>
      <x:c r="H216" s="12" t="str">
        <x:f>IFERROR(HYPERLINK(I216,"Open source"),"Open source")</x:f>
        <x:v>Open source</x:v>
      </x:c>
      <x:c r="I216" s="11" t="str">
        <x:v>https://www.biblegateway.com/passage/?search=Daniel%203%2C%207&amp;version=NRSVUE</x:v>
      </x:c>
    </x:row>
    <x:row r="217" ht="39" customHeight="1">
      <x:c r="A217" s="9" t="str">
        <x:v>REF-0213</x:v>
      </x:c>
      <x:c r="B217" s="9" t="str">
        <x:v>Rome overview</x:v>
      </x:c>
      <x:c r="C217" s="9" t="str">
        <x:v>www.bibleodyssey.org</x:v>
      </x:c>
      <x:c r="D217" s="9" t="str">
        <x:v>Reference carried by the corpus</x:v>
      </x:c>
      <x:c r="E217" s="9" t="str">
        <x:v>Referenced in recovered corpus; source not independently rechecked in this edition</x:v>
      </x:c>
      <x:c r="F217" s="9" t="str"/>
      <x:c r="G217" s="9" t="str">
        <x:v>COR-089; COR-090</x:v>
      </x:c>
      <x:c r="H217" s="12" t="str">
        <x:f>IFERROR(HYPERLINK(I217,"Open source"),"Open source")</x:f>
        <x:v>Open source</x:v>
      </x:c>
      <x:c r="I217" s="11" t="str">
        <x:v>https://www.bibleodyssey.org/dictionary/rome/</x:v>
      </x:c>
    </x:row>
    <x:row r="218" ht="39" customHeight="1">
      <x:c r="A218" s="9" t="str">
        <x:v>REF-0214</x:v>
      </x:c>
      <x:c r="B218" s="9" t="str">
        <x:v>“P115 and the Number of the Beast”</x:v>
      </x:c>
      <x:c r="C218" s="9" t="str">
        <x:v>www.tyndalebulletin.org</x:v>
      </x:c>
      <x:c r="D218" s="9" t="str">
        <x:v>Reference carried by the corpus</x:v>
      </x:c>
      <x:c r="E218" s="9" t="str">
        <x:v>Referenced in recovered corpus; source not independently rechecked in this edition</x:v>
      </x:c>
      <x:c r="F218" s="9" t="str"/>
      <x:c r="G218" s="9" t="str">
        <x:v>COR-089; COR-090</x:v>
      </x:c>
      <x:c r="H218" s="12" t="str">
        <x:f>IFERROR(HYPERLINK(I218,"Open source"),"Open source")</x:f>
        <x:v>Open source</x:v>
      </x:c>
      <x:c r="I218" s="11" t="str">
        <x:v>https://www.tyndalebulletin.org/article/29233-p115-and-the-number-of-the-beast.pdf</x:v>
      </x:c>
    </x:row>
    <x:row r="219" ht="39" customHeight="1">
      <x:c r="A219" s="9" t="str">
        <x:v>REF-0215</x:v>
      </x:c>
      <x:c r="B219" s="9" t="str">
        <x:v>“Bodies and Souls”</x:v>
      </x:c>
      <x:c r="C219" s="9" t="str">
        <x:v>www.cambridge.org</x:v>
      </x:c>
      <x:c r="D219" s="9" t="str">
        <x:v>Reference carried by the corpus</x:v>
      </x:c>
      <x:c r="E219" s="9" t="str">
        <x:v>Referenced in recovered corpus; source not independently rechecked in this edition</x:v>
      </x:c>
      <x:c r="F219" s="9" t="str"/>
      <x:c r="G219" s="9" t="str">
        <x:v>COR-089; COR-090</x:v>
      </x:c>
      <x:c r="H219" s="12" t="str">
        <x:f>IFERROR(HYPERLINK(I219,"Open source"),"Open source")</x:f>
        <x:v>Open source</x:v>
      </x:c>
      <x:c r="I219" s="11" t="str">
        <x:v>https://www.cambridge.org/core/journals/new-testament-studies/article/bodies-and-souls-the-case-for-reading-revelation-1813-as-a-critique-of-the-slave-trade/DD8DADA62A3486121D200063F03BD721</x:v>
      </x:c>
    </x:row>
    <x:row r="220" ht="39" customHeight="1">
      <x:c r="A220" s="9" t="str">
        <x:v>REF-0216</x:v>
      </x:c>
      <x:c r="B220" s="9" t="str">
        <x:v>Numbers 19</x:v>
      </x:c>
      <x:c r="C220" s="9" t="str">
        <x:v>www.sefaria.org</x:v>
      </x:c>
      <x:c r="D220" s="9" t="str">
        <x:v>Reference carried by the corpus</x:v>
      </x:c>
      <x:c r="E220" s="9" t="str">
        <x:v>Referenced in recovered corpus; source not independently rechecked in this edition</x:v>
      </x:c>
      <x:c r="F220" s="9" t="str"/>
      <x:c r="G220" s="9" t="str">
        <x:v>COR-089; COR-090</x:v>
      </x:c>
      <x:c r="H220" s="12" t="str">
        <x:f>IFERROR(HYPERLINK(I220,"Open source"),"Open source")</x:f>
        <x:v>Open source</x:v>
      </x:c>
      <x:c r="I220" s="11" t="str">
        <x:v>https://www.sefaria.org/Numbers.19.1-22?lang=bi</x:v>
      </x:c>
    </x:row>
    <x:row r="221" ht="39" customHeight="1">
      <x:c r="A221" s="9" t="str">
        <x:v>REF-0217</x:v>
      </x:c>
      <x:c r="B221" s="9" t="str">
        <x:v>Mishnah Parah 3:7</x:v>
      </x:c>
      <x:c r="C221" s="9" t="str">
        <x:v>www.sefaria.org</x:v>
      </x:c>
      <x:c r="D221" s="9" t="str">
        <x:v>Reference carried by the corpus</x:v>
      </x:c>
      <x:c r="E221" s="9" t="str">
        <x:v>Referenced in recovered corpus; source not independently rechecked in this edition</x:v>
      </x:c>
      <x:c r="F221" s="9" t="str"/>
      <x:c r="G221" s="9" t="str">
        <x:v>COR-089; COR-090</x:v>
      </x:c>
      <x:c r="H221" s="12" t="str">
        <x:f>IFERROR(HYPERLINK(I221,"Open source"),"Open source")</x:f>
        <x:v>Open source</x:v>
      </x:c>
      <x:c r="I221" s="11" t="str">
        <x:v>https://www.sefaria.org/Mishnah_Parah.3.7</x:v>
      </x:c>
    </x:row>
    <x:row r="222" ht="39" customHeight="1">
      <x:c r="A222" s="9" t="str">
        <x:v>REF-0218</x:v>
      </x:c>
      <x:c r="B222" s="9" t="str">
        <x:v>red-heifer study</x:v>
      </x:c>
      <x:c r="C222" s="9" t="str">
        <x:v>www.jtsa.edu</x:v>
      </x:c>
      <x:c r="D222" s="9" t="str">
        <x:v>Reference carried by the corpus</x:v>
      </x:c>
      <x:c r="E222" s="9" t="str">
        <x:v>Referenced in recovered corpus; source not independently rechecked in this edition</x:v>
      </x:c>
      <x:c r="F222" s="9" t="str"/>
      <x:c r="G222" s="9" t="str">
        <x:v>COR-089; COR-090</x:v>
      </x:c>
      <x:c r="H222" s="12" t="str">
        <x:f>IFERROR(HYPERLINK(I222,"Open source"),"Open source")</x:f>
        <x:v>Open source</x:v>
      </x:c>
      <x:c r="I222" s="11" t="str">
        <x:v>https://www.jtsa.edu/torah/the-mystery-of-the-red-heifer/</x:v>
      </x:c>
    </x:row>
    <x:row r="223" ht="39" customHeight="1">
      <x:c r="A223" s="9" t="str">
        <x:v>REF-0219</x:v>
      </x:c>
      <x:c r="B223" s="9" t="str">
        <x:v>The Guardian</x:v>
      </x:c>
      <x:c r="C223" s="9" t="str">
        <x:v>www.theguardian.com</x:v>
      </x:c>
      <x:c r="D223" s="9" t="str">
        <x:v>Reference carried by the corpus</x:v>
      </x:c>
      <x:c r="E223" s="9" t="str">
        <x:v>Referenced in recovered corpus; source not independently rechecked in this edition</x:v>
      </x:c>
      <x:c r="F223" s="9" t="str"/>
      <x:c r="G223" s="9" t="str">
        <x:v>COR-089; COR-090</x:v>
      </x:c>
      <x:c r="H223" s="12" t="str">
        <x:f>IFERROR(HYPERLINK(I223,"Open source"),"Open source")</x:f>
        <x:v>Open source</x:v>
      </x:c>
      <x:c r="I223" s="11" t="str">
        <x:v>https://www.theguardian.com/us-news/2025/aug/04/jim-acosta-parkland-shooting-victim-ai-interview</x:v>
      </x:c>
    </x:row>
    <x:row r="224" ht="39" customHeight="1">
      <x:c r="A224" s="9" t="str">
        <x:v>REF-0220</x:v>
      </x:c>
      <x:c r="B224" s="9" t="str">
        <x:v>Variety</x:v>
      </x:c>
      <x:c r="C224" s="9" t="str">
        <x:v>variety.com</x:v>
      </x:c>
      <x:c r="D224" s="9" t="str">
        <x:v>Reference carried by the corpus</x:v>
      </x:c>
      <x:c r="E224" s="9" t="str">
        <x:v>Referenced in recovered corpus; source not independently rechecked in this edition</x:v>
      </x:c>
      <x:c r="F224" s="9" t="str"/>
      <x:c r="G224" s="9" t="str">
        <x:v>COR-089; COR-090</x:v>
      </x:c>
      <x:c r="H224" s="12" t="str">
        <x:f>IFERROR(HYPERLINK(I224,"Open source"),"Open source")</x:f>
        <x:v>Open source</x:v>
      </x:c>
      <x:c r="I224" s="11" t="str">
        <x:v>https://variety.com/2025/tv/news/jim-acosta-interviews-ai-parkland-shooting-victim-1236478588/</x:v>
      </x:c>
    </x:row>
    <x:row r="225" ht="39" customHeight="1">
      <x:c r="A225" s="9" t="str">
        <x:v>REF-0221</x:v>
      </x:c>
      <x:c r="B225" s="9" t="str">
        <x:v>DOJ Epstein-files production release, 30 January 2026</x:v>
      </x:c>
      <x:c r="C225" s="9" t="str">
        <x:v>www.justice.gov</x:v>
      </x:c>
      <x:c r="D225" s="9" t="str">
        <x:v>Government / court / official source</x:v>
      </x:c>
      <x:c r="E225" s="9" t="str">
        <x:v>Checked in this edition</x:v>
      </x:c>
      <x:c r="F225" s="9" t="str"/>
      <x:c r="G225" s="9" t="str">
        <x:v>COR-089; COR-090</x:v>
      </x:c>
      <x:c r="H225" s="12" t="str">
        <x:f>IFERROR(HYPERLINK(I225,"Open source"),"Open source")</x:f>
        <x:v>Open source</x:v>
      </x:c>
      <x:c r="I225" s="11" t="str">
        <x:v>https://www.justice.gov/opa/pr/department-justice-publishes-35-million-responsive-pages-compliance-epstein-files</x:v>
      </x:c>
    </x:row>
    <x:row r="226" ht="39" customHeight="1">
      <x:c r="A226" s="9" t="str">
        <x:v>REF-0222</x:v>
      </x:c>
      <x:c r="B226" s="9" t="str">
        <x:v>February 2026 OHCHR statement</x:v>
      </x:c>
      <x:c r="C226" s="9" t="str">
        <x:v>www.ohchr.org</x:v>
      </x:c>
      <x:c r="D226" s="9" t="str">
        <x:v>Reference carried by the corpus</x:v>
      </x:c>
      <x:c r="E226" s="9" t="str">
        <x:v>Referenced in recovered corpus; source not independently rechecked in this edition</x:v>
      </x:c>
      <x:c r="F226" s="9" t="str"/>
      <x:c r="G226" s="9" t="str">
        <x:v>COR-089; COR-090</x:v>
      </x:c>
      <x:c r="H226" s="12" t="str">
        <x:f>IFERROR(HYPERLINK(I226,"Open source"),"Open source")</x:f>
        <x:v>Open source</x:v>
      </x:c>
      <x:c r="I226" s="11" t="str">
        <x:v>https://www.ohchr.org/en/press-releases/2026/02/flawed-epstein-files-disclosures-undermine-accountability-grave-crimes</x:v>
      </x:c>
    </x:row>
    <x:row r="227" ht="39" customHeight="1">
      <x:c r="A227" s="9" t="str">
        <x:v>REF-0223</x:v>
      </x:c>
      <x:c r="B227" s="9" t="str">
        <x:v>New York Times investigation</x:v>
      </x:c>
      <x:c r="C227" s="9" t="str">
        <x:v>www.nytimes.com</x:v>
      </x:c>
      <x:c r="D227" s="9" t="str">
        <x:v>Reference carried by the corpus</x:v>
      </x:c>
      <x:c r="E227" s="9" t="str">
        <x:v>Referenced in recovered corpus; source not independently rechecked in this edition</x:v>
      </x:c>
      <x:c r="F227" s="9" t="str"/>
      <x:c r="G227" s="9" t="str">
        <x:v>COR-089; COR-090</x:v>
      </x:c>
      <x:c r="H227" s="12" t="str">
        <x:f>IFERROR(HYPERLINK(I227,"Open source"),"Open source")</x:f>
        <x:v>Open source</x:v>
      </x:c>
      <x:c r="I227" s="11" t="str">
        <x:v>https://www.nytimes.com/2026/02/01/us/trump-epstein-files.html</x:v>
      </x:c>
    </x:row>
    <x:row r="228" ht="39" customHeight="1">
      <x:c r="A228" s="9" t="str">
        <x:v>REF-0224</x:v>
      </x:c>
      <x:c r="B228" s="9" t="str">
        <x:v>Reuters on the first image</x:v>
      </x:c>
      <x:c r="C228" s="9" t="str">
        <x:v>www.reuters.com</x:v>
      </x:c>
      <x:c r="D228" s="9" t="str">
        <x:v>Reference carried by the corpus</x:v>
      </x:c>
      <x:c r="E228" s="9" t="str">
        <x:v>Referenced in recovered corpus; source not independently rechecked in this edition</x:v>
      </x:c>
      <x:c r="F228" s="9" t="str"/>
      <x:c r="G228" s="9" t="str">
        <x:v>COR-089; COR-090</x:v>
      </x:c>
      <x:c r="H228" s="12" t="str">
        <x:f>IFERROR(HYPERLINK(I228,"Open source"),"Open source")</x:f>
        <x:v>Open source</x:v>
      </x:c>
      <x:c r="I228" s="11" t="str">
        <x:v>https://www.reuters.com/business/media-telecom/trump-posts-ai-image-himself-jesus-like-figure-drawing-outrage-2026-04-13/</x:v>
      </x:c>
    </x:row>
    <x:row r="229" ht="39" customHeight="1">
      <x:c r="A229" s="9" t="str">
        <x:v>REF-0225</x:v>
      </x:c>
      <x:c r="B229" s="9" t="str">
        <x:v>Reuters on the second</x:v>
      </x:c>
      <x:c r="C229" s="9" t="str">
        <x:v>www.reuters.com</x:v>
      </x:c>
      <x:c r="D229" s="9" t="str">
        <x:v>Reference carried by the corpus</x:v>
      </x:c>
      <x:c r="E229" s="9" t="str">
        <x:v>Referenced in recovered corpus; source not independently rechecked in this edition</x:v>
      </x:c>
      <x:c r="F229" s="9" t="str"/>
      <x:c r="G229" s="9" t="str">
        <x:v>COR-089; COR-090</x:v>
      </x:c>
      <x:c r="H229" s="12" t="str">
        <x:f>IFERROR(HYPERLINK(I229,"Open source"),"Open source")</x:f>
        <x:v>Open source</x:v>
      </x:c>
      <x:c r="I229" s="11" t="str">
        <x:v>https://www.reuters.com/world/us/trump-posts-image-himself-with-jesus-administrations-pope-criticism-continues-2026-04-15/</x:v>
      </x:c>
    </x:row>
    <x:row r="230" ht="39" customHeight="1">
      <x:c r="A230" s="9" t="str">
        <x:v>REF-0226</x:v>
      </x:c>
      <x:c r="B230" s="9" t="str">
        <x:v>AP: Thiel Antichrist lecture series in Rome, March 2026</x:v>
      </x:c>
      <x:c r="C230" s="9" t="str">
        <x:v>apnews.com</x:v>
      </x:c>
      <x:c r="D230" s="9" t="str">
        <x:v>Reference carried by the corpus</x:v>
      </x:c>
      <x:c r="E230" s="9" t="str">
        <x:v>Indexed report checked</x:v>
      </x:c>
      <x:c r="F230" s="9" t="str"/>
      <x:c r="G230" s="9" t="str">
        <x:v>COR-089; COR-090</x:v>
      </x:c>
      <x:c r="H230" s="12" t="str">
        <x:f>IFERROR(HYPERLINK(I230,"Open source"),"Open source")</x:f>
        <x:v>Open source</x:v>
      </x:c>
      <x:c r="I230" s="11" t="str">
        <x:v>https://apnews.com/article/c3a6c7d2daba501caf8152558ac2d743</x:v>
      </x:c>
    </x:row>
    <x:row r="231" ht="39" customHeight="1">
      <x:c r="A231" s="9" t="str">
        <x:v>REF-0227</x:v>
      </x:c>
      <x:c r="B231" s="9" t="str">
        <x:v>official transcript</x:v>
      </x:c>
      <x:c r="C231" s="9" t="str">
        <x:v>www.gov.il</x:v>
      </x:c>
      <x:c r="D231" s="9" t="str">
        <x:v>Reference carried by the corpus</x:v>
      </x:c>
      <x:c r="E231" s="9" t="str">
        <x:v>Referenced in recovered corpus; source not independently rechecked in this edition</x:v>
      </x:c>
      <x:c r="F231" s="9" t="str"/>
      <x:c r="G231" s="9" t="str">
        <x:v>COR-089; COR-090</x:v>
      </x:c>
      <x:c r="H231" s="12" t="str">
        <x:f>IFERROR(HYPERLINK(I231,"Open source"),"Open source")</x:f>
        <x:v>Open source</x:v>
      </x:c>
      <x:c r="I231" s="11" t="str">
        <x:v>https://www.gov.il/en/pages/statement-by-pm-netanyahu-28-oct-2023</x:v>
      </x:c>
    </x:row>
    <x:row r="232" ht="39" customHeight="1">
      <x:c r="A232" s="9" t="str">
        <x:v>REF-0228</x:v>
      </x:c>
      <x:c r="B232" s="9" t="str">
        <x:v>Israel's response</x:v>
      </x:c>
      <x:c r="C232" s="9" t="str">
        <x:v>www.gov.il</x:v>
      </x:c>
      <x:c r="D232" s="9" t="str">
        <x:v>Reference carried by the corpus</x:v>
      </x:c>
      <x:c r="E232" s="9" t="str">
        <x:v>Referenced in recovered corpus; source not independently rechecked in this edition</x:v>
      </x:c>
      <x:c r="F232" s="9" t="str"/>
      <x:c r="G232" s="9" t="str">
        <x:v>COR-089; COR-090</x:v>
      </x:c>
      <x:c r="H232" s="12" t="str">
        <x:f>IFERROR(HYPERLINK(I232,"Open source"),"Open source")</x:f>
        <x:v>Open source</x:v>
      </x:c>
      <x:c r="I232" s="11" t="str">
        <x:v>https://www.gov.il/en/pages/spoke-hague160124</x:v>
      </x:c>
    </x:row>
    <x:row r="233" ht="39" customHeight="1">
      <x:c r="A233" s="9" t="str">
        <x:v>REF-0229</x:v>
      </x:c>
      <x:c r="B233" s="9" t="str">
        <x:v>ICJ case</x:v>
      </x:c>
      <x:c r="C233" s="9" t="str">
        <x:v>www.icj-cij.org</x:v>
      </x:c>
      <x:c r="D233" s="9" t="str">
        <x:v>Reference carried by the corpus</x:v>
      </x:c>
      <x:c r="E233" s="9" t="str">
        <x:v>Referenced in recovered corpus; source not independently rechecked in this edition</x:v>
      </x:c>
      <x:c r="F233" s="9" t="str"/>
      <x:c r="G233" s="9" t="str">
        <x:v>COR-089; COR-090</x:v>
      </x:c>
      <x:c r="H233" s="12" t="str">
        <x:f>IFERROR(HYPERLINK(I233,"Open source"),"Open source")</x:f>
        <x:v>Open source</x:v>
      </x:c>
      <x:c r="I233" s="11" t="str">
        <x:v>https://www.icj-cij.org/case/192</x:v>
      </x:c>
    </x:row>
    <x:row r="234" ht="39" customHeight="1">
      <x:c r="A234" s="9" t="str">
        <x:v>REF-0230</x:v>
      </x:c>
      <x:c r="B234" s="9" t="str">
        <x:v>House Historian</x:v>
      </x:c>
      <x:c r="C234" s="9" t="str">
        <x:v>history.house.gov</x:v>
      </x:c>
      <x:c r="D234" s="9" t="str">
        <x:v>Government / court / official source</x:v>
      </x:c>
      <x:c r="E234" s="9" t="str">
        <x:v>Referenced in recovered corpus; source not independently rechecked in this edition</x:v>
      </x:c>
      <x:c r="F234" s="9" t="str"/>
      <x:c r="G234" s="9" t="str">
        <x:v>COR-089; COR-090</x:v>
      </x:c>
      <x:c r="H234" s="12" t="str">
        <x:f>IFERROR(HYPERLINK(I234,"Open source"),"Open source")</x:f>
        <x:v>Open source</x:v>
      </x:c>
      <x:c r="I234" s="11" t="str">
        <x:v>https://history.house.gov/Institution/Foreign-Leaders/Foreign-Leader-Fast-Facts/</x:v>
      </x:c>
    </x:row>
    <x:row r="235" ht="39" customHeight="1">
      <x:c r="A235" s="9" t="str">
        <x:v>REF-0231</x:v>
      </x:c>
      <x:c r="B235" s="9" t="str">
        <x:v>official war summary</x:v>
      </x:c>
      <x:c r="C235" s="9" t="str">
        <x:v>www.idf.il</x:v>
      </x:c>
      <x:c r="D235" s="9" t="str">
        <x:v>Reference carried by the corpus</x:v>
      </x:c>
      <x:c r="E235" s="9" t="str">
        <x:v>Referenced in recovered corpus; source not independently rechecked in this edition</x:v>
      </x:c>
      <x:c r="F235" s="9" t="str"/>
      <x:c r="G235" s="9" t="str">
        <x:v>COR-089; COR-090</x:v>
      </x:c>
      <x:c r="H235" s="12" t="str">
        <x:f>IFERROR(HYPERLINK(I235,"Open source"),"Open source")</x:f>
        <x:v>Open source</x:v>
      </x:c>
      <x:c r="I235" s="11" t="str">
        <x:v>https://www.idf.il/en/mini-sites/iran-israel-war-2026/</x:v>
      </x:c>
    </x:row>
    <x:row r="236" ht="39" customHeight="1">
      <x:c r="A236" s="9" t="str">
        <x:v>REF-0232</x:v>
      </x:c>
      <x:c r="B236" s="9" t="str">
        <x:v>State Department transcript</x:v>
      </x:c>
      <x:c r="C236" s="9" t="str">
        <x:v>www.state.gov</x:v>
      </x:c>
      <x:c r="D236" s="9" t="str">
        <x:v>Government / court / official source</x:v>
      </x:c>
      <x:c r="E236" s="9" t="str">
        <x:v>Referenced in recovered corpus; source not independently rechecked in this edition</x:v>
      </x:c>
      <x:c r="F236" s="9" t="str"/>
      <x:c r="G236" s="9" t="str">
        <x:v>COR-089; COR-090</x:v>
      </x:c>
      <x:c r="H236" s="12" t="str">
        <x:f>IFERROR(HYPERLINK(I236,"Open source"),"Open source")</x:f>
        <x:v>Open source</x:v>
      </x:c>
      <x:c r="I236" s="11" t="str">
        <x:v>https://www.state.gov/releases/office-of-the-spokesperson/2026/03/secretary-of-state-marco-rubio-remarks-to-press-6</x:v>
      </x:c>
    </x:row>
    <x:row r="237" ht="39" customHeight="1">
      <x:c r="A237" s="9" t="str">
        <x:v>REF-0233</x:v>
      </x:c>
      <x:c r="B237" s="9" t="str">
        <x:v>House bill</x:v>
      </x:c>
      <x:c r="C237" s="9" t="str">
        <x:v>www.govinfo.gov</x:v>
      </x:c>
      <x:c r="D237" s="9" t="str">
        <x:v>Government / court / official source</x:v>
      </x:c>
      <x:c r="E237" s="9" t="str">
        <x:v>Referenced in recovered corpus; source not independently rechecked in this edition</x:v>
      </x:c>
      <x:c r="F237" s="9" t="str"/>
      <x:c r="G237" s="9" t="str">
        <x:v>COR-089; COR-090</x:v>
      </x:c>
      <x:c r="H237" s="12" t="str">
        <x:f>IFERROR(HYPERLINK(I237,"Open source"),"Open source")</x:f>
        <x:v>Open source</x:v>
      </x:c>
      <x:c r="I237" s="11" t="str">
        <x:v>https://www.govinfo.gov/content/pkg/BILLS-119hr8800rh/pdf/BILLS-119hr8800rh.pdf</x:v>
      </x:c>
    </x:row>
    <x:row r="238" ht="39" customHeight="1">
      <x:c r="A238" s="9" t="str">
        <x:v>REF-0234</x:v>
      </x:c>
      <x:c r="B238" s="9" t="str">
        <x:v>roll call 278</x:v>
      </x:c>
      <x:c r="C238" s="9" t="str">
        <x:v>clerk.house.gov</x:v>
      </x:c>
      <x:c r="D238" s="9" t="str">
        <x:v>Government / court / official source</x:v>
      </x:c>
      <x:c r="E238" s="9" t="str">
        <x:v>Referenced in recovered corpus; source not independently rechecked in this edition</x:v>
      </x:c>
      <x:c r="F238" s="9" t="str"/>
      <x:c r="G238" s="9" t="str">
        <x:v>COR-089; COR-090</x:v>
      </x:c>
      <x:c r="H238" s="12" t="str">
        <x:f>IFERROR(HYPERLINK(I238,"Open source"),"Open source")</x:f>
        <x:v>Open source</x:v>
      </x:c>
      <x:c r="I238" s="11" t="str">
        <x:v>https://clerk.house.gov/Votes/2026278</x:v>
      </x:c>
    </x:row>
    <x:row r="239" ht="39" customHeight="1">
      <x:c r="A239" s="9" t="str">
        <x:v>REF-0235</x:v>
      </x:c>
      <x:c r="B239" s="9" t="str">
        <x:v>SEC Form 10-K</x:v>
      </x:c>
      <x:c r="C239" s="9" t="str">
        <x:v>www.sec.gov</x:v>
      </x:c>
      <x:c r="D239" s="9" t="str">
        <x:v>Government / court / official source</x:v>
      </x:c>
      <x:c r="E239" s="9" t="str">
        <x:v>Referenced in recovered corpus; source not independently rechecked in this edition</x:v>
      </x:c>
      <x:c r="F239" s="9" t="str"/>
      <x:c r="G239" s="9" t="str">
        <x:v>COR-089; COR-090</x:v>
      </x:c>
      <x:c r="H239" s="12" t="str">
        <x:f>IFERROR(HYPERLINK(I239,"Open source"),"Open source")</x:f>
        <x:v>Open source</x:v>
      </x:c>
      <x:c r="I239" s="11" t="str">
        <x:v>https://www.sec.gov/Archives/edgar/data/1321655/000132165525000022/pltr-20241231.htm</x:v>
      </x:c>
    </x:row>
    <x:row r="240" ht="39" customHeight="1">
      <x:c r="A240" s="9" t="str">
        <x:v>REF-0236</x:v>
      </x:c>
      <x:c r="B240" s="9" t="str">
        <x:v>FEC committee record</x:v>
      </x:c>
      <x:c r="C240" s="9" t="str">
        <x:v>www.fec.gov</x:v>
      </x:c>
      <x:c r="D240" s="9" t="str">
        <x:v>Government / court / official source</x:v>
      </x:c>
      <x:c r="E240" s="9" t="str">
        <x:v>Referenced in recovered corpus; source not independently rechecked in this edition</x:v>
      </x:c>
      <x:c r="F240" s="9" t="str"/>
      <x:c r="G240" s="9" t="str">
        <x:v>COR-089; COR-090</x:v>
      </x:c>
      <x:c r="H240" s="12" t="str">
        <x:f>IFERROR(HYPERLINK(I240,"Open source"),"Open source")</x:f>
        <x:v>Open source</x:v>
      </x:c>
      <x:c r="I240" s="11" t="str">
        <x:v>https://www.fec.gov/data/committee/C00797670/</x:v>
      </x:c>
    </x:row>
    <x:row r="241" ht="39" customHeight="1">
      <x:c r="A241" s="9" t="str">
        <x:v>REF-0237</x:v>
      </x:c>
      <x:c r="B241" s="9" t="str">
        <x:v>FactCheck.org's UDP profile</x:v>
      </x:c>
      <x:c r="C241" s="9" t="str">
        <x:v>www.factcheck.org</x:v>
      </x:c>
      <x:c r="D241" s="9" t="str">
        <x:v>Reference carried by the corpus</x:v>
      </x:c>
      <x:c r="E241" s="9" t="str">
        <x:v>Referenced in recovered corpus; source not independently rechecked in this edition</x:v>
      </x:c>
      <x:c r="F241" s="9" t="str"/>
      <x:c r="G241" s="9" t="str">
        <x:v>COR-089; COR-090</x:v>
      </x:c>
      <x:c r="H241" s="12" t="str">
        <x:f>IFERROR(HYPERLINK(I241,"Open source"),"Open source")</x:f>
        <x:v>Open source</x:v>
      </x:c>
      <x:c r="I241" s="11" t="str">
        <x:v>https://www.factcheck.org/2024/09/united-democracy-project-2/</x:v>
      </x:c>
    </x:row>
    <x:row r="242" ht="39" customHeight="1">
      <x:c r="A242" s="9" t="str">
        <x:v>REF-0238</x:v>
      </x:c>
      <x:c r="B242" s="9" t="str">
        <x:v>Pew Research Center</x:v>
      </x:c>
      <x:c r="C242" s="9" t="str">
        <x:v>www.pewresearch.org</x:v>
      </x:c>
      <x:c r="D242" s="9" t="str">
        <x:v>Reference carried by the corpus</x:v>
      </x:c>
      <x:c r="E242" s="9" t="str">
        <x:v>Referenced in recovered corpus; source not independently rechecked in this edition</x:v>
      </x:c>
      <x:c r="F242" s="9" t="str"/>
      <x:c r="G242" s="9" t="str">
        <x:v>COR-089; COR-090</x:v>
      </x:c>
      <x:c r="H242" s="12" t="str">
        <x:f>IFERROR(HYPERLINK(I242,"Open source"),"Open source")</x:f>
        <x:v>Open source</x:v>
      </x:c>
      <x:c r="I242" s="11" t="str">
        <x:v>https://www.pewresearch.org/short-reads/2024/11/26/2024-elections-show-more-partisan-splits-between-states-presidential-and-senate-votes-than-in-recent-past/</x:v>
      </x:c>
    </x:row>
    <x:row r="243" ht="39" customHeight="1">
      <x:c r="A243" s="9" t="str">
        <x:v>REF-0239</x:v>
      </x:c>
      <x:c r="B243" s="9" t="str">
        <x:v>transaction remains proposed and unclosed</x:v>
      </x:c>
      <x:c r="C243" s="9" t="str">
        <x:v>www.paramount.com</x:v>
      </x:c>
      <x:c r="D243" s="9" t="str">
        <x:v>Reference carried by the corpus</x:v>
      </x:c>
      <x:c r="E243" s="9" t="str">
        <x:v>Referenced in recovered corpus; source not independently rechecked in this edition</x:v>
      </x:c>
      <x:c r="F243" s="9" t="str"/>
      <x:c r="G243" s="9" t="str">
        <x:v>COR-089; COR-090</x:v>
      </x:c>
      <x:c r="H243" s="12" t="str">
        <x:f>IFERROR(HYPERLINK(I243,"Open source"),"Open source")</x:f>
        <x:v>Open source</x:v>
      </x:c>
      <x:c r="I243" s="11" t="str">
        <x:v>https://www.paramount.com/press/paramount-to-acquire-warner-bros-discovery-to-form-next-generation-global-media-and-entertainment-company</x:v>
      </x:c>
    </x:row>
    <x:row r="244" ht="39" customHeight="1">
      <x:c r="A244" s="9" t="str">
        <x:v>REF-0240</x:v>
      </x:c>
      <x:c r="B244" s="9" t="str">
        <x:v>Trump v. United States, 1 July 2024</x:v>
      </x:c>
      <x:c r="C244" s="9" t="str">
        <x:v>www.supremecourt.gov</x:v>
      </x:c>
      <x:c r="D244" s="9" t="str">
        <x:v>Government / court / official source</x:v>
      </x:c>
      <x:c r="E244" s="9" t="str">
        <x:v>Checked in this edition</x:v>
      </x:c>
      <x:c r="F244" s="9" t="str"/>
      <x:c r="G244" s="9" t="str">
        <x:v>COR-058; COR-089; COR-090</x:v>
      </x:c>
      <x:c r="H244" s="12" t="str">
        <x:f>IFERROR(HYPERLINK(I244,"Open source"),"Open source")</x:f>
        <x:v>Open source</x:v>
      </x:c>
      <x:c r="I244" s="11" t="str">
        <x:v>https://www.supremecourt.gov/opinions/23pdf/23-939_e2pg.pdf</x:v>
      </x:c>
    </x:row>
    <x:row r="245" ht="39" customHeight="1">
      <x:c r="A245" s="9" t="str">
        <x:v>REF-0241</x:v>
      </x:c>
      <x:c r="B245" s="9" t="str">
        <x:v>Trump v. CASA, Inc. (2025)</x:v>
      </x:c>
      <x:c r="C245" s="9" t="str">
        <x:v>www.supremecourt.gov</x:v>
      </x:c>
      <x:c r="D245" s="9" t="str">
        <x:v>Government / court / official source</x:v>
      </x:c>
      <x:c r="E245" s="9" t="str">
        <x:v>Referenced in recovered corpus; source not independently rechecked in this edition</x:v>
      </x:c>
      <x:c r="F245" s="9" t="str"/>
      <x:c r="G245" s="9" t="str">
        <x:v>COR-058; COR-089; COR-090</x:v>
      </x:c>
      <x:c r="H245" s="12" t="str">
        <x:f>IFERROR(HYPERLINK(I245,"Open source"),"Open source")</x:f>
        <x:v>Open source</x:v>
      </x:c>
      <x:c r="I245" s="11" t="str">
        <x:v>https://www.supremecourt.gov/opinions/24pdf/24a884diff_8nka.pdf</x:v>
      </x:c>
    </x:row>
    <x:row r="246" ht="39" customHeight="1">
      <x:c r="A246" s="9" t="str">
        <x:v>REF-0242</x:v>
      </x:c>
      <x:c r="B246" s="9" t="str">
        <x:v>FBI</x:v>
      </x:c>
      <x:c r="C246" s="9" t="str">
        <x:v>www.fbi.gov</x:v>
      </x:c>
      <x:c r="D246" s="9" t="str">
        <x:v>Government / court / official source</x:v>
      </x:c>
      <x:c r="E246" s="9" t="str">
        <x:v>Referenced in recovered corpus; source not independently rechecked in this edition</x:v>
      </x:c>
      <x:c r="F246" s="9" t="str"/>
      <x:c r="G246" s="9" t="str">
        <x:v>COR-089; COR-090</x:v>
      </x:c>
      <x:c r="H246" s="12" t="str">
        <x:f>IFERROR(HYPERLINK(I246,"Open source"),"Open source")</x:f>
        <x:v>Open source</x:v>
      </x:c>
      <x:c r="I246" s="11" t="str">
        <x:v>https://www.fbi.gov/news/press-releases/utah-valley-shooting-updates</x:v>
      </x:c>
    </x:row>
    <x:row r="247" ht="39" customHeight="1">
      <x:c r="A247" s="9" t="str">
        <x:v>REF-0243</x:v>
      </x:c>
      <x:c r="B247" s="9" t="str">
        <x:v>AP: synthetic Kirk presentation, September 2025</x:v>
      </x:c>
      <x:c r="C247" s="9" t="str">
        <x:v>apnews.com</x:v>
      </x:c>
      <x:c r="D247" s="9" t="str">
        <x:v>Reference carried by the corpus</x:v>
      </x:c>
      <x:c r="E247" s="9" t="str">
        <x:v>Checked in this edition</x:v>
      </x:c>
      <x:c r="F247" s="9" t="str"/>
      <x:c r="G247" s="9" t="str">
        <x:v>COR-089; COR-090</x:v>
      </x:c>
      <x:c r="H247" s="12" t="str">
        <x:f>IFERROR(HYPERLINK(I247,"Open source"),"Open source")</x:f>
        <x:v>Open source</x:v>
      </x:c>
      <x:c r="I247" s="11" t="str">
        <x:v>https://apnews.com/article/charlie-kirk-artificial-intelligence-worship-services-6c0f9b7e7ec6360a18df418d22cf9418</x:v>
      </x:c>
    </x:row>
    <x:row r="248" ht="39" customHeight="1">
      <x:c r="A248" s="9" t="str">
        <x:v>REF-0244</x:v>
      </x:c>
      <x:c r="B248" s="9" t="str">
        <x:v>NASA's 3I/ATLAS overview</x:v>
      </x:c>
      <x:c r="C248" s="9" t="str">
        <x:v>science.nasa.gov</x:v>
      </x:c>
      <x:c r="D248" s="9" t="str">
        <x:v>Government / court / official source</x:v>
      </x:c>
      <x:c r="E248" s="9" t="str">
        <x:v>Referenced in recovered corpus; source not independently rechecked in this edition</x:v>
      </x:c>
      <x:c r="F248" s="9" t="str"/>
      <x:c r="G248" s="9" t="str">
        <x:v>COR-059; COR-089; COR-090</x:v>
      </x:c>
      <x:c r="H248" s="12" t="str">
        <x:f>IFERROR(HYPERLINK(I248,"Open source"),"Open source")</x:f>
        <x:v>Open source</x:v>
      </x:c>
      <x:c r="I248" s="11" t="str">
        <x:v>https://science.nasa.gov/solar-system/comets/3i-atlas/</x:v>
      </x:c>
    </x:row>
    <x:row r="249" ht="39" customHeight="1">
      <x:c r="A249" s="9" t="str">
        <x:v>REF-0245</x:v>
      </x:c>
      <x:c r="B249" s="9" t="str">
        <x:v>Minor Planet Center discovery circular</x:v>
      </x:c>
      <x:c r="C249" s="9" t="str">
        <x:v>minorplanetcenter.net</x:v>
      </x:c>
      <x:c r="D249" s="9" t="str">
        <x:v>Reference carried by the corpus</x:v>
      </x:c>
      <x:c r="E249" s="9" t="str">
        <x:v>Referenced in recovered corpus; source not independently rechecked in this edition</x:v>
      </x:c>
      <x:c r="F249" s="9" t="str"/>
      <x:c r="G249" s="9" t="str">
        <x:v>COR-089; COR-090</x:v>
      </x:c>
      <x:c r="H249" s="12" t="str">
        <x:f>IFERROR(HYPERLINK(I249,"Open source"),"Open source")</x:f>
        <x:v>Open source</x:v>
      </x:c>
      <x:c r="I249" s="11" t="str">
        <x:v>https://minorplanetcenter.net/mpec/K25/K25N12.html</x:v>
      </x:c>
    </x:row>
    <x:row r="250" ht="39" customHeight="1">
      <x:c r="A250" s="9" t="str">
        <x:v>REF-0246</x:v>
      </x:c>
      <x:c r="B250" s="9" t="str">
        <x:v>NASA says such groupings are not exceedingly rare</x:v>
      </x:c>
      <x:c r="C250" s="9" t="str">
        <x:v>science.nasa.gov</x:v>
      </x:c>
      <x:c r="D250" s="9" t="str">
        <x:v>Government / court / official source</x:v>
      </x:c>
      <x:c r="E250" s="9" t="str">
        <x:v>Referenced in recovered corpus; source not independently rechecked in this edition</x:v>
      </x:c>
      <x:c r="F250" s="9" t="str"/>
      <x:c r="G250" s="9" t="str">
        <x:v>COR-089; COR-090</x:v>
      </x:c>
      <x:c r="H250" s="12" t="str">
        <x:f>IFERROR(HYPERLINK(I250,"Open source"),"Open source")</x:f>
        <x:v>Open source</x:v>
      </x:c>
      <x:c r="I250" s="11" t="str">
        <x:v>https://science.nasa.gov/solar-system/skywatching/planetary-alignments-and-planet-parades/</x:v>
      </x:c>
    </x:row>
    <x:row r="251" ht="39" customHeight="1">
      <x:c r="A251" s="9" t="str">
        <x:v>REF-0247</x:v>
      </x:c>
      <x:c r="B251" s="9" t="str">
        <x:v>NASA's Astronomy Picture of the Day on 20 April</x:v>
      </x:c>
      <x:c r="C251" s="9" t="str">
        <x:v>apod.nasa.gov</x:v>
      </x:c>
      <x:c r="D251" s="9" t="str">
        <x:v>Government / court / official source</x:v>
      </x:c>
      <x:c r="E251" s="9" t="str">
        <x:v>Referenced in recovered corpus; source not independently rechecked in this edition</x:v>
      </x:c>
      <x:c r="F251" s="9" t="str"/>
      <x:c r="G251" s="9" t="str">
        <x:v>COR-089; COR-090</x:v>
      </x:c>
      <x:c r="H251" s="12" t="str">
        <x:f>IFERROR(HYPERLINK(I251,"Open source"),"Open source")</x:f>
        <x:v>Open source</x:v>
      </x:c>
      <x:c r="I251" s="11" t="str">
        <x:v>https://apod.nasa.gov/apod/ap260420.html</x:v>
      </x:c>
    </x:row>
    <x:row r="252" ht="39" customHeight="1">
      <x:c r="A252" s="9" t="str">
        <x:v>REF-0248</x:v>
      </x:c>
      <x:c r="B252" s="9" t="str">
        <x:v>orbital analysis</x:v>
      </x:c>
      <x:c r="C252" s="9" t="str">
        <x:v>www.aanda.org</x:v>
      </x:c>
      <x:c r="D252" s="9" t="str">
        <x:v>Reference carried by the corpus</x:v>
      </x:c>
      <x:c r="E252" s="9" t="str">
        <x:v>Referenced in recovered corpus; source not independently rechecked in this edition</x:v>
      </x:c>
      <x:c r="F252" s="9" t="str"/>
      <x:c r="G252" s="9" t="str">
        <x:v>COR-089; COR-090</x:v>
      </x:c>
      <x:c r="H252" s="12" t="str">
        <x:f>IFERROR(HYPERLINK(I252,"Open source"),"Open source")</x:f>
        <x:v>Open source</x:v>
      </x:c>
      <x:c r="I252" s="11" t="str">
        <x:v>https://www.aanda.org/articles/aa/full_html/2025/08/aa56439-25/aa56439-25.html</x:v>
      </x:c>
    </x:row>
    <x:row r="253" ht="39" customHeight="1">
      <x:c r="A253" s="9" t="str">
        <x:v>REF-0249</x:v>
      </x:c>
      <x:c r="B253" s="9" t="str">
        <x:v>IAU explanation of constellation boundaries</x:v>
      </x:c>
      <x:c r="C253" s="9" t="str">
        <x:v>www.iau.org</x:v>
      </x:c>
      <x:c r="D253" s="9" t="str">
        <x:v>Reference carried by the corpus</x:v>
      </x:c>
      <x:c r="E253" s="9" t="str">
        <x:v>Referenced in recovered corpus; source not independently rechecked in this edition</x:v>
      </x:c>
      <x:c r="F253" s="9" t="str"/>
      <x:c r="G253" s="9" t="str">
        <x:v>COR-089; COR-090</x:v>
      </x:c>
      <x:c r="H253" s="12" t="str">
        <x:f>IFERROR(HYPERLINK(I253,"Open source"),"Open source")</x:f>
        <x:v>Open source</x:v>
      </x:c>
      <x:c r="I253" s="11" t="str">
        <x:v>https://www.iau.org/IAU/Astronomy-FAQs/Constellations.aspx</x:v>
      </x:c>
    </x:row>
    <x:row r="254" ht="39" customHeight="1">
      <x:c r="A254" s="9" t="str">
        <x:v>REF-0250</x:v>
      </x:c>
      <x:c r="B254" s="9" t="str">
        <x:v>Pillar 43 description</x:v>
      </x:c>
      <x:c r="C254" s="9" t="str">
        <x:v>www.dainst.blog</x:v>
      </x:c>
      <x:c r="D254" s="9" t="str">
        <x:v>Reference carried by the corpus</x:v>
      </x:c>
      <x:c r="E254" s="9" t="str">
        <x:v>Referenced in recovered corpus; source not independently rechecked in this edition</x:v>
      </x:c>
      <x:c r="F254" s="9" t="str"/>
      <x:c r="G254" s="9" t="str">
        <x:v>COR-089; COR-090</x:v>
      </x:c>
      <x:c r="H254" s="12" t="str">
        <x:f>IFERROR(HYPERLINK(I254,"Open source"),"Open source")</x:f>
        <x:v>Open source</x:v>
      </x:c>
      <x:c r="I254" s="11" t="str">
        <x:v>https://www.dainst.blog/the-tepe-telegrams/2016/10/14/of-animals-and-a-headless-man-gobekli-tepe-pillar-43/</x:v>
      </x:c>
    </x:row>
    <x:row r="255" ht="39" customHeight="1">
      <x:c r="A255" s="9" t="str">
        <x:v>REF-0251</x:v>
      </x:c>
      <x:c r="B255" s="9" t="str">
        <x:v>response to the comet reading</x:v>
      </x:c>
      <x:c r="C255" s="9" t="str">
        <x:v>www.dainst.blog</x:v>
      </x:c>
      <x:c r="D255" s="9" t="str">
        <x:v>Reference carried by the corpus</x:v>
      </x:c>
      <x:c r="E255" s="9" t="str">
        <x:v>Referenced in recovered corpus; source not independently rechecked in this edition</x:v>
      </x:c>
      <x:c r="F255" s="9" t="str"/>
      <x:c r="G255" s="9" t="str">
        <x:v>COR-089; COR-090</x:v>
      </x:c>
      <x:c r="H255" s="12" t="str">
        <x:f>IFERROR(HYPERLINK(I255,"Open source"),"Open source")</x:f>
        <x:v>Open source</x:v>
      </x:c>
      <x:c r="I255" s="11" t="str">
        <x:v>https://www.dainst.blog/the-tepe-telegrams/2017/07/03/more-than-a-vulture-a-response-to-sweatman-and-tsikritsis/</x:v>
      </x:c>
    </x:row>
    <x:row r="256" ht="39" customHeight="1">
      <x:c r="A256" s="9" t="str">
        <x:v>REF-0252</x:v>
      </x:c>
      <x:c r="B256" s="9" t="str">
        <x:v>Hopi Cultural Preservation Office</x:v>
      </x:c>
      <x:c r="C256" s="9" t="str">
        <x:v>www.hopi-nsn.gov</x:v>
      </x:c>
      <x:c r="D256" s="9" t="str">
        <x:v>Government / court / official source</x:v>
      </x:c>
      <x:c r="E256" s="9" t="str">
        <x:v>Referenced in recovered corpus; source not independently rechecked in this edition</x:v>
      </x:c>
      <x:c r="F256" s="9" t="str"/>
      <x:c r="G256" s="9" t="str">
        <x:v>COR-089; COR-090</x:v>
      </x:c>
      <x:c r="H256" s="12" t="str">
        <x:f>IFERROR(HYPERLINK(I256,"Open source"),"Open source")</x:f>
        <x:v>Open source</x:v>
      </x:c>
      <x:c r="I256" s="11" t="str">
        <x:v>https://www.hopi-nsn.gov/tribal-services/department-natural-resources-2/hopi-cultural-preservation-office/</x:v>
      </x:c>
    </x:row>
    <x:row r="257" ht="39" customHeight="1">
      <x:c r="A257" s="9" t="str">
        <x:v>REF-0253</x:v>
      </x:c>
      <x:c r="B257" s="9" t="str">
        <x:v>Teotihuacan Ciudadela study</x:v>
      </x:c>
      <x:c r="C257" s="9" t="str">
        <x:v>www.metmuseum.org</x:v>
      </x:c>
      <x:c r="D257" s="9" t="str">
        <x:v>Reference carried by the corpus</x:v>
      </x:c>
      <x:c r="E257" s="9" t="str">
        <x:v>Referenced in recovered corpus; source not independently rechecked in this edition</x:v>
      </x:c>
      <x:c r="F257" s="9" t="str"/>
      <x:c r="G257" s="9" t="str">
        <x:v>COR-089; COR-090</x:v>
      </x:c>
      <x:c r="H257" s="12" t="str">
        <x:f>IFERROR(HYPERLINK(I257,"Open source"),"Open source")</x:f>
        <x:v>Open source</x:v>
      </x:c>
      <x:c r="I257" s="11" t="str">
        <x:v>https://www.metmuseum.org/essays/teotihuacan-ciudadela</x:v>
      </x:c>
    </x:row>
    <x:row r="258" ht="39" customHeight="1">
      <x:c r="A258" s="9" t="str">
        <x:v>REF-0254</x:v>
      </x:c>
      <x:c r="B258" s="9" t="str">
        <x:v>The Jerusalem Post</x:v>
      </x:c>
      <x:c r="C258" s="9" t="str">
        <x:v>www.jpost.com</x:v>
      </x:c>
      <x:c r="D258" s="9" t="str">
        <x:v>Reference carried by the corpus</x:v>
      </x:c>
      <x:c r="E258" s="9" t="str">
        <x:v>Referenced in recovered corpus; source not independently rechecked in this edition</x:v>
      </x:c>
      <x:c r="F258" s="9" t="str"/>
      <x:c r="G258" s="9" t="str">
        <x:v>COR-089; COR-090</x:v>
      </x:c>
      <x:c r="H258" s="12" t="str">
        <x:f>IFERROR(HYPERLINK(I258,"Open source"),"Open source")</x:f>
        <x:v>Open source</x:v>
      </x:c>
      <x:c r="I258" s="11" t="str">
        <x:v>https://www.jpost.com/diplomacy-and-politics/report-state-funds-groups-that-advocate-building-third-temple-321990</x:v>
      </x:c>
    </x:row>
    <x:row r="259" ht="39" customHeight="1">
      <x:c r="A259" s="9" t="str">
        <x:v>REF-0255</x:v>
      </x:c>
      <x:c r="B259" s="9" t="str">
        <x:v>Haaretz</x:v>
      </x:c>
      <x:c r="C259" s="9" t="str">
        <x:v>www.haaretz.com</x:v>
      </x:c>
      <x:c r="D259" s="9" t="str">
        <x:v>Reference carried by the corpus</x:v>
      </x:c>
      <x:c r="E259" s="9" t="str">
        <x:v>Referenced in recovered corpus; source not independently rechecked in this edition</x:v>
      </x:c>
      <x:c r="F259" s="9" t="str"/>
      <x:c r="G259" s="9" t="str">
        <x:v>COR-089; COR-090</x:v>
      </x:c>
      <x:c r="H259" s="12" t="str">
        <x:f>IFERROR(HYPERLINK(I259,"Open source"),"Open source")</x:f>
        <x:v>Open source</x:v>
      </x:c>
      <x:c r="I259" s="11" t="str">
        <x:v>https://www.haaretz.com/israel-news/2015-11-01/ty-article/.premium/how-religious-kids-learn-about-the-third-temple/0000017f-e876-dc91-a17f-fcff45940000</x:v>
      </x:c>
    </x:row>
    <x:row r="260" ht="39" customHeight="1">
      <x:c r="A260" s="9" t="str">
        <x:v>REF-0256</x:v>
      </x:c>
      <x:c r="B260" s="9" t="str">
        <x:v>Library of Congress</x:v>
      </x:c>
      <x:c r="C260" s="9" t="str">
        <x:v>www.loc.gov</x:v>
      </x:c>
      <x:c r="D260" s="9" t="str">
        <x:v>Government / court / official source</x:v>
      </x:c>
      <x:c r="E260" s="9" t="str">
        <x:v>Referenced in recovered corpus; source not independently rechecked in this edition</x:v>
      </x:c>
      <x:c r="F260" s="9" t="str"/>
      <x:c r="G260" s="9" t="str">
        <x:v>COR-089; COR-090</x:v>
      </x:c>
      <x:c r="H260" s="12" t="str">
        <x:f>IFERROR(HYPERLINK(I260,"Open source"),"Open source")</x:f>
        <x:v>Open source</x:v>
      </x:c>
      <x:c r="I260" s="11" t="str">
        <x:v>https://www.loc.gov/exhibits/bibles/interactives/more/other12.html</x:v>
      </x:c>
    </x:row>
    <x:row r="261" ht="39" customHeight="1">
      <x:c r="A261" s="9" t="str">
        <x:v>REF-0257</x:v>
      </x:c>
      <x:c r="B261" s="9" t="str">
        <x:v>“The Reichstag Fire”</x:v>
      </x:c>
      <x:c r="C261" s="9" t="str">
        <x:v>encyclopedia.ushmm.org</x:v>
      </x:c>
      <x:c r="D261" s="9" t="str">
        <x:v>Reference carried by the corpus</x:v>
      </x:c>
      <x:c r="E261" s="9" t="str">
        <x:v>Referenced in recovered corpus; source not independently rechecked in this edition</x:v>
      </x:c>
      <x:c r="F261" s="9" t="str"/>
      <x:c r="G261" s="9" t="str">
        <x:v>COR-058</x:v>
      </x:c>
      <x:c r="H261" s="12" t="str">
        <x:f>IFERROR(HYPERLINK(I261,"Open source"),"Open source")</x:f>
        <x:v>Open source</x:v>
      </x:c>
      <x:c r="I261" s="11" t="str">
        <x:v>https://encyclopedia.ushmm.org/content/en/article/the-reichstag-fire</x:v>
      </x:c>
    </x:row>
    <x:row r="262" ht="39" customHeight="1">
      <x:c r="A262" s="9" t="str">
        <x:v>REF-0258</x:v>
      </x:c>
      <x:c r="B262" s="9" t="str">
        <x:v>“Gleichschaltung: Coordinating the Nazi State”</x:v>
      </x:c>
      <x:c r="C262" s="9" t="str">
        <x:v>encyclopedia.ushmm.org</x:v>
      </x:c>
      <x:c r="D262" s="9" t="str">
        <x:v>Reference carried by the corpus</x:v>
      </x:c>
      <x:c r="E262" s="9" t="str">
        <x:v>Referenced in recovered corpus; source not independently rechecked in this edition</x:v>
      </x:c>
      <x:c r="F262" s="9" t="str"/>
      <x:c r="G262" s="9" t="str">
        <x:v>COR-058</x:v>
      </x:c>
      <x:c r="H262" s="12" t="str">
        <x:f>IFERROR(HYPERLINK(I262,"Open source"),"Open source")</x:f>
        <x:v>Open source</x:v>
      </x:c>
      <x:c r="I262" s="11" t="str">
        <x:v>https://encyclopedia.ushmm.org/content/en/article/gleichschaltung-coordinating-the-nazi-state</x:v>
      </x:c>
    </x:row>
    <x:row r="263" ht="39" customHeight="1">
      <x:c r="A263" s="9" t="str">
        <x:v>REF-0259</x:v>
      </x:c>
      <x:c r="B263" s="9" t="str">
        <x:v>“Mussolini, Benito”</x:v>
      </x:c>
      <x:c r="C263" s="9" t="str">
        <x:v>www.treccani.it</x:v>
      </x:c>
      <x:c r="D263" s="9" t="str">
        <x:v>Reference carried by the corpus</x:v>
      </x:c>
      <x:c r="E263" s="9" t="str">
        <x:v>Referenced in recovered corpus; source not independently rechecked in this edition</x:v>
      </x:c>
      <x:c r="F263" s="9" t="str"/>
      <x:c r="G263" s="9" t="str">
        <x:v>COR-058</x:v>
      </x:c>
      <x:c r="H263" s="12" t="str">
        <x:f>IFERROR(HYPERLINK(I263,"Open source"),"Open source")</x:f>
        <x:v>Open source</x:v>
      </x:c>
      <x:c r="I263" s="11" t="str">
        <x:v>https://www.treccani.it/enciclopedia/benito-mussolini_%28Dizionario-di-Storia%29/</x:v>
      </x:c>
    </x:row>
    <x:row r="264" ht="39" customHeight="1">
      <x:c r="A264" s="9" t="str">
        <x:v>REF-0260</x:v>
      </x:c>
      <x:c r="B264" s="9" t="str">
        <x:v>Threats from Within: Democracy’s Resilience to Backsliding</x:v>
      </x:c>
      <x:c r="C264" s="9" t="str">
        <x:v>www.idea.int</x:v>
      </x:c>
      <x:c r="D264" s="9" t="str">
        <x:v>Reference carried by the corpus</x:v>
      </x:c>
      <x:c r="E264" s="9" t="str">
        <x:v>Referenced in recovered corpus; source not independently rechecked in this edition</x:v>
      </x:c>
      <x:c r="F264" s="9" t="str"/>
      <x:c r="G264" s="9" t="str">
        <x:v>COR-058</x:v>
      </x:c>
      <x:c r="H264" s="12" t="str">
        <x:f>IFERROR(HYPERLINK(I264,"Open source"),"Open source")</x:f>
        <x:v>Open source</x:v>
      </x:c>
      <x:c r="I264" s="11" t="str">
        <x:v>https://www.idea.int/gsod-2017/files/IDEA-GSOD-2017-CHAPTER-3-EN.pdf</x:v>
      </x:c>
    </x:row>
    <x:row r="265" ht="39" customHeight="1">
      <x:c r="A265" s="9" t="str">
        <x:v>REF-0261</x:v>
      </x:c>
      <x:c r="B265" s="9" t="str">
        <x:v>Democracy Report 2026: Unraveling the Democratic Era?</x:v>
      </x:c>
      <x:c r="C265" s="9" t="str">
        <x:v>www.v-dem.net</x:v>
      </x:c>
      <x:c r="D265" s="9" t="str">
        <x:v>Reference carried by the corpus</x:v>
      </x:c>
      <x:c r="E265" s="9" t="str">
        <x:v>Referenced in recovered corpus; source not independently rechecked in this edition</x:v>
      </x:c>
      <x:c r="F265" s="9" t="str"/>
      <x:c r="G265" s="9" t="str">
        <x:v>COR-058</x:v>
      </x:c>
      <x:c r="H265" s="12" t="str">
        <x:f>IFERROR(HYPERLINK(I265,"Open source"),"Open source")</x:f>
        <x:v>Open source</x:v>
      </x:c>
      <x:c r="I265" s="11" t="str">
        <x:v>https://www.v-dem.net/documents/75/V-Dem_Institute_Democracy_Report_2026_lowres.pdf</x:v>
      </x:c>
    </x:row>
    <x:row r="266" ht="39" customHeight="1">
      <x:c r="A266" s="9" t="str">
        <x:v>REF-0262</x:v>
      </x:c>
      <x:c r="B266" s="9" t="str">
        <x:v>Executive Order 14248</x:v>
      </x:c>
      <x:c r="C266" s="9" t="str">
        <x:v>www.whitehouse.gov</x:v>
      </x:c>
      <x:c r="D266" s="9" t="str">
        <x:v>Government / court / official source</x:v>
      </x:c>
      <x:c r="E266" s="9" t="str">
        <x:v>Referenced in recovered corpus; source not independently rechecked in this edition</x:v>
      </x:c>
      <x:c r="F266" s="9" t="str"/>
      <x:c r="G266" s="9" t="str">
        <x:v>COR-058</x:v>
      </x:c>
      <x:c r="H266" s="12" t="str">
        <x:f>IFERROR(HYPERLINK(I266,"Open source"),"Open source")</x:f>
        <x:v>Open source</x:v>
      </x:c>
      <x:c r="I266" s="11" t="str">
        <x:v>https://www.whitehouse.gov/wp-content/uploads/2025/03/eo-14248.pdf</x:v>
      </x:c>
    </x:row>
    <x:row r="267" ht="39" customHeight="1">
      <x:c r="A267" s="9" t="str">
        <x:v>REF-0263</x:v>
      </x:c>
      <x:c r="B267" s="9" t="str">
        <x:v>Executive Order 14399</x:v>
      </x:c>
      <x:c r="C267" s="9" t="str">
        <x:v>www.whitehouse.gov</x:v>
      </x:c>
      <x:c r="D267" s="9" t="str">
        <x:v>Government / court / official source</x:v>
      </x:c>
      <x:c r="E267" s="9" t="str">
        <x:v>Referenced in recovered corpus; source not independently rechecked in this edition</x:v>
      </x:c>
      <x:c r="F267" s="9" t="str"/>
      <x:c r="G267" s="9" t="str">
        <x:v>COR-058</x:v>
      </x:c>
      <x:c r="H267" s="12" t="str">
        <x:f>IFERROR(HYPERLINK(I267,"Open source"),"Open source")</x:f>
        <x:v>Open source</x:v>
      </x:c>
      <x:c r="I267" s="11" t="str">
        <x:v>https://www.whitehouse.gov/wp-content/uploads/2026/03/eo-14399.pdf</x:v>
      </x:c>
    </x:row>
    <x:row r="268" ht="39" customHeight="1">
      <x:c r="A268" s="9" t="str">
        <x:v>REF-0264</x:v>
      </x:c>
      <x:c r="B268" s="9" t="str">
        <x:v>voter-roll litigation announcement</x:v>
      </x:c>
      <x:c r="C268" s="9" t="str">
        <x:v>www.justice.gov</x:v>
      </x:c>
      <x:c r="D268" s="9" t="str">
        <x:v>Government / court / official source</x:v>
      </x:c>
      <x:c r="E268" s="9" t="str">
        <x:v>Referenced in recovered corpus; source not independently rechecked in this edition</x:v>
      </x:c>
      <x:c r="F268" s="9" t="str"/>
      <x:c r="G268" s="9" t="str">
        <x:v>COR-058</x:v>
      </x:c>
      <x:c r="H268" s="12" t="str">
        <x:f>IFERROR(HYPERLINK(I268,"Open source"),"Open source")</x:f>
        <x:v>Open source</x:v>
      </x:c>
      <x:c r="I268" s="11" t="str">
        <x:v>https://www.justice.gov/opa/pr/justice-department-sues-five-additional-states-failure-produce-voter-rolls</x:v>
      </x:c>
    </x:row>
    <x:row r="269" ht="39" customHeight="1">
      <x:c r="A269" s="9" t="str">
        <x:v>REF-0265</x:v>
      </x:c>
      <x:c r="B269" s="9" t="str">
        <x:v>Workforce Changes</x:v>
      </x:c>
      <x:c r="C269" s="9" t="str">
        <x:v>data.opm.gov</x:v>
      </x:c>
      <x:c r="D269" s="9" t="str">
        <x:v>Government / court / official source</x:v>
      </x:c>
      <x:c r="E269" s="9" t="str">
        <x:v>Referenced in recovered corpus; source not independently rechecked in this edition</x:v>
      </x:c>
      <x:c r="F269" s="9" t="str"/>
      <x:c r="G269" s="9" t="str">
        <x:v>COR-058</x:v>
      </x:c>
      <x:c r="H269" s="12" t="str">
        <x:f>IFERROR(HYPERLINK(I269,"Open source"),"Open source")</x:f>
        <x:v>Open source</x:v>
      </x:c>
      <x:c r="I269" s="11" t="str">
        <x:v>https://data.opm.gov/explore-data/analytics/workforce-changes</x:v>
      </x:c>
    </x:row>
    <x:row r="270" ht="39" customHeight="1">
      <x:c r="A270" s="9" t="str">
        <x:v>REF-0266</x:v>
      </x:c>
      <x:c r="B270" s="9" t="str">
        <x:v>Schedule Policy/Career</x:v>
      </x:c>
      <x:c r="C270" s="9" t="str">
        <x:v>www.opm.gov</x:v>
      </x:c>
      <x:c r="D270" s="9" t="str">
        <x:v>Government / court / official source</x:v>
      </x:c>
      <x:c r="E270" s="9" t="str">
        <x:v>Referenced in recovered corpus; source not independently rechecked in this edition</x:v>
      </x:c>
      <x:c r="F270" s="9" t="str"/>
      <x:c r="G270" s="9" t="str">
        <x:v>COR-058</x:v>
      </x:c>
      <x:c r="H270" s="12" t="str">
        <x:f>IFERROR(HYPERLINK(I270,"Open source"),"Open source")</x:f>
        <x:v>Open source</x:v>
      </x:c>
      <x:c r="I270" s="11" t="str">
        <x:v>https://www.opm.gov/policy-data-oversight/hiring-information/hiring-authorities/schedule-policycareer/</x:v>
      </x:c>
    </x:row>
    <x:row r="271" ht="39" customHeight="1">
      <x:c r="A271" s="9" t="str">
        <x:v>REF-0267</x:v>
      </x:c>
      <x:c r="B271" s="9" t="str">
        <x:v>Executive Order 14410</x:v>
      </x:c>
      <x:c r="C271" s="9" t="str">
        <x:v>www.whitehouse.gov</x:v>
      </x:c>
      <x:c r="D271" s="9" t="str">
        <x:v>Government / court / official source</x:v>
      </x:c>
      <x:c r="E271" s="9" t="str">
        <x:v>Referenced in recovered corpus; source not independently rechecked in this edition</x:v>
      </x:c>
      <x:c r="F271" s="9" t="str"/>
      <x:c r="G271" s="9" t="str">
        <x:v>COR-058</x:v>
      </x:c>
      <x:c r="H271" s="12" t="str">
        <x:f>IFERROR(HYPERLINK(I271,"Open source"),"Open source")</x:f>
        <x:v>Open source</x:v>
      </x:c>
      <x:c r="I271" s="11" t="str">
        <x:v>https://www.whitehouse.gov/presidential-actions/2026/06/implementing-schedule-policy-career-in-the-excepted-service/</x:v>
      </x:c>
    </x:row>
    <x:row r="272" ht="54" customHeight="1">
      <x:c r="A272" s="9" t="str">
        <x:v>REF-0268</x:v>
      </x:c>
      <x:c r="B272" s="9" t="str">
        <x:v>“Granting Pardons and Commutation of Sentences for Certain Offenses Relating to the Events at or Near the United States Capitol on January 6, 2021”</x:v>
      </x:c>
      <x:c r="C272" s="9" t="str">
        <x:v>www.whitehouse.gov</x:v>
      </x:c>
      <x:c r="D272" s="9" t="str">
        <x:v>Government / court / official source</x:v>
      </x:c>
      <x:c r="E272" s="9" t="str">
        <x:v>Referenced in recovered corpus; source not independently rechecked in this edition</x:v>
      </x:c>
      <x:c r="F272" s="9" t="str"/>
      <x:c r="G272" s="9" t="str">
        <x:v>COR-058</x:v>
      </x:c>
      <x:c r="H272" s="12" t="str">
        <x:f>IFERROR(HYPERLINK(I272,"Open source"),"Open source")</x:f>
        <x:v>Open source</x:v>
      </x:c>
      <x:c r="I272" s="11" t="str">
        <x:v>https://www.whitehouse.gov/presidential-actions/2025/01/granting-pardons-and-commutation-of-sentences-for-certain-offenses-relating-to-the-events-at-or-near-the-united-states-capitol-on-january-6-2021/</x:v>
      </x:c>
    </x:row>
    <x:row r="273" ht="39" customHeight="1">
      <x:c r="A273" s="9" t="str">
        <x:v>REF-0269</x:v>
      </x:c>
      <x:c r="B273" s="9" t="str">
        <x:v>“Declaring a National Emergency at the Southern Border of the United States”</x:v>
      </x:c>
      <x:c r="C273" s="9" t="str">
        <x:v>www.whitehouse.gov</x:v>
      </x:c>
      <x:c r="D273" s="9" t="str">
        <x:v>Government / court / official source</x:v>
      </x:c>
      <x:c r="E273" s="9" t="str">
        <x:v>Referenced in recovered corpus; source not independently rechecked in this edition</x:v>
      </x:c>
      <x:c r="F273" s="9" t="str"/>
      <x:c r="G273" s="9" t="str">
        <x:v>COR-058</x:v>
      </x:c>
      <x:c r="H273" s="12" t="str">
        <x:f>IFERROR(HYPERLINK(I273,"Open source"),"Open source")</x:f>
        <x:v>Open source</x:v>
      </x:c>
      <x:c r="I273" s="11" t="str">
        <x:v>https://www.whitehouse.gov/presidential-actions/2025/01/declaring-a-national-emergency-at-the-southern-border-of-the-united-states/</x:v>
      </x:c>
    </x:row>
    <x:row r="274" ht="39" customHeight="1">
      <x:c r="A274" s="9" t="str">
        <x:v>REF-0270</x:v>
      </x:c>
      <x:c r="B274" s="9" t="str">
        <x:v>Understanding the FY2026 DHS Budget Request</x:v>
      </x:c>
      <x:c r="C274" s="9" t="str">
        <x:v>www.congress.gov</x:v>
      </x:c>
      <x:c r="D274" s="9" t="str">
        <x:v>Government / court / official source</x:v>
      </x:c>
      <x:c r="E274" s="9" t="str">
        <x:v>Referenced in recovered corpus; source not independently rechecked in this edition</x:v>
      </x:c>
      <x:c r="F274" s="9" t="str"/>
      <x:c r="G274" s="9" t="str">
        <x:v>COR-058</x:v>
      </x:c>
      <x:c r="H274" s="12" t="str">
        <x:f>IFERROR(HYPERLINK(I274,"Open source"),"Open source")</x:f>
        <x:v>Open source</x:v>
      </x:c>
      <x:c r="I274" s="11" t="str">
        <x:v>https://www.congress.gov/crs-product/R48704</x:v>
      </x:c>
    </x:row>
    <x:row r="275" ht="39" customHeight="1">
      <x:c r="A275" s="9" t="str">
        <x:v>REF-0271</x:v>
      </x:c>
      <x:c r="B275" s="9" t="str">
        <x:v>Los Angeles National Guard statement</x:v>
      </x:c>
      <x:c r="C275" s="9" t="str">
        <x:v>www.whitehouse.gov</x:v>
      </x:c>
      <x:c r="D275" s="9" t="str">
        <x:v>Government / court / official source</x:v>
      </x:c>
      <x:c r="E275" s="9" t="str">
        <x:v>Referenced in recovered corpus; source not independently rechecked in this edition</x:v>
      </x:c>
      <x:c r="F275" s="9" t="str"/>
      <x:c r="G275" s="9" t="str">
        <x:v>COR-058</x:v>
      </x:c>
      <x:c r="H275" s="12" t="str">
        <x:f>IFERROR(HYPERLINK(I275,"Open source"),"Open source")</x:f>
        <x:v>Open source</x:v>
      </x:c>
      <x:c r="I275" s="11" t="str">
        <x:v>https://www.whitehouse.gov/briefings-statements/2025/06/statement-from-the-white-house-d320/</x:v>
      </x:c>
    </x:row>
    <x:row r="276" ht="39" customHeight="1">
      <x:c r="A276" s="9" t="str">
        <x:v>REF-0272</x:v>
      </x:c>
      <x:c r="B276" s="9" t="str">
        <x:v>District of Columbia fact sheet</x:v>
      </x:c>
      <x:c r="C276" s="9" t="str">
        <x:v>www.whitehouse.gov</x:v>
      </x:c>
      <x:c r="D276" s="9" t="str">
        <x:v>Government / court / official source</x:v>
      </x:c>
      <x:c r="E276" s="9" t="str">
        <x:v>Referenced in recovered corpus; source not independently rechecked in this edition</x:v>
      </x:c>
      <x:c r="F276" s="9" t="str"/>
      <x:c r="G276" s="9" t="str">
        <x:v>COR-058</x:v>
      </x:c>
      <x:c r="H276" s="12" t="str">
        <x:f>IFERROR(HYPERLINK(I276,"Open source"),"Open source")</x:f>
        <x:v>Open source</x:v>
      </x:c>
      <x:c r="I276" s="11" t="str">
        <x:v>https://www.whitehouse.gov/fact-sheets/2025/08/fact-sheet-president-donald-j-trump-restores-law-and-order-in-the-district-of-columbia/</x:v>
      </x:c>
    </x:row>
    <x:row r="277" ht="39" customHeight="1">
      <x:c r="A277" s="9" t="str">
        <x:v>REF-0273</x:v>
      </x:c>
      <x:c r="B277" s="9" t="str">
        <x:v>Illinois security memorandum</x:v>
      </x:c>
      <x:c r="C277" s="9" t="str">
        <x:v>www.whitehouse.gov</x:v>
      </x:c>
      <x:c r="D277" s="9" t="str">
        <x:v>Government / court / official source</x:v>
      </x:c>
      <x:c r="E277" s="9" t="str">
        <x:v>Referenced in recovered corpus; source not independently rechecked in this edition</x:v>
      </x:c>
      <x:c r="F277" s="9" t="str"/>
      <x:c r="G277" s="9" t="str">
        <x:v>COR-058</x:v>
      </x:c>
      <x:c r="H277" s="12" t="str">
        <x:f>IFERROR(HYPERLINK(I277,"Open source"),"Open source")</x:f>
        <x:v>Open source</x:v>
      </x:c>
      <x:c r="I277" s="11" t="str">
        <x:v>https://www.whitehouse.gov/presidential-actions/2025/10/department-of-war-security-for-the-protection-of-federal-personnel-and-property-in-illinois/</x:v>
      </x:c>
    </x:row>
    <x:row r="278" ht="39" customHeight="1">
      <x:c r="A278" s="9" t="str">
        <x:v>REF-0274</x:v>
      </x:c>
      <x:c r="B278" s="9" t="str">
        <x:v>Trump v. Illinois</x:v>
      </x:c>
      <x:c r="C278" s="9" t="str">
        <x:v>www.supremecourt.gov</x:v>
      </x:c>
      <x:c r="D278" s="9" t="str">
        <x:v>Government / court / official source</x:v>
      </x:c>
      <x:c r="E278" s="9" t="str">
        <x:v>Referenced in recovered corpus; source not independently rechecked in this edition</x:v>
      </x:c>
      <x:c r="F278" s="9" t="str"/>
      <x:c r="G278" s="9" t="str">
        <x:v>COR-058</x:v>
      </x:c>
      <x:c r="H278" s="12" t="str">
        <x:f>IFERROR(HYPERLINK(I278,"Open source"),"Open source")</x:f>
        <x:v>Open source</x:v>
      </x:c>
      <x:c r="I278" s="11" t="str">
        <x:v>https://www.supremecourt.gov/opinions/25pdf/25a443_new_b07d.pdf</x:v>
      </x:c>
    </x:row>
    <x:row r="279" ht="39" customHeight="1">
      <x:c r="A279" s="9" t="str">
        <x:v>REF-0275</x:v>
      </x:c>
      <x:c r="B279" s="9" t="str">
        <x:v>report on the ICE–Palantir custody event</x:v>
      </x:c>
      <x:c r="C279" s="9" t="str">
        <x:v>www.kclu.org</x:v>
      </x:c>
      <x:c r="D279" s="9" t="str">
        <x:v>Reference carried by the corpus</x:v>
      </x:c>
      <x:c r="E279" s="9" t="str">
        <x:v>Referenced in recovered corpus; source not independently rechecked in this edition</x:v>
      </x:c>
      <x:c r="F279" s="9" t="str"/>
      <x:c r="G279" s="9" t="str">
        <x:v>COR-058</x:v>
      </x:c>
      <x:c r="H279" s="12" t="str">
        <x:f>IFERROR(HYPERLINK(I279,"Open source"),"Open source")</x:f>
        <x:v>Open source</x:v>
      </x:c>
      <x:c r="I279" s="11" t="str">
        <x:v>https://www.kclu.org/science-technology/2026-07-17/ice-shared-medicaid-data-it-wasnt-supposed-to-have-with-palantir</x:v>
      </x:c>
    </x:row>
    <x:row r="280" ht="39" customHeight="1">
      <x:c r="A280" s="9" t="str">
        <x:v>REF-0276</x:v>
      </x:c>
      <x:c r="B280" s="9" t="str">
        <x:v>Foreign Leader Fast Facts</x:v>
      </x:c>
      <x:c r="C280" s="9" t="str">
        <x:v>history.house.gov</x:v>
      </x:c>
      <x:c r="D280" s="9" t="str">
        <x:v>Government / court / official source</x:v>
      </x:c>
      <x:c r="E280" s="9" t="str">
        <x:v>Referenced in recovered corpus; source not independently rechecked in this edition</x:v>
      </x:c>
      <x:c r="F280" s="9" t="str"/>
      <x:c r="G280" s="9" t="str">
        <x:v>COR-058</x:v>
      </x:c>
      <x:c r="H280" s="12" t="str">
        <x:f>IFERROR(HYPERLINK(I280,"Open source"),"Open source")</x:f>
        <x:v>Open source</x:v>
      </x:c>
      <x:c r="I280" s="11" t="str">
        <x:v>https://history.house.gov/Institution/Foreign-Leaders/Fast-Facts/</x:v>
      </x:c>
    </x:row>
    <x:row r="281" ht="39" customHeight="1">
      <x:c r="A281" s="9" t="str">
        <x:v>REF-0277</x:v>
      </x:c>
      <x:c r="B281" s="9" t="str">
        <x:v>Netanyahu’s July 24, 2024, joint-meeting address</x:v>
      </x:c>
      <x:c r="C281" s="9" t="str">
        <x:v>www.congress.gov</x:v>
      </x:c>
      <x:c r="D281" s="9" t="str">
        <x:v>Government / court / official source</x:v>
      </x:c>
      <x:c r="E281" s="9" t="str">
        <x:v>Referenced in recovered corpus; source not independently rechecked in this edition</x:v>
      </x:c>
      <x:c r="F281" s="9" t="str"/>
      <x:c r="G281" s="9" t="str">
        <x:v>COR-058</x:v>
      </x:c>
      <x:c r="H281" s="12" t="str">
        <x:f>IFERROR(HYPERLINK(I281,"Open source"),"Open source")</x:f>
        <x:v>Open source</x:v>
      </x:c>
      <x:c r="I281" s="11" t="str">
        <x:v>https://www.congress.gov/congressional-record/volume-170/issue-120/house-section/article/H4877-1</x:v>
      </x:c>
    </x:row>
    <x:row r="282" ht="39" customHeight="1">
      <x:c r="A282" s="9" t="str">
        <x:v>REF-0278</x:v>
      </x:c>
      <x:c r="B282" s="9" t="str">
        <x:v>October 28, 2023, war speech report</x:v>
      </x:c>
      <x:c r="C282" s="9" t="str">
        <x:v>apnews.com</x:v>
      </x:c>
      <x:c r="D282" s="9" t="str">
        <x:v>Reference carried by the corpus</x:v>
      </x:c>
      <x:c r="E282" s="9" t="str">
        <x:v>Referenced in recovered corpus; source not independently rechecked in this edition</x:v>
      </x:c>
      <x:c r="F282" s="9" t="str"/>
      <x:c r="G282" s="9" t="str">
        <x:v>COR-058</x:v>
      </x:c>
      <x:c r="H282" s="12" t="str">
        <x:f>IFERROR(HYPERLINK(I282,"Open source"),"Open source")</x:f>
        <x:v>Open source</x:v>
      </x:c>
      <x:c r="I282" s="11" t="str">
        <x:v>https://apnews.com/article/c9bd7ecc5f4a9fe9d46486f66675244c</x:v>
      </x:c>
    </x:row>
    <x:row r="283" ht="39" customHeight="1">
      <x:c r="A283" s="9" t="str">
        <x:v>REF-0279</x:v>
      </x:c>
      <x:c r="B283" s="9" t="str">
        <x:v>July 5, 2026, report on the Israeli cabinet’s decision to defy a Supreme Court ruling</x:v>
      </x:c>
      <x:c r="C283" s="9" t="str">
        <x:v>www.investing.com</x:v>
      </x:c>
      <x:c r="D283" s="9" t="str">
        <x:v>Reference carried by the corpus</x:v>
      </x:c>
      <x:c r="E283" s="9" t="str">
        <x:v>Referenced in recovered corpus; source not independently rechecked in this edition</x:v>
      </x:c>
      <x:c r="F283" s="9" t="str"/>
      <x:c r="G283" s="9" t="str">
        <x:v>COR-058</x:v>
      </x:c>
      <x:c r="H283" s="12" t="str">
        <x:f>IFERROR(HYPERLINK(I283,"Open source"),"Open source")</x:f>
        <x:v>Open source</x:v>
      </x:c>
      <x:c r="I283" s="11" t="str">
        <x:v>https://www.investing.com/news/world-news/israel-government-says-it-will-defy-supreme-court-ruling-on-media-regulator-4775484</x:v>
      </x:c>
    </x:row>
    <x:row r="284" ht="39" customHeight="1">
      <x:c r="A284" s="9" t="str">
        <x:v>REF-0280</x:v>
      </x:c>
      <x:c r="B284" s="9" t="str">
        <x:v>www.ferc.gov</x:v>
      </x:c>
      <x:c r="C284" s="9" t="str">
        <x:v>www.ferc.gov</x:v>
      </x:c>
      <x:c r="D284" s="9" t="str">
        <x:v>Government / court / official source</x:v>
      </x:c>
      <x:c r="E284" s="9" t="str">
        <x:v>Referenced in recovered corpus; source not independently rechecked in this edition</x:v>
      </x:c>
      <x:c r="F284" s="9" t="str"/>
      <x:c r="G284" s="9" t="str">
        <x:v>COR-059</x:v>
      </x:c>
      <x:c r="H284" s="12" t="str">
        <x:f>IFERROR(HYPERLINK(I284,"Open source"),"Open source")</x:f>
        <x:v>Open source</x:v>
      </x:c>
      <x:c r="I284" s="11" t="str">
        <x:v>https://www.ferc.gov/news-events/news/ferc-launches-aggressive-targeted-action-speed-large-load-integration</x:v>
      </x:c>
    </x:row>
    <x:row r="285" ht="39" customHeight="1">
      <x:c r="A285" s="9" t="str">
        <x:v>REF-0281</x:v>
      </x:c>
      <x:c r="B285" s="9" t="str">
        <x:v>psc.wi.gov</x:v>
      </x:c>
      <x:c r="C285" s="9" t="str">
        <x:v>psc.wi.gov</x:v>
      </x:c>
      <x:c r="D285" s="9" t="str">
        <x:v>Government / court / official source</x:v>
      </x:c>
      <x:c r="E285" s="9" t="str">
        <x:v>Referenced in recovered corpus; source not independently rechecked in this edition</x:v>
      </x:c>
      <x:c r="F285" s="9" t="str"/>
      <x:c r="G285" s="9" t="str">
        <x:v>COR-059</x:v>
      </x:c>
      <x:c r="H285" s="12" t="str">
        <x:f>IFERROR(HYPERLINK(I285,"Open source"),"Open source")</x:f>
        <x:v>Open source</x:v>
      </x:c>
      <x:c r="I285" s="11" t="str">
        <x:v>https://psc.wi.gov/Documents/PressReleases/04.24.2026PressRelease.PDF</x:v>
      </x:c>
    </x:row>
    <x:row r="286" ht="39" customHeight="1">
      <x:c r="A286" s="9" t="str">
        <x:v>REF-0282</x:v>
      </x:c>
      <x:c r="B286" s="9" t="str">
        <x:v>www.puc.pa.gov</x:v>
      </x:c>
      <x:c r="C286" s="9" t="str">
        <x:v>www.puc.pa.gov</x:v>
      </x:c>
      <x:c r="D286" s="9" t="str">
        <x:v>Government / court / official source</x:v>
      </x:c>
      <x:c r="E286" s="9" t="str">
        <x:v>Referenced in recovered corpus; source not independently rechecked in this edition</x:v>
      </x:c>
      <x:c r="F286" s="9" t="str"/>
      <x:c r="G286" s="9" t="str">
        <x:v>COR-059</x:v>
      </x:c>
      <x:c r="H286" s="12" t="str">
        <x:f>IFERROR(HYPERLINK(I286,"Open source"),"Open source")</x:f>
        <x:v>Open source</x:v>
      </x:c>
      <x:c r="I286" s="11" t="str">
        <x:v>https://www.puc.pa.gov/press-release/2026/puc-releases-final-order-establishing-first-of-its-kind-large-load-model-tariff-framework-05132026</x:v>
      </x:c>
    </x:row>
    <x:row r="287" ht="39" customHeight="1">
      <x:c r="A287" s="9" t="str">
        <x:v>REF-0283</x:v>
      </x:c>
      <x:c r="B287" s="9" t="str">
        <x:v>www.3gpp.org</x:v>
      </x:c>
      <x:c r="C287" s="9" t="str">
        <x:v>www.3gpp.org</x:v>
      </x:c>
      <x:c r="D287" s="9" t="str">
        <x:v>Reference carried by the corpus</x:v>
      </x:c>
      <x:c r="E287" s="9" t="str">
        <x:v>Referenced in recovered corpus; source not independently rechecked in this edition</x:v>
      </x:c>
      <x:c r="F287" s="9" t="str"/>
      <x:c r="G287" s="9" t="str">
        <x:v>COR-059</x:v>
      </x:c>
      <x:c r="H287" s="12" t="str">
        <x:f>IFERROR(HYPERLINK(I287,"Open source"),"Open source")</x:f>
        <x:v>Open source</x:v>
      </x:c>
      <x:c r="I287" s="11" t="str">
        <x:v>https://www.3gpp.org/technologies/ai-ml-ngran</x:v>
      </x:c>
    </x:row>
    <x:row r="288" ht="39" customHeight="1">
      <x:c r="A288" s="9" t="str">
        <x:v>REF-0284</x:v>
      </x:c>
      <x:c r="B288" s="9" t="str">
        <x:v>www.gsma.com</x:v>
      </x:c>
      <x:c r="C288" s="9" t="str">
        <x:v>www.gsma.com</x:v>
      </x:c>
      <x:c r="D288" s="9" t="str">
        <x:v>Reference carried by the corpus</x:v>
      </x:c>
      <x:c r="E288" s="9" t="str">
        <x:v>Referenced in recovered corpus; source not independently rechecked in this edition</x:v>
      </x:c>
      <x:c r="F288" s="9" t="str"/>
      <x:c r="G288" s="9" t="str">
        <x:v>COR-059</x:v>
      </x:c>
      <x:c r="H288" s="12" t="str">
        <x:f>IFERROR(HYPERLINK(I288,"Open source"),"Open source")</x:f>
        <x:v>Open source</x:v>
      </x:c>
      <x:c r="I288" s="11" t="str">
        <x:v>https://www.gsma.com/solutions-and-impact/technologies/networks/gsma_resources/the-value-of-mobile-ai-whitepaper/</x:v>
      </x:c>
    </x:row>
    <x:row r="289" ht="39" customHeight="1">
      <x:c r="A289" s="9" t="str">
        <x:v>REF-0285</x:v>
      </x:c>
      <x:c r="B289" s="9" t="str">
        <x:v>www.fcc.gov</x:v>
      </x:c>
      <x:c r="C289" s="9" t="str">
        <x:v>www.fcc.gov</x:v>
      </x:c>
      <x:c r="D289" s="9" t="str">
        <x:v>Government / court / official source</x:v>
      </x:c>
      <x:c r="E289" s="9" t="str">
        <x:v>Referenced in recovered corpus; source not independently rechecked in this edition</x:v>
      </x:c>
      <x:c r="F289" s="9" t="str"/>
      <x:c r="G289" s="9" t="str">
        <x:v>COR-059</x:v>
      </x:c>
      <x:c r="H289" s="12" t="str">
        <x:f>IFERROR(HYPERLINK(I289,"Open source"),"Open source")</x:f>
        <x:v>Open source</x:v>
      </x:c>
      <x:c r="I289" s="11" t="str">
        <x:v>https://www.fcc.gov/sites/default/files/CSRIC9Report-PotentialSecurityandReliabilityRisks6G-032426.docx</x:v>
      </x:c>
    </x:row>
    <x:row r="290" ht="39" customHeight="1">
      <x:c r="A290" s="9" t="str">
        <x:v>REF-0286</x:v>
      </x:c>
      <x:c r="B290" s="9" t="str">
        <x:v>www.anthropic.com</x:v>
      </x:c>
      <x:c r="C290" s="9" t="str">
        <x:v>www.anthropic.com</x:v>
      </x:c>
      <x:c r="D290" s="9" t="str">
        <x:v>Reference carried by the corpus</x:v>
      </x:c>
      <x:c r="E290" s="9" t="str">
        <x:v>Referenced in recovered corpus; source not independently rechecked in this edition</x:v>
      </x:c>
      <x:c r="F290" s="9" t="str"/>
      <x:c r="G290" s="9" t="str">
        <x:v>COR-059</x:v>
      </x:c>
      <x:c r="H290" s="12" t="str">
        <x:f>IFERROR(HYPERLINK(I290,"Open source"),"Open source")</x:f>
        <x:v>Open source</x:v>
      </x:c>
      <x:c r="I290" s="11" t="str">
        <x:v>https://www.anthropic.com/news/fable-mythos-access</x:v>
      </x:c>
    </x:row>
    <x:row r="291" ht="39" customHeight="1">
      <x:c r="A291" s="9" t="str">
        <x:v>REF-0287</x:v>
      </x:c>
      <x:c r="B291" s="9" t="str">
        <x:v>www.anthropic.com</x:v>
      </x:c>
      <x:c r="C291" s="9" t="str">
        <x:v>www.anthropic.com</x:v>
      </x:c>
      <x:c r="D291" s="9" t="str">
        <x:v>Reference carried by the corpus</x:v>
      </x:c>
      <x:c r="E291" s="9" t="str">
        <x:v>Referenced in recovered corpus; source not independently rechecked in this edition</x:v>
      </x:c>
      <x:c r="F291" s="9" t="str"/>
      <x:c r="G291" s="9" t="str">
        <x:v>COR-059</x:v>
      </x:c>
      <x:c r="H291" s="12" t="str">
        <x:f>IFERROR(HYPERLINK(I291,"Open source"),"Open source")</x:f>
        <x:v>Open source</x:v>
      </x:c>
      <x:c r="I291" s="11" t="str">
        <x:v>https://www.anthropic.com/news/redeploying-fable-5</x:v>
      </x:c>
    </x:row>
    <x:row r="292" ht="39" customHeight="1">
      <x:c r="A292" s="9" t="str">
        <x:v>REF-0288</x:v>
      </x:c>
      <x:c r="B292" s="9" t="str">
        <x:v>www.reuters.com</x:v>
      </x:c>
      <x:c r="C292" s="9" t="str">
        <x:v>www.reuters.com</x:v>
      </x:c>
      <x:c r="D292" s="9" t="str">
        <x:v>Reference carried by the corpus</x:v>
      </x:c>
      <x:c r="E292" s="9" t="str">
        <x:v>Referenced in recovered corpus; source not independently rechecked in this edition</x:v>
      </x:c>
      <x:c r="F292" s="9" t="str"/>
      <x:c r="G292" s="9" t="str">
        <x:v>COR-059</x:v>
      </x:c>
      <x:c r="H292" s="12" t="str">
        <x:f>IFERROR(HYPERLINK(I292,"Open source"),"Open source")</x:f>
        <x:v>Open source</x:v>
      </x:c>
      <x:c r="I292" s="11" t="str">
        <x:v>https://www.reuters.com/legal/litigation/marco-rubio-tells-diplomats-play-down-talk-american-tech-kill-switch-2026-07-22/</x:v>
      </x:c>
    </x:row>
    <x:row r="293" ht="39" customHeight="1">
      <x:c r="A293" s="9" t="str">
        <x:v>REF-0289</x:v>
      </x:c>
      <x:c r="B293" s="9" t="str">
        <x:v>openai.com</x:v>
      </x:c>
      <x:c r="C293" s="9" t="str">
        <x:v>openai.com</x:v>
      </x:c>
      <x:c r="D293" s="9" t="str">
        <x:v>Reference carried by the corpus</x:v>
      </x:c>
      <x:c r="E293" s="9" t="str">
        <x:v>Referenced in recovered corpus; source not independently rechecked in this edition</x:v>
      </x:c>
      <x:c r="F293" s="9" t="str"/>
      <x:c r="G293" s="9" t="str">
        <x:v>COR-059</x:v>
      </x:c>
      <x:c r="H293" s="12" t="str">
        <x:f>IFERROR(HYPERLINK(I293,"Open source"),"Open source")</x:f>
        <x:v>Open source</x:v>
      </x:c>
      <x:c r="I293" s="11" t="str">
        <x:v>https://openai.com/index/stargate-community/</x:v>
      </x:c>
    </x:row>
    <x:row r="294" ht="39" customHeight="1">
      <x:c r="A294" s="9" t="str">
        <x:v>REF-0290</x:v>
      </x:c>
      <x:c r="B294" s="9" t="str">
        <x:v>openai.com</x:v>
      </x:c>
      <x:c r="C294" s="9" t="str">
        <x:v>openai.com</x:v>
      </x:c>
      <x:c r="D294" s="9" t="str">
        <x:v>Reference carried by the corpus</x:v>
      </x:c>
      <x:c r="E294" s="9" t="str">
        <x:v>Referenced in recovered corpus; source not independently rechecked in this edition</x:v>
      </x:c>
      <x:c r="F294" s="9" t="str"/>
      <x:c r="G294" s="9" t="str">
        <x:v>COR-059</x:v>
      </x:c>
      <x:c r="H294" s="12" t="str">
        <x:f>IFERROR(HYPERLINK(I294,"Open source"),"Open source")</x:f>
        <x:v>Open source</x:v>
      </x:c>
      <x:c r="I294" s="11" t="str">
        <x:v>https://openai.com/index/building-ai-infrastructure-with-the-effingham-county-community/</x:v>
      </x:c>
    </x:row>
    <x:row r="295" ht="39" customHeight="1">
      <x:c r="A295" s="9" t="str">
        <x:v>REF-0291</x:v>
      </x:c>
      <x:c r="B295" s="9" t="str">
        <x:v>www.oracle.com</x:v>
      </x:c>
      <x:c r="C295" s="9" t="str">
        <x:v>www.oracle.com</x:v>
      </x:c>
      <x:c r="D295" s="9" t="str">
        <x:v>Reference carried by the corpus</x:v>
      </x:c>
      <x:c r="E295" s="9" t="str">
        <x:v>Referenced in recovered corpus; source not independently rechecked in this edition</x:v>
      </x:c>
      <x:c r="F295" s="9" t="str"/>
      <x:c r="G295" s="9" t="str">
        <x:v>COR-059</x:v>
      </x:c>
      <x:c r="H295" s="12" t="str">
        <x:f>IFERROR(HYPERLINK(I295,"Open source"),"Open source")</x:f>
        <x:v>Open source</x:v>
      </x:c>
      <x:c r="I295" s="11" t="str">
        <x:v>https://www.oracle.com/a/ocom/docs/nmed-letter.pdf</x:v>
      </x:c>
    </x:row>
    <x:row r="296" ht="39" customHeight="1">
      <x:c r="A296" s="9" t="str">
        <x:v>REF-0292</x:v>
      </x:c>
      <x:c r="B296" s="9" t="str">
        <x:v>www.maritime.dot.gov</x:v>
      </x:c>
      <x:c r="C296" s="9" t="str">
        <x:v>www.maritime.dot.gov</x:v>
      </x:c>
      <x:c r="D296" s="9" t="str">
        <x:v>Government / court / official source</x:v>
      </x:c>
      <x:c r="E296" s="9" t="str">
        <x:v>Referenced in recovered corpus; source not independently rechecked in this edition</x:v>
      </x:c>
      <x:c r="F296" s="9" t="str"/>
      <x:c r="G296" s="9" t="str">
        <x:v>COR-059</x:v>
      </x:c>
      <x:c r="H296" s="12" t="str">
        <x:f>IFERROR(HYPERLINK(I296,"Open source"),"Open source")</x:f>
        <x:v>Open source</x:v>
      </x:c>
      <x:c r="I296" s="11" t="str">
        <x:v>https://www.maritime.dot.gov/msci/2026-004-persian-gulf-strait-hormuz-and-gulf-oman-iranian-attacks-commercial-vessels</x:v>
      </x:c>
    </x:row>
    <x:row r="297" ht="39" customHeight="1">
      <x:c r="A297" s="9" t="str">
        <x:v>REF-0293</x:v>
      </x:c>
      <x:c r="B297" s="9" t="str">
        <x:v>www.maritime.dot.gov</x:v>
      </x:c>
      <x:c r="C297" s="9" t="str">
        <x:v>www.maritime.dot.gov</x:v>
      </x:c>
      <x:c r="D297" s="9" t="str">
        <x:v>Government / court / official source</x:v>
      </x:c>
      <x:c r="E297" s="9" t="str">
        <x:v>Referenced in recovered corpus; source not independently rechecked in this edition</x:v>
      </x:c>
      <x:c r="F297" s="9" t="str"/>
      <x:c r="G297" s="9" t="str">
        <x:v>COR-059</x:v>
      </x:c>
      <x:c r="H297" s="12" t="str">
        <x:f>IFERROR(HYPERLINK(I297,"Open source"),"Open source")</x:f>
        <x:v>Open source</x:v>
      </x:c>
      <x:c r="I297" s="11" t="str">
        <x:v>https://www.maritime.dot.gov/msci-advisories</x:v>
      </x:c>
    </x:row>
    <x:row r="298" ht="39" customHeight="1">
      <x:c r="A298" s="9" t="str">
        <x:v>REF-0294</x:v>
      </x:c>
      <x:c r="B298" s="9" t="str">
        <x:v>www.lloydslistintelligence.com</x:v>
      </x:c>
      <x:c r="C298" s="9" t="str">
        <x:v>www.lloydslistintelligence.com</x:v>
      </x:c>
      <x:c r="D298" s="9" t="str">
        <x:v>Reference carried by the corpus</x:v>
      </x:c>
      <x:c r="E298" s="9" t="str">
        <x:v>Referenced in recovered corpus; source not independently rechecked in this edition</x:v>
      </x:c>
      <x:c r="F298" s="9" t="str"/>
      <x:c r="G298" s="9" t="str">
        <x:v>COR-059</x:v>
      </x:c>
      <x:c r="H298" s="12" t="str">
        <x:f>IFERROR(HYPERLINK(I298,"Open source"),"Open source")</x:f>
        <x:v>Open source</x:v>
      </x:c>
      <x:c r="I298" s="11" t="str">
        <x:v>https://www.lloydslistintelligence.com/resources/blog/strait-of-hormuz-brief-21-july-2026</x:v>
      </x:c>
    </x:row>
    <x:row r="299" ht="39" customHeight="1">
      <x:c r="A299" s="9" t="str">
        <x:v>REF-0295</x:v>
      </x:c>
      <x:c r="B299" s="9" t="str">
        <x:v>www.lloydslistintelligence.com</x:v>
      </x:c>
      <x:c r="C299" s="9" t="str">
        <x:v>www.lloydslistintelligence.com</x:v>
      </x:c>
      <x:c r="D299" s="9" t="str">
        <x:v>Reference carried by the corpus</x:v>
      </x:c>
      <x:c r="E299" s="9" t="str">
        <x:v>Referenced in recovered corpus; source not independently rechecked in this edition</x:v>
      </x:c>
      <x:c r="F299" s="9" t="str"/>
      <x:c r="G299" s="9" t="str">
        <x:v>COR-059</x:v>
      </x:c>
      <x:c r="H299" s="12" t="str">
        <x:f>IFERROR(HYPERLINK(I299,"Open source"),"Open source")</x:f>
        <x:v>Open source</x:v>
      </x:c>
      <x:c r="I299" s="11" t="str">
        <x:v>https://www.lloydslistintelligence.com/resources/blog/strait-of-hormuz-brief-29-july-2026</x:v>
      </x:c>
    </x:row>
    <x:row r="300" ht="39" customHeight="1">
      <x:c r="A300" s="9" t="str">
        <x:v>REF-0296</x:v>
      </x:c>
      <x:c r="B300" s="9" t="str">
        <x:v>www.forbes.com</x:v>
      </x:c>
      <x:c r="C300" s="9" t="str">
        <x:v>www.forbes.com</x:v>
      </x:c>
      <x:c r="D300" s="9" t="str">
        <x:v>Reference carried by the corpus</x:v>
      </x:c>
      <x:c r="E300" s="9" t="str">
        <x:v>Referenced in recovered corpus; source not independently rechecked in this edition</x:v>
      </x:c>
      <x:c r="F300" s="9" t="str"/>
      <x:c r="G300" s="9" t="str">
        <x:v>COR-059</x:v>
      </x:c>
      <x:c r="H300" s="12" t="str">
        <x:f>IFERROR(HYPERLINK(I300,"Open source"),"Open source")</x:f>
        <x:v>Open source</x:v>
      </x:c>
      <x:c r="I300" s="11" t="str">
        <x:v>https://www.forbes.com/sites/maryroeloffs/2026/06/18/what-we-know-about-billionaire-peter-thiels-secret-dialog-society-including-whos-involved/</x:v>
      </x:c>
    </x:row>
    <x:row r="301" ht="39" customHeight="1">
      <x:c r="A301" s="9" t="str">
        <x:v>REF-0297</x:v>
      </x:c>
      <x:c r="B301" s="9" t="str">
        <x:v>religionnews.com</x:v>
      </x:c>
      <x:c r="C301" s="9" t="str">
        <x:v>religionnews.com</x:v>
      </x:c>
      <x:c r="D301" s="9" t="str">
        <x:v>Reference carried by the corpus</x:v>
      </x:c>
      <x:c r="E301" s="9" t="str">
        <x:v>Referenced in recovered corpus; source not independently rechecked in this edition</x:v>
      </x:c>
      <x:c r="F301" s="9" t="str"/>
      <x:c r="G301" s="9" t="str">
        <x:v>COR-059</x:v>
      </x:c>
      <x:c r="H301" s="12" t="str">
        <x:f>IFERROR(HYPERLINK(I301,"Open source"),"Open source")</x:f>
        <x:v>Open source</x:v>
      </x:c>
      <x:c r="I301" s="11" t="str">
        <x:v>https://religionnews.com/2025/07/11/practice-run-of-red-heifer-ceremony-meant-to-pave-the-way-for-a-new-temple-held-in-jerusalem/</x:v>
      </x:c>
    </x:row>
    <x:row r="302" ht="39" customHeight="1">
      <x:c r="A302" s="9" t="str">
        <x:v>REF-0298</x:v>
      </x:c>
      <x:c r="B302" s="9" t="str">
        <x:v>cobs.si</x:v>
      </x:c>
      <x:c r="C302" s="9" t="str">
        <x:v>cobs.si</x:v>
      </x:c>
      <x:c r="D302" s="9" t="str">
        <x:v>Reference carried by the corpus</x:v>
      </x:c>
      <x:c r="E302" s="9" t="str">
        <x:v>Referenced in recovered corpus; source not independently rechecked in this edition</x:v>
      </x:c>
      <x:c r="F302" s="9" t="str"/>
      <x:c r="G302" s="9" t="str">
        <x:v>COR-059</x:v>
      </x:c>
      <x:c r="H302" s="12" t="str">
        <x:f>IFERROR(HYPERLINK(I302,"Open source"),"Open source")</x:f>
        <x:v>Open source</x:v>
      </x:c>
      <x:c r="I302" s="11" t="str">
        <x:v>https://cobs.si/comet/2663/</x:v>
      </x:c>
    </x:row>
    <x:row r="303" ht="39" customHeight="1">
      <x:c r="A303" s="9" t="str">
        <x:v>REF-0299</x:v>
      </x:c>
      <x:c r="B303" s="9" t="str">
        <x:v>www.ualrpublicradio.org</x:v>
      </x:c>
      <x:c r="C303" s="9" t="str">
        <x:v>www.ualrpublicradio.org</x:v>
      </x:c>
      <x:c r="D303" s="9" t="str">
        <x:v>Reference carried by the corpus</x:v>
      </x:c>
      <x:c r="E303" s="9" t="str">
        <x:v>Referenced in recovered corpus; source not independently rechecked in this edition</x:v>
      </x:c>
      <x:c r="F303" s="9" t="str"/>
      <x:c r="G303" s="9" t="str">
        <x:v>COR-064</x:v>
      </x:c>
      <x:c r="H303" s="12" t="str">
        <x:f>IFERROR(HYPERLINK(I303,"Open source"),"Open source")</x:f>
        <x:v>Open source</x:v>
      </x:c>
      <x:c r="I303" s="11" t="str">
        <x:v>https://www.ualrpublicradio.org/npr-news/2026-07-17/ice-shared-medicaid-data-it-wasnt-supposed-to-have-with-palantir</x:v>
      </x:c>
    </x:row>
    <x:row r="304" ht="39" customHeight="1">
      <x:c r="A304" s="9" t="str">
        <x:v>REF-0300</x:v>
      </x:c>
      <x:c r="B304" s="9" t="str">
        <x:v>laist.com</x:v>
      </x:c>
      <x:c r="C304" s="9" t="str">
        <x:v>laist.com</x:v>
      </x:c>
      <x:c r="D304" s="9" t="str">
        <x:v>Reference carried by the corpus</x:v>
      </x:c>
      <x:c r="E304" s="9" t="str">
        <x:v>Referenced in recovered corpus; source not independently rechecked in this edition</x:v>
      </x:c>
      <x:c r="F304" s="9" t="str"/>
      <x:c r="G304" s="9" t="str">
        <x:v>COR-064</x:v>
      </x:c>
      <x:c r="H304" s="12" t="str">
        <x:f>IFERROR(HYPERLINK(I304,"Open source"),"Open source")</x:f>
        <x:v>Open source</x:v>
      </x:c>
      <x:c r="I304" s="11" t="str">
        <x:v>https://laist.com/brief/news/ice-shared-medicaid-data-it-wasnt-supposed-to-have-with-palantir</x:v>
      </x:c>
    </x:row>
    <x:row r="305" ht="39" customHeight="1">
      <x:c r="A305" s="9" t="str">
        <x:v>REF-0301</x:v>
      </x:c>
      <x:c r="B305" s="9" t="str">
        <x:v>Realtime and audio</x:v>
      </x:c>
      <x:c r="C305" s="9" t="str">
        <x:v>developers.openai.com</x:v>
      </x:c>
      <x:c r="D305" s="9" t="str">
        <x:v>Reference carried by the corpus</x:v>
      </x:c>
      <x:c r="E305" s="9" t="str">
        <x:v>Referenced in recovered corpus; source not independently rechecked in this edition</x:v>
      </x:c>
      <x:c r="F305" s="9" t="str"/>
      <x:c r="G305" s="9" t="str">
        <x:v>COR-074</x:v>
      </x:c>
      <x:c r="H305" s="12" t="str">
        <x:f>IFERROR(HYPERLINK(I305,"Open source"),"Open source")</x:f>
        <x:v>Open source</x:v>
      </x:c>
      <x:c r="I305" s="11" t="str">
        <x:v>https://developers.openai.com/api/docs/guides/realtime</x:v>
      </x:c>
    </x:row>
    <x:row r="306" ht="39" customHeight="1">
      <x:c r="A306" s="9" t="str">
        <x:v>REF-0302</x:v>
      </x:c>
      <x:c r="B306" s="9" t="str">
        <x:v>voice activity detection</x:v>
      </x:c>
      <x:c r="C306" s="9" t="str">
        <x:v>developers.openai.com</x:v>
      </x:c>
      <x:c r="D306" s="9" t="str">
        <x:v>Reference carried by the corpus</x:v>
      </x:c>
      <x:c r="E306" s="9" t="str">
        <x:v>Referenced in recovered corpus; source not independently rechecked in this edition</x:v>
      </x:c>
      <x:c r="F306" s="9" t="str"/>
      <x:c r="G306" s="9" t="str">
        <x:v>COR-074</x:v>
      </x:c>
      <x:c r="H306" s="12" t="str">
        <x:f>IFERROR(HYPERLINK(I306,"Open source"),"Open source")</x:f>
        <x:v>Open source</x:v>
      </x:c>
      <x:c r="I306" s="11" t="str">
        <x:v>https://developers.openai.com/api/docs/guides/realtime-vad</x:v>
      </x:c>
    </x:row>
    <x:row r="307" ht="39" customHeight="1">
      <x:c r="A307" s="9" t="str">
        <x:v>REF-0303</x:v>
      </x:c>
      <x:c r="B307" s="9" t="str">
        <x:v>Archetype investigation</x:v>
      </x:c>
      <x:c r="C307" s="9" t="str">
        <x:v>docs.google.com</x:v>
      </x:c>
      <x:c r="D307" s="9" t="str">
        <x:v>Research artifact / conversation</x:v>
      </x:c>
      <x:c r="E307" s="9" t="str">
        <x:v>Referenced in recovered corpus; source not independently rechecked in this edition</x:v>
      </x:c>
      <x:c r="F307" s="9" t="str"/>
      <x:c r="G307" s="9" t="str">
        <x:v>COR-075</x:v>
      </x:c>
      <x:c r="H307" s="12" t="str">
        <x:f>IFERROR(HYPERLINK(I307,"Open source"),"Open source")</x:f>
        <x:v>Open source</x:v>
      </x:c>
      <x:c r="I307" s="11" t="str">
        <x:v>https://docs.google.com/document/d/1RKOEJLBaBxJp9-PiCPSmFuW5JGOGclYcVruoHUOkzEQ</x:v>
      </x:c>
    </x:row>
    <x:row r="308" ht="39" customHeight="1">
      <x:c r="A308" s="9" t="str">
        <x:v>REF-0304</x:v>
      </x:c>
      <x:c r="B308" s="9" t="str">
        <x:v>www.perseus.tufts.edu</x:v>
      </x:c>
      <x:c r="C308" s="9" t="str">
        <x:v>www.perseus.tufts.edu</x:v>
      </x:c>
      <x:c r="D308" s="9" t="str">
        <x:v>Reference carried by the corpus</x:v>
      </x:c>
      <x:c r="E308" s="9" t="str">
        <x:v>Referenced in recovered corpus; source not independently rechecked in this edition</x:v>
      </x:c>
      <x:c r="F308" s="9" t="str"/>
      <x:c r="G308" s="9" t="str">
        <x:v>COR-093</x:v>
      </x:c>
      <x:c r="H308" s="12" t="str">
        <x:f>IFERROR(HYPERLINK(I308,"Open source"),"Open source")</x:f>
        <x:v>Open source</x:v>
      </x:c>
      <x:c r="I308" s="11" t="str">
        <x:v>https://www.perseus.tufts.edu/hopper/text?doc=Perseus%3Atext%3A1999.02.0029%3Abook%3D3</x:v>
      </x:c>
    </x:row>
    <x:row r="309" ht="39" customHeight="1">
      <x:c r="A309" s="9" t="str">
        <x:v>REF-0305</x:v>
      </x:c>
      <x:c r="B309" s="9" t="str">
        <x:v>www.theoi.com</x:v>
      </x:c>
      <x:c r="C309" s="9" t="str">
        <x:v>www.theoi.com</x:v>
      </x:c>
      <x:c r="D309" s="9" t="str">
        <x:v>Reference carried by the corpus</x:v>
      </x:c>
      <x:c r="E309" s="9" t="str">
        <x:v>Referenced in recovered corpus; source not independently rechecked in this edition</x:v>
      </x:c>
      <x:c r="F309" s="9" t="str"/>
      <x:c r="G309" s="9" t="str">
        <x:v>COR-093</x:v>
      </x:c>
      <x:c r="H309" s="12" t="str">
        <x:f>IFERROR(HYPERLINK(I309,"Open source"),"Open source")</x:f>
        <x:v>Open source</x:v>
      </x:c>
      <x:c r="I309" s="11" t="str">
        <x:v>https://www.theoi.com/Text/AeschylusAgamemnon.html</x:v>
      </x:c>
    </x:row>
    <x:row r="310" ht="39" customHeight="1">
      <x:c r="A310" s="9" t="str">
        <x:v>REF-0306</x:v>
      </x:c>
      <x:c r="B310" s="9" t="str">
        <x:v>etcsl.orinst.ox.ac.uk</x:v>
      </x:c>
      <x:c r="C310" s="9" t="str">
        <x:v>etcsl.orinst.ox.ac.uk</x:v>
      </x:c>
      <x:c r="D310" s="9" t="str">
        <x:v>Reference carried by the corpus</x:v>
      </x:c>
      <x:c r="E310" s="9" t="str">
        <x:v>Referenced in recovered corpus; source not independently rechecked in this edition</x:v>
      </x:c>
      <x:c r="F310" s="9" t="str"/>
      <x:c r="G310" s="9" t="str">
        <x:v>COR-093</x:v>
      </x:c>
      <x:c r="H310" s="12" t="str">
        <x:f>IFERROR(HYPERLINK(I310,"Open source"),"Open source")</x:f>
        <x:v>Open source</x:v>
      </x:c>
      <x:c r="I310" s="11" t="str">
        <x:v>https://etcsl.orinst.ox.ac.uk/section1/tr1823.htm</x:v>
      </x:c>
    </x:row>
    <x:row r="311" ht="39" customHeight="1">
      <x:c r="A311" s="9" t="str">
        <x:v>REF-0307</x:v>
      </x:c>
      <x:c r="B311" s="9" t="str">
        <x:v>www.sefaria.org</x:v>
      </x:c>
      <x:c r="C311" s="9" t="str">
        <x:v>www.sefaria.org</x:v>
      </x:c>
      <x:c r="D311" s="9" t="str">
        <x:v>Reference carried by the corpus</x:v>
      </x:c>
      <x:c r="E311" s="9" t="str">
        <x:v>Referenced in recovered corpus; source not independently rechecked in this edition</x:v>
      </x:c>
      <x:c r="F311" s="9" t="str"/>
      <x:c r="G311" s="9" t="str">
        <x:v>COR-093</x:v>
      </x:c>
      <x:c r="H311" s="12" t="str">
        <x:f>IFERROR(HYPERLINK(I311,"Open source"),"Open source")</x:f>
        <x:v>Open source</x:v>
      </x:c>
      <x:c r="I311" s="11" t="str">
        <x:v>https://www.sefaria.org/Jeremiah.36?lang=bi</x:v>
      </x:c>
    </x:row>
    <x:row r="312" ht="39" customHeight="1">
      <x:c r="A312" s="9" t="str">
        <x:v>REF-0308</x:v>
      </x:c>
      <x:c r="B312" s="9" t="str">
        <x:v>rigveda-online.github.io</x:v>
      </x:c>
      <x:c r="C312" s="9" t="str">
        <x:v>rigveda-online.github.io</x:v>
      </x:c>
      <x:c r="D312" s="9" t="str">
        <x:v>Reference carried by the corpus</x:v>
      </x:c>
      <x:c r="E312" s="9" t="str">
        <x:v>Referenced in recovered corpus; source not independently rechecked in this edition</x:v>
      </x:c>
      <x:c r="F312" s="9" t="str"/>
      <x:c r="G312" s="9" t="str">
        <x:v>COR-093</x:v>
      </x:c>
      <x:c r="H312" s="12" t="str">
        <x:f>IFERROR(HYPERLINK(I312,"Open source"),"Open source")</x:f>
        <x:v>Open source</x:v>
      </x:c>
      <x:c r="I312" s="11" t="str">
        <x:v>https://rigveda-online.github.io/10/125.html</x:v>
      </x:c>
    </x:row>
    <x:row r="313" ht="39" customHeight="1">
      <x:c r="A313" s="9" t="str">
        <x:v>REF-0309</x:v>
      </x:c>
      <x:c r="B313" s="9" t="str">
        <x:v>www.perseus.tufts.edu</x:v>
      </x:c>
      <x:c r="C313" s="9" t="str">
        <x:v>www.perseus.tufts.edu</x:v>
      </x:c>
      <x:c r="D313" s="9" t="str">
        <x:v>Reference carried by the corpus</x:v>
      </x:c>
      <x:c r="E313" s="9" t="str">
        <x:v>Referenced in recovered corpus; source not independently rechecked in this edition</x:v>
      </x:c>
      <x:c r="F313" s="9" t="str"/>
      <x:c r="G313" s="9" t="str">
        <x:v>COR-093</x:v>
      </x:c>
      <x:c r="H313" s="12" t="str">
        <x:f>IFERROR(HYPERLINK(I313,"Open source"),"Open source")</x:f>
        <x:v>Open source</x:v>
      </x:c>
      <x:c r="I313" s="11" t="str">
        <x:v>https://www.perseus.tufts.edu/hopper/text?doc=Perseus%3Atext%3A1999.01.0126%3Abook%3D6%3Achapter%3D105</x:v>
      </x:c>
    </x:row>
    <x:row r="314" ht="39" customHeight="1">
      <x:c r="A314" s="9" t="str">
        <x:v>REF-0310</x:v>
      </x:c>
      <x:c r="B314" s="9" t="str">
        <x:v>en.wikisource.org</x:v>
      </x:c>
      <x:c r="C314" s="9" t="str">
        <x:v>en.wikisource.org</x:v>
      </x:c>
      <x:c r="D314" s="9" t="str">
        <x:v>Reference carried by the corpus</x:v>
      </x:c>
      <x:c r="E314" s="9" t="str">
        <x:v>Referenced in recovered corpus; source not independently rechecked in this edition</x:v>
      </x:c>
      <x:c r="F314" s="9" t="str"/>
      <x:c r="G314" s="9" t="str">
        <x:v>COR-093</x:v>
      </x:c>
      <x:c r="H314" s="12" t="str">
        <x:f>IFERROR(HYPERLINK(I314,"Open source"),"Open source")</x:f>
        <x:v>Open source</x:v>
      </x:c>
      <x:c r="I314" s="11" t="str">
        <x:v>https://en.wikisource.org/wiki/Daphnis_and_Chloe_%28Thornley_translation%29/Book_3</x:v>
      </x:c>
    </x:row>
    <x:row r="315" ht="39" customHeight="1">
      <x:c r="A315" s="9" t="str">
        <x:v>REF-0311</x:v>
      </x:c>
      <x:c r="B315" s="9" t="str">
        <x:v>chs.harvard.edu</x:v>
      </x:c>
      <x:c r="C315" s="9" t="str">
        <x:v>chs.harvard.edu</x:v>
      </x:c>
      <x:c r="D315" s="9" t="str">
        <x:v>Reference carried by the corpus</x:v>
      </x:c>
      <x:c r="E315" s="9" t="str">
        <x:v>Referenced in recovered corpus; source not independently rechecked in this edition</x:v>
      </x:c>
      <x:c r="F315" s="9" t="str"/>
      <x:c r="G315" s="9" t="str">
        <x:v>COR-093</x:v>
      </x:c>
      <x:c r="H315" s="12" t="str">
        <x:f>IFERROR(HYPERLINK(I315,"Open source"),"Open source")</x:f>
        <x:v>Open source</x:v>
      </x:c>
      <x:c r="I315" s="11" t="str">
        <x:v>https://chs.harvard.edu/primary-source/hesiod-works-and-days-sb/</x:v>
      </x:c>
    </x:row>
    <x:row r="316" ht="39" customHeight="1">
      <x:c r="A316" s="9" t="str">
        <x:v>REF-0312</x:v>
      </x:c>
      <x:c r="B316" s="9" t="str">
        <x:v>chs.harvard.edu</x:v>
      </x:c>
      <x:c r="C316" s="9" t="str">
        <x:v>chs.harvard.edu</x:v>
      </x:c>
      <x:c r="D316" s="9" t="str">
        <x:v>Reference carried by the corpus</x:v>
      </x:c>
      <x:c r="E316" s="9" t="str">
        <x:v>Referenced in recovered corpus; source not independently rechecked in this edition</x:v>
      </x:c>
      <x:c r="F316" s="9" t="str"/>
      <x:c r="G316" s="9" t="str">
        <x:v>COR-093</x:v>
      </x:c>
      <x:c r="H316" s="12" t="str">
        <x:f>IFERROR(HYPERLINK(I316,"Open source"),"Open source")</x:f>
        <x:v>Open source</x:v>
      </x:c>
      <x:c r="I316" s="11" t="str">
        <x:v>https://chs.harvard.edu/primary-source/hesiod-theogony-sb/</x:v>
      </x:c>
    </x:row>
    <x:row r="317" ht="39" customHeight="1">
      <x:c r="A317" s="9" t="str">
        <x:v>REF-0313</x:v>
      </x:c>
      <x:c r="B317" s="9" t="str">
        <x:v>www.perseus.tufts.edu</x:v>
      </x:c>
      <x:c r="C317" s="9" t="str">
        <x:v>www.perseus.tufts.edu</x:v>
      </x:c>
      <x:c r="D317" s="9" t="str">
        <x:v>Reference carried by the corpus</x:v>
      </x:c>
      <x:c r="E317" s="9" t="str">
        <x:v>Referenced in recovered corpus; source not independently rechecked in this edition</x:v>
      </x:c>
      <x:c r="F317" s="9" t="str"/>
      <x:c r="G317" s="9" t="str">
        <x:v>COR-093</x:v>
      </x:c>
      <x:c r="H317" s="12" t="str">
        <x:f>IFERROR(HYPERLINK(I317,"Open source"),"Open source")</x:f>
        <x:v>Open source</x:v>
      </x:c>
      <x:c r="I317" s="11" t="str">
        <x:v>https://www.perseus.tufts.edu/hopper/text?doc=Perseus%3Atext%3A1999.01.0134%3Abook%3D14</x:v>
      </x:c>
    </x:row>
    <x:row r="318" ht="39" customHeight="1">
      <x:c r="A318" s="9" t="str">
        <x:v>REF-0314</x:v>
      </x:c>
      <x:c r="B318" s="9" t="str">
        <x:v>etcsl.orinst.ox.ac.uk</x:v>
      </x:c>
      <x:c r="C318" s="9" t="str">
        <x:v>etcsl.orinst.ox.ac.uk</x:v>
      </x:c>
      <x:c r="D318" s="9" t="str">
        <x:v>Reference carried by the corpus</x:v>
      </x:c>
      <x:c r="E318" s="9" t="str">
        <x:v>Referenced in recovered corpus; source not independently rechecked in this edition</x:v>
      </x:c>
      <x:c r="F318" s="9" t="str"/>
      <x:c r="G318" s="9" t="str">
        <x:v>COR-093</x:v>
      </x:c>
      <x:c r="H318" s="12" t="str">
        <x:f>IFERROR(HYPERLINK(I318,"Open source"),"Open source")</x:f>
        <x:v>Open source</x:v>
      </x:c>
      <x:c r="I318" s="11" t="str">
        <x:v>https://etcsl.orinst.ox.ac.uk/section1/tr141.htm</x:v>
      </x:c>
    </x:row>
    <x:row r="319" ht="39" customHeight="1">
      <x:c r="A319" s="9" t="str">
        <x:v>REF-0315</x:v>
      </x:c>
      <x:c r="B319" s="9" t="str">
        <x:v>ctext.org</x:v>
      </x:c>
      <x:c r="C319" s="9" t="str">
        <x:v>ctext.org</x:v>
      </x:c>
      <x:c r="D319" s="9" t="str">
        <x:v>Reference carried by the corpus</x:v>
      </x:c>
      <x:c r="E319" s="9" t="str">
        <x:v>Referenced in recovered corpus; source not independently rechecked in this edition</x:v>
      </x:c>
      <x:c r="F319" s="9" t="str"/>
      <x:c r="G319" s="9" t="str">
        <x:v>COR-093</x:v>
      </x:c>
      <x:c r="H319" s="12" t="str">
        <x:f>IFERROR(HYPERLINK(I319,"Open source"),"Open source")</x:f>
        <x:v>Open source</x:v>
      </x:c>
      <x:c r="I319" s="11" t="str">
        <x:v>https://ctext.org/xiyouji/ch3</x:v>
      </x:c>
    </x:row>
    <x:row r="320" ht="39" customHeight="1">
      <x:c r="A320" s="9" t="str">
        <x:v>REF-0316</x:v>
      </x:c>
      <x:c r="B320" s="9" t="str">
        <x:v>www.britishmuseum.org</x:v>
      </x:c>
      <x:c r="C320" s="9" t="str">
        <x:v>www.britishmuseum.org</x:v>
      </x:c>
      <x:c r="D320" s="9" t="str">
        <x:v>Reference carried by the corpus</x:v>
      </x:c>
      <x:c r="E320" s="9" t="str">
        <x:v>Referenced in recovered corpus; source not independently rechecked in this edition</x:v>
      </x:c>
      <x:c r="F320" s="9" t="str"/>
      <x:c r="G320" s="9" t="str">
        <x:v>COR-093</x:v>
      </x:c>
      <x:c r="H320" s="12" t="str">
        <x:f>IFERROR(HYPERLINK(I320,"Open source"),"Open source")</x:f>
        <x:v>Open source</x:v>
      </x:c>
      <x:c r="I320" s="11" t="str">
        <x:v>https://www.britishmuseum.org/learn/schools/ages-7-11/ancient-egypt/journey-afterlife</x:v>
      </x:c>
    </x:row>
    <x:row r="321" ht="39" customHeight="1">
      <x:c r="A321" s="9" t="str">
        <x:v>REF-0317</x:v>
      </x:c>
      <x:c r="B321" s="9" t="str">
        <x:v>kojiki.kokugakuin.ac.jp</x:v>
      </x:c>
      <x:c r="C321" s="9" t="str">
        <x:v>kojiki.kokugakuin.ac.jp</x:v>
      </x:c>
      <x:c r="D321" s="9" t="str">
        <x:v>Reference carried by the corpus</x:v>
      </x:c>
      <x:c r="E321" s="9" t="str">
        <x:v>Referenced in recovered corpus; source not independently rechecked in this edition</x:v>
      </x:c>
      <x:c r="F321" s="9" t="str"/>
      <x:c r="G321" s="9" t="str">
        <x:v>COR-093</x:v>
      </x:c>
      <x:c r="H321" s="12" t="str">
        <x:f>IFERROR(HYPERLINK(I321,"Open source"),"Open source")</x:f>
        <x:v>Open source</x:v>
      </x:c>
      <x:c r="I321" s="11" t="str">
        <x:v>https://kojiki.kokugakuin.ac.jp/kojiki-en/</x:v>
      </x:c>
    </x:row>
    <x:row r="322" ht="39" customHeight="1">
      <x:c r="A322" s="9" t="str">
        <x:v>REF-0318</x:v>
      </x:c>
      <x:c r="B322" s="9" t="str">
        <x:v>www.theoi.com</x:v>
      </x:c>
      <x:c r="C322" s="9" t="str">
        <x:v>www.theoi.com</x:v>
      </x:c>
      <x:c r="D322" s="9" t="str">
        <x:v>Reference carried by the corpus</x:v>
      </x:c>
      <x:c r="E322" s="9" t="str">
        <x:v>Referenced in recovered corpus; source not independently rechecked in this edition</x:v>
      </x:c>
      <x:c r="F322" s="9" t="str"/>
      <x:c r="G322" s="9" t="str">
        <x:v>COR-093</x:v>
      </x:c>
      <x:c r="H322" s="12" t="str">
        <x:f>IFERROR(HYPERLINK(I322,"Open source"),"Open source")</x:f>
        <x:v>Open source</x:v>
      </x:c>
      <x:c r="I322" s="11" t="str">
        <x:v>https://www.theoi.com/Text/OvidFasti1.html</x:v>
      </x:c>
    </x:row>
    <x:row r="323" ht="39" customHeight="1">
      <x:c r="A323" s="9" t="str">
        <x:v>REF-0319</x:v>
      </x:c>
      <x:c r="B323" s="9" t="str">
        <x:v>chs.harvard.edu</x:v>
      </x:c>
      <x:c r="C323" s="9" t="str">
        <x:v>chs.harvard.edu</x:v>
      </x:c>
      <x:c r="D323" s="9" t="str">
        <x:v>Reference carried by the corpus</x:v>
      </x:c>
      <x:c r="E323" s="9" t="str">
        <x:v>Referenced in recovered corpus; source not independently rechecked in this edition</x:v>
      </x:c>
      <x:c r="F323" s="9" t="str"/>
      <x:c r="G323" s="9" t="str">
        <x:v>COR-093</x:v>
      </x:c>
      <x:c r="H323" s="12" t="str">
        <x:f>IFERROR(HYPERLINK(I323,"Open source"),"Open source")</x:f>
        <x:v>Open source</x:v>
      </x:c>
      <x:c r="I323" s="11" t="str">
        <x:v>https://chs.harvard.edu/primary-source/homeric-hymn-to-demeter-sb/</x:v>
      </x:c>
    </x:row>
    <x:row r="324" ht="39" customHeight="1">
      <x:c r="A324" s="9" t="str">
        <x:v>REF-0320</x:v>
      </x:c>
      <x:c r="B324" s="9" t="str">
        <x:v>www.perseus.tufts.edu</x:v>
      </x:c>
      <x:c r="C324" s="9" t="str">
        <x:v>www.perseus.tufts.edu</x:v>
      </x:c>
      <x:c r="D324" s="9" t="str">
        <x:v>Reference carried by the corpus</x:v>
      </x:c>
      <x:c r="E324" s="9" t="str">
        <x:v>Referenced in recovered corpus; source not independently rechecked in this edition</x:v>
      </x:c>
      <x:c r="F324" s="9" t="str"/>
      <x:c r="G324" s="9" t="str">
        <x:v>COR-093</x:v>
      </x:c>
      <x:c r="H324" s="12" t="str">
        <x:f>IFERROR(HYPERLINK(I324,"Open source"),"Open source")</x:f>
        <x:v>Open source</x:v>
      </x:c>
      <x:c r="I324" s="11" t="str">
        <x:v>https://www.perseus.tufts.edu/hopper/text?doc=Perseus%3Atext%3A1999.01.0218%3Abook%3D24</x:v>
      </x:c>
    </x:row>
    <x:row r="325" ht="39" customHeight="1">
      <x:c r="A325" s="9" t="str">
        <x:v>REF-0321</x:v>
      </x:c>
      <x:c r="B325" s="9" t="str">
        <x:v>en.wikisource.org</x:v>
      </x:c>
      <x:c r="C325" s="9" t="str">
        <x:v>en.wikisource.org</x:v>
      </x:c>
      <x:c r="D325" s="9" t="str">
        <x:v>Reference carried by the corpus</x:v>
      </x:c>
      <x:c r="E325" s="9" t="str">
        <x:v>Referenced in recovered corpus; source not independently rechecked in this edition</x:v>
      </x:c>
      <x:c r="F325" s="9" t="str"/>
      <x:c r="G325" s="9" t="str">
        <x:v>COR-093</x:v>
      </x:c>
      <x:c r="H325" s="12" t="str">
        <x:f>IFERROR(HYPERLINK(I325,"Open source"),"Open source")</x:f>
        <x:v>Open source</x:v>
      </x:c>
      <x:c r="I325" s="11" t="str">
        <x:v>https://en.wikisource.org/wiki/Page%3AThe_Prose_Edda_%281916_translation_by_Arthur_Gilchrist_Brodeur%29.pdf/72</x:v>
      </x:c>
    </x:row>
    <x:row r="326" ht="39" customHeight="1">
      <x:c r="A326" s="9" t="str">
        <x:v>REF-0322</x:v>
      </x:c>
      <x:c r="B326" s="9" t="str">
        <x:v>anthony.sogang.ac.kr</x:v>
      </x:c>
      <x:c r="C326" s="9" t="str">
        <x:v>anthony.sogang.ac.kr</x:v>
      </x:c>
      <x:c r="D326" s="9" t="str">
        <x:v>Reference carried by the corpus</x:v>
      </x:c>
      <x:c r="E326" s="9" t="str">
        <x:v>Referenced in recovered corpus; source not independently rechecked in this edition</x:v>
      </x:c>
      <x:c r="F326" s="9" t="str"/>
      <x:c r="G326" s="9" t="str">
        <x:v>COR-093</x:v>
      </x:c>
      <x:c r="H326" s="12" t="str">
        <x:f>IFERROR(HYPERLINK(I326,"Open source"),"Open source")</x:f>
        <x:v>Open source</x:v>
      </x:c>
      <x:c r="I326" s="11" t="str">
        <x:v>https://anthony.sogang.ac.kr/CompLit/JourneyWest.pdf</x:v>
      </x:c>
    </x:row>
    <x:row r="327" ht="39" customHeight="1">
      <x:c r="A327" s="9" t="str">
        <x:v>REF-0323</x:v>
      </x:c>
      <x:c r="B327" s="9" t="str">
        <x:v>chs.harvard.edu</x:v>
      </x:c>
      <x:c r="C327" s="9" t="str">
        <x:v>chs.harvard.edu</x:v>
      </x:c>
      <x:c r="D327" s="9" t="str">
        <x:v>Reference carried by the corpus</x:v>
      </x:c>
      <x:c r="E327" s="9" t="str">
        <x:v>Referenced in recovered corpus; source not independently rechecked in this edition</x:v>
      </x:c>
      <x:c r="F327" s="9" t="str"/>
      <x:c r="G327" s="9" t="str">
        <x:v>COR-093</x:v>
      </x:c>
      <x:c r="H327" s="12" t="str">
        <x:f>IFERROR(HYPERLINK(I327,"Open source"),"Open source")</x:f>
        <x:v>Open source</x:v>
      </x:c>
      <x:c r="I327" s="11" t="str">
        <x:v>https://chs.harvard.edu/primary-source/aeschylus-eumenides-sb/</x:v>
      </x:c>
    </x:row>
    <x:row r="328" ht="39" customHeight="1">
      <x:c r="A328" s="9" t="str">
        <x:v>REF-0324</x:v>
      </x:c>
      <x:c r="B328" s="9" t="str">
        <x:v>en.wikisource.org</x:v>
      </x:c>
      <x:c r="C328" s="9" t="str">
        <x:v>en.wikisource.org</x:v>
      </x:c>
      <x:c r="D328" s="9" t="str">
        <x:v>Reference carried by the corpus</x:v>
      </x:c>
      <x:c r="E328" s="9" t="str">
        <x:v>Referenced in recovered corpus; source not independently rechecked in this edition</x:v>
      </x:c>
      <x:c r="F328" s="9" t="str"/>
      <x:c r="G328" s="9" t="str">
        <x:v>COR-093</x:v>
      </x:c>
      <x:c r="H328" s="12" t="str">
        <x:f>IFERROR(HYPERLINK(I328,"Open source"),"Open source")</x:f>
        <x:v>Open source</x:v>
      </x:c>
      <x:c r="I328" s="11" t="str">
        <x:v>https://en.wikisource.org/wiki/Page%3AThe_Mahabharata_of_Krishna-Dwaipayana_Vyasa_%281884%29.djvu/440</x:v>
      </x:c>
    </x:row>
    <x:row r="329" ht="39" customHeight="1">
      <x:c r="A329" s="9" t="str">
        <x:v>REF-0325</x:v>
      </x:c>
      <x:c r="B329" s="9" t="str">
        <x:v>www.sefaria.org</x:v>
      </x:c>
      <x:c r="C329" s="9" t="str">
        <x:v>www.sefaria.org</x:v>
      </x:c>
      <x:c r="D329" s="9" t="str">
        <x:v>Reference carried by the corpus</x:v>
      </x:c>
      <x:c r="E329" s="9" t="str">
        <x:v>Referenced in recovered corpus; source not independently rechecked in this edition</x:v>
      </x:c>
      <x:c r="F329" s="9" t="str"/>
      <x:c r="G329" s="9" t="str">
        <x:v>COR-093</x:v>
      </x:c>
      <x:c r="H329" s="12" t="str">
        <x:f>IFERROR(HYPERLINK(I329,"Open source"),"Open source")</x:f>
        <x:v>Open source</x:v>
      </x:c>
      <x:c r="I329" s="11" t="str">
        <x:v>https://www.sefaria.org/Daniel.2.48?lang=bi</x:v>
      </x:c>
    </x:row>
    <x:row r="330" ht="39" customHeight="1">
      <x:c r="A330" s="9" t="str">
        <x:v>REF-0326</x:v>
      </x:c>
      <x:c r="B330" s="9" t="str">
        <x:v>www.sefaria.org</x:v>
      </x:c>
      <x:c r="C330" s="9" t="str">
        <x:v>www.sefaria.org</x:v>
      </x:c>
      <x:c r="D330" s="9" t="str">
        <x:v>Reference carried by the corpus</x:v>
      </x:c>
      <x:c r="E330" s="9" t="str">
        <x:v>Referenced in recovered corpus; source not independently rechecked in this edition</x:v>
      </x:c>
      <x:c r="F330" s="9" t="str"/>
      <x:c r="G330" s="9" t="str">
        <x:v>COR-093</x:v>
      </x:c>
      <x:c r="H330" s="12" t="str">
        <x:f>IFERROR(HYPERLINK(I330,"Open source"),"Open source")</x:f>
        <x:v>Open source</x:v>
      </x:c>
      <x:c r="I330" s="11" t="str">
        <x:v>https://www.sefaria.org/Genesis.41.39?lang=bi</x:v>
      </x:c>
    </x:row>
    <x:row r="331" ht="39" customHeight="1">
      <x:c r="A331" s="9" t="str">
        <x:v>REF-0327</x:v>
      </x:c>
      <x:c r="B331" s="9" t="str">
        <x:v>Federal Reserve calendar</x:v>
      </x:c>
      <x:c r="C331" s="9" t="str">
        <x:v>www.federalreserve.gov</x:v>
      </x:c>
      <x:c r="D331" s="9" t="str">
        <x:v>Government / court / official source</x:v>
      </x:c>
      <x:c r="E331" s="9" t="str">
        <x:v>Referenced in recovered corpus; source not independently rechecked in this edition</x:v>
      </x:c>
      <x:c r="F331" s="9" t="str"/>
      <x:c r="G331" s="9" t="str">
        <x:v>COR-085</x:v>
      </x:c>
      <x:c r="H331" s="12" t="str">
        <x:f>IFERROR(HYPERLINK(I331,"Open source"),"Open source")</x:f>
        <x:v>Open source</x:v>
      </x:c>
      <x:c r="I331" s="11" t="str">
        <x:v>https://www.federalreserve.gov/monetarypolicy/fomccalendars.htm</x:v>
      </x:c>
    </x:row>
    <x:row r="332" ht="39" customHeight="1">
      <x:c r="A332" s="9" t="str">
        <x:v>REF-0328</x:v>
      </x:c>
      <x:c r="B332" s="9" t="str">
        <x:v>FOMC statement</x:v>
      </x:c>
      <x:c r="C332" s="9" t="str">
        <x:v>www.federalreserve.gov</x:v>
      </x:c>
      <x:c r="D332" s="9" t="str">
        <x:v>Government / court / official source</x:v>
      </x:c>
      <x:c r="E332" s="9" t="str">
        <x:v>Referenced in recovered corpus; source not independently rechecked in this edition</x:v>
      </x:c>
      <x:c r="F332" s="9" t="str"/>
      <x:c r="G332" s="9" t="str">
        <x:v>COR-085</x:v>
      </x:c>
      <x:c r="H332" s="12" t="str">
        <x:f>IFERROR(HYPERLINK(I332,"Open source"),"Open source")</x:f>
        <x:v>Open source</x:v>
      </x:c>
      <x:c r="I332" s="11" t="str">
        <x:v>https://www.federalreserve.gov/newsevents/pressreleases/monetary20260729a.htm</x:v>
      </x:c>
    </x:row>
    <x:row r="333" ht="39" customHeight="1">
      <x:c r="A333" s="9" t="str">
        <x:v>REF-0329</x:v>
      </x:c>
      <x:c r="B333" s="9" t="str">
        <x:v>Dated market report</x:v>
      </x:c>
      <x:c r="C333" s="9" t="str">
        <x:v>www.kiplinger.com</x:v>
      </x:c>
      <x:c r="D333" s="9" t="str">
        <x:v>Reference carried by the corpus</x:v>
      </x:c>
      <x:c r="E333" s="9" t="str">
        <x:v>Referenced in recovered corpus; source not independently rechecked in this edition</x:v>
      </x:c>
      <x:c r="F333" s="9" t="str"/>
      <x:c r="G333" s="9" t="str">
        <x:v>COR-085</x:v>
      </x:c>
      <x:c r="H333" s="12" t="str">
        <x:f>IFERROR(HYPERLINK(I333,"Open source"),"Open source")</x:f>
        <x:v>Open source</x:v>
      </x:c>
      <x:c r="I333" s="11" t="str">
        <x:v>https://www.kiplinger.com/investing/economy/cpi-report-july-2026-what-to-expect</x:v>
      </x:c>
    </x:row>
    <x:row r="334" ht="39" customHeight="1">
      <x:c r="A334" s="9" t="str">
        <x:v>REF-0330</x:v>
      </x:c>
      <x:c r="B334" s="9" t="str">
        <x:v>CME methodology/live tool</x:v>
      </x:c>
      <x:c r="C334" s="9" t="str">
        <x:v>www.cmegroup.com</x:v>
      </x:c>
      <x:c r="D334" s="9" t="str">
        <x:v>Reference carried by the corpus</x:v>
      </x:c>
      <x:c r="E334" s="9" t="str">
        <x:v>Referenced in recovered corpus; source not independently rechecked in this edition</x:v>
      </x:c>
      <x:c r="F334" s="9" t="str"/>
      <x:c r="G334" s="9" t="str">
        <x:v>COR-085</x:v>
      </x:c>
      <x:c r="H334" s="12" t="str">
        <x:f>IFERROR(HYPERLINK(I334,"Open source"),"Open source")</x:f>
        <x:v>Open source</x:v>
      </x:c>
      <x:c r="I334" s="11" t="str">
        <x:v>https://www.cmegroup.com/markets/interest-rates/cme-fedwatch-tool.html</x:v>
      </x:c>
    </x:row>
    <x:row r="335" ht="39" customHeight="1">
      <x:c r="A335" s="9" t="str">
        <x:v>REF-0331</x:v>
      </x:c>
      <x:c r="B335" s="9" t="str">
        <x:v>BLS CPI</x:v>
      </x:c>
      <x:c r="C335" s="9" t="str">
        <x:v>www.bls.gov</x:v>
      </x:c>
      <x:c r="D335" s="9" t="str">
        <x:v>Government / court / official source</x:v>
      </x:c>
      <x:c r="E335" s="9" t="str">
        <x:v>Referenced in recovered corpus; source not independently rechecked in this edition</x:v>
      </x:c>
      <x:c r="F335" s="9" t="str"/>
      <x:c r="G335" s="9" t="str">
        <x:v>COR-085</x:v>
      </x:c>
      <x:c r="H335" s="12" t="str">
        <x:f>IFERROR(HYPERLINK(I335,"Open source"),"Open source")</x:f>
        <x:v>Open source</x:v>
      </x:c>
      <x:c r="I335" s="11" t="str">
        <x:v>https://www.bls.gov/news.release/cpi.nr0.htm</x:v>
      </x:c>
    </x:row>
    <x:row r="336" ht="39" customHeight="1">
      <x:c r="A336" s="9" t="str">
        <x:v>REF-0332</x:v>
      </x:c>
      <x:c r="B336" s="9" t="str">
        <x:v>BLS real earnings</x:v>
      </x:c>
      <x:c r="C336" s="9" t="str">
        <x:v>www.bls.gov</x:v>
      </x:c>
      <x:c r="D336" s="9" t="str">
        <x:v>Government / court / official source</x:v>
      </x:c>
      <x:c r="E336" s="9" t="str">
        <x:v>Referenced in recovered corpus; source not independently rechecked in this edition</x:v>
      </x:c>
      <x:c r="F336" s="9" t="str"/>
      <x:c r="G336" s="9" t="str">
        <x:v>COR-085</x:v>
      </x:c>
      <x:c r="H336" s="12" t="str">
        <x:f>IFERROR(HYPERLINK(I336,"Open source"),"Open source")</x:f>
        <x:v>Open source</x:v>
      </x:c>
      <x:c r="I336" s="11" t="str">
        <x:v>https://www.bls.gov/news.release/realer.t01.htm</x:v>
      </x:c>
    </x:row>
    <x:row r="337" ht="39" customHeight="1">
      <x:c r="A337" s="9" t="str">
        <x:v>REF-0333</x:v>
      </x:c>
      <x:c r="B337" s="9" t="str">
        <x:v>BLS Employment Situation</x:v>
      </x:c>
      <x:c r="C337" s="9" t="str">
        <x:v>www.bls.gov</x:v>
      </x:c>
      <x:c r="D337" s="9" t="str">
        <x:v>Government / court / official source</x:v>
      </x:c>
      <x:c r="E337" s="9" t="str">
        <x:v>Referenced in recovered corpus; source not independently rechecked in this edition</x:v>
      </x:c>
      <x:c r="F337" s="9" t="str"/>
      <x:c r="G337" s="9" t="str">
        <x:v>COR-085</x:v>
      </x:c>
      <x:c r="H337" s="12" t="str">
        <x:f>IFERROR(HYPERLINK(I337,"Open source"),"Open source")</x:f>
        <x:v>Open source</x:v>
      </x:c>
      <x:c r="I337" s="11" t="str">
        <x:v>https://www.bls.gov/news.release/empsit.nr0.htm</x:v>
      </x:c>
    </x:row>
    <x:row r="338" ht="39" customHeight="1">
      <x:c r="A338" s="9" t="str">
        <x:v>REF-0334</x:v>
      </x:c>
      <x:c r="B338" s="9" t="str">
        <x:v>Challenger July report</x:v>
      </x:c>
      <x:c r="C338" s="9" t="str">
        <x:v>www.challengergray.com</x:v>
      </x:c>
      <x:c r="D338" s="9" t="str">
        <x:v>Reference carried by the corpus</x:v>
      </x:c>
      <x:c r="E338" s="9" t="str">
        <x:v>Referenced in recovered corpus; source not independently rechecked in this edition</x:v>
      </x:c>
      <x:c r="F338" s="9" t="str"/>
      <x:c r="G338" s="9" t="str">
        <x:v>COR-085</x:v>
      </x:c>
      <x:c r="H338" s="12" t="str">
        <x:f>IFERROR(HYPERLINK(I338,"Open source"),"Open source")</x:f>
        <x:v>Open source</x:v>
      </x:c>
      <x:c r="I338" s="11" t="str">
        <x:v>https://www.challengergray.com/blog/challenger-report-layoffs-fall-hiring-picks-up-ai-leads-for-fifth-straight-month/</x:v>
      </x:c>
    </x:row>
    <x:row r="339" ht="39" customHeight="1">
      <x:c r="A339" s="9" t="str">
        <x:v>REF-0335</x:v>
      </x:c>
      <x:c r="B339" s="9" t="str">
        <x:v>NY Fed recent-graduate dashboard</x:v>
      </x:c>
      <x:c r="C339" s="9" t="str">
        <x:v>www.newyorkfed.org</x:v>
      </x:c>
      <x:c r="D339" s="9" t="str">
        <x:v>Reference carried by the corpus</x:v>
      </x:c>
      <x:c r="E339" s="9" t="str">
        <x:v>Referenced in recovered corpus; source not independently rechecked in this edition</x:v>
      </x:c>
      <x:c r="F339" s="9" t="str"/>
      <x:c r="G339" s="9" t="str">
        <x:v>COR-085</x:v>
      </x:c>
      <x:c r="H339" s="12" t="str">
        <x:f>IFERROR(HYPERLINK(I339,"Open source"),"Open source")</x:f>
        <x:v>Open source</x:v>
      </x:c>
      <x:c r="I339" s="11" t="str">
        <x:v>https://www.newyorkfed.org/research/college-labor-market</x:v>
      </x:c>
    </x:row>
    <x:row r="340" ht="39" customHeight="1">
      <x:c r="A340" s="9" t="str">
        <x:v>REF-0336</x:v>
      </x:c>
      <x:c r="B340" s="9" t="str">
        <x:v>EIA national table</x:v>
      </x:c>
      <x:c r="C340" s="9" t="str">
        <x:v>www.eia.gov</x:v>
      </x:c>
      <x:c r="D340" s="9" t="str">
        <x:v>Government / court / official source</x:v>
      </x:c>
      <x:c r="E340" s="9" t="str">
        <x:v>Referenced in recovered corpus; source not independently rechecked in this edition</x:v>
      </x:c>
      <x:c r="F340" s="9" t="str"/>
      <x:c r="G340" s="9" t="str">
        <x:v>COR-085</x:v>
      </x:c>
      <x:c r="H340" s="12" t="str">
        <x:f>IFERROR(HYPERLINK(I340,"Open source"),"Open source")</x:f>
        <x:v>Open source</x:v>
      </x:c>
      <x:c r="I340" s="11" t="str">
        <x:v>https://www.eia.gov/electricity/monthly/epm_table_grapher.php?t=epmt_5_03</x:v>
      </x:c>
    </x:row>
    <x:row r="341" ht="39" customHeight="1">
      <x:c r="A341" s="9" t="str">
        <x:v>REF-0337</x:v>
      </x:c>
      <x:c r="B341" s="9" t="str">
        <x:v>EIA state table</x:v>
      </x:c>
      <x:c r="C341" s="9" t="str">
        <x:v>www.eia.gov</x:v>
      </x:c>
      <x:c r="D341" s="9" t="str">
        <x:v>Government / court / official source</x:v>
      </x:c>
      <x:c r="E341" s="9" t="str">
        <x:v>Referenced in recovered corpus; source not independently rechecked in this edition</x:v>
      </x:c>
      <x:c r="F341" s="9" t="str"/>
      <x:c r="G341" s="9" t="str">
        <x:v>COR-085</x:v>
      </x:c>
      <x:c r="H341" s="12" t="str">
        <x:f>IFERROR(HYPERLINK(I341,"Open source"),"Open source")</x:f>
        <x:v>Open source</x:v>
      </x:c>
      <x:c r="I341" s="11" t="str">
        <x:v>https://www.eia.gov/electricity/monthly/epm_table_grapher.php?t=epmt_5_06_a</x:v>
      </x:c>
    </x:row>
    <x:row r="342" ht="39" customHeight="1">
      <x:c r="A342" s="9" t="str">
        <x:v>REF-0338</x:v>
      </x:c>
      <x:c r="B342" s="9" t="str">
        <x:v>Release overview</x:v>
      </x:c>
      <x:c r="C342" s="9" t="str">
        <x:v>www.eia.gov</x:v>
      </x:c>
      <x:c r="D342" s="9" t="str">
        <x:v>Government / court / official source</x:v>
      </x:c>
      <x:c r="E342" s="9" t="str">
        <x:v>Referenced in recovered corpus; source not independently rechecked in this edition</x:v>
      </x:c>
      <x:c r="F342" s="9" t="str"/>
      <x:c r="G342" s="9" t="str">
        <x:v>COR-085</x:v>
      </x:c>
      <x:c r="H342" s="12" t="str">
        <x:f>IFERROR(HYPERLINK(I342,"Open source"),"Open source")</x:f>
        <x:v>Open source</x:v>
      </x:c>
      <x:c r="I342" s="11" t="str">
        <x:v>https://www.eia.gov/electricity/monthly/update/report-overview.php</x:v>
      </x:c>
    </x:row>
    <x:row r="343" ht="39" customHeight="1">
      <x:c r="A343" s="9" t="str">
        <x:v>REF-0339</x:v>
      </x:c>
      <x:c r="B343" s="9" t="str">
        <x:v>NY Fed Q2 report</x:v>
      </x:c>
      <x:c r="C343" s="9" t="str">
        <x:v>www.newyorkfed.org</x:v>
      </x:c>
      <x:c r="D343" s="9" t="str">
        <x:v>Reference carried by the corpus</x:v>
      </x:c>
      <x:c r="E343" s="9" t="str">
        <x:v>Referenced in recovered corpus; source not independently rechecked in this edition</x:v>
      </x:c>
      <x:c r="F343" s="9" t="str"/>
      <x:c r="G343" s="9" t="str">
        <x:v>COR-085</x:v>
      </x:c>
      <x:c r="H343" s="12" t="str">
        <x:f>IFERROR(HYPERLINK(I343,"Open source"),"Open source")</x:f>
        <x:v>Open source</x:v>
      </x:c>
      <x:c r="I343" s="11" t="str">
        <x:v>https://www.newyorkfed.org/medialibrary/interactives/householdcredit/data/pdf/HHDC_2026Q2</x:v>
      </x:c>
    </x:row>
    <x:row r="344" ht="39" customHeight="1">
      <x:c r="A344" s="9" t="str">
        <x:v>REF-0340</x:v>
      </x:c>
      <x:c r="B344" s="9" t="str">
        <x:v>Achieve survey</x:v>
      </x:c>
      <x:c r="C344" s="9" t="str">
        <x:v>www.achieve.com</x:v>
      </x:c>
      <x:c r="D344" s="9" t="str">
        <x:v>Reference carried by the corpus</x:v>
      </x:c>
      <x:c r="E344" s="9" t="str">
        <x:v>Referenced in recovered corpus; source not independently rechecked in this edition</x:v>
      </x:c>
      <x:c r="F344" s="9" t="str"/>
      <x:c r="G344" s="9" t="str">
        <x:v>COR-085</x:v>
      </x:c>
      <x:c r="H344" s="12" t="str">
        <x:f>IFERROR(HYPERLINK(I344,"Open source"),"Open source")</x:f>
        <x:v>Open source</x:v>
      </x:c>
      <x:c r="I344" s="11" t="str">
        <x:v>https://www.achieve.com/about/press/53-of-americans-carry-credit-card-balances-to-cover-essential-living-expenses-achieve-survey-finds</x:v>
      </x:c>
    </x:row>
    <x:row r="345" ht="39" customHeight="1">
      <x:c r="A345" s="9" t="str">
        <x:v>REF-0341</x:v>
      </x:c>
      <x:c r="B345" s="9" t="str">
        <x:v>Education Department</x:v>
      </x:c>
      <x:c r="C345" s="9" t="str">
        <x:v>www.ed.gov</x:v>
      </x:c>
      <x:c r="D345" s="9" t="str">
        <x:v>Government / court / official source</x:v>
      </x:c>
      <x:c r="E345" s="9" t="str">
        <x:v>Referenced in recovered corpus; source not independently rechecked in this edition</x:v>
      </x:c>
      <x:c r="F345" s="9" t="str"/>
      <x:c r="G345" s="9" t="str">
        <x:v>COR-085</x:v>
      </x:c>
      <x:c r="H345" s="12" t="str">
        <x:f>IFERROR(HYPERLINK(I345,"Open source"),"Open source")</x:f>
        <x:v>Open source</x:v>
      </x:c>
      <x:c r="I345" s="11" t="str">
        <x:v>https://www.ed.gov/about/news/press-release/us-department-of-education-announces-next-steps-borrowers-enrolled-unlawful-save-plan</x:v>
      </x:c>
    </x:row>
    <x:row r="346" ht="39" customHeight="1">
      <x:c r="A346" s="9" t="str">
        <x:v>REF-0342</x:v>
      </x:c>
      <x:c r="B346" s="9" t="str">
        <x:v>MOHELA schedule/FAQ</x:v>
      </x:c>
      <x:c r="C346" s="9" t="str">
        <x:v>mohela.studentaid.gov</x:v>
      </x:c>
      <x:c r="D346" s="9" t="str">
        <x:v>Government / court / official source</x:v>
      </x:c>
      <x:c r="E346" s="9" t="str">
        <x:v>Referenced in recovered corpus; source not independently rechecked in this edition</x:v>
      </x:c>
      <x:c r="F346" s="9" t="str"/>
      <x:c r="G346" s="9" t="str">
        <x:v>COR-085</x:v>
      </x:c>
      <x:c r="H346" s="12" t="str">
        <x:f>IFERROR(HYPERLINK(I346,"Open source"),"Open source")</x:f>
        <x:v>Open source</x:v>
      </x:c>
      <x:c r="I346" s="11" t="str">
        <x:v>https://mohela.studentaid.gov/DL/resourceCenter/SAVEPlanFaq.aspx</x:v>
      </x:c>
    </x:row>
    <x:row r="347" ht="39" customHeight="1">
      <x:c r="A347" s="9" t="str">
        <x:v>REF-0343</x:v>
      </x:c>
      <x:c r="B347" s="9" t="str">
        <x:v>KFF state enrollment analysis</x:v>
      </x:c>
      <x:c r="C347" s="9" t="str">
        <x:v>www.kff.org</x:v>
      </x:c>
      <x:c r="D347" s="9" t="str">
        <x:v>Reference carried by the corpus</x:v>
      </x:c>
      <x:c r="E347" s="9" t="str">
        <x:v>Referenced in recovered corpus; source not independently rechecked in this edition</x:v>
      </x:c>
      <x:c r="F347" s="9" t="str"/>
      <x:c r="G347" s="9" t="str">
        <x:v>COR-085</x:v>
      </x:c>
      <x:c r="H347" s="12" t="str">
        <x:f>IFERROR(HYPERLINK(I347,"Open source"),"Open source")</x:f>
        <x:v>Open source</x:v>
      </x:c>
      <x:c r="I347" s="11" t="str">
        <x:v>https://www.kff.org/affordable-care-act/how-has-aca-marketplace-enrollment-changed-across-states-in-2026/</x:v>
      </x:c>
    </x:row>
    <x:row r="348" ht="39" customHeight="1">
      <x:c r="A348" s="9" t="str">
        <x:v>REF-0344</x:v>
      </x:c>
      <x:c r="B348" s="9" t="str">
        <x:v>KFF premium/deductible analysis</x:v>
      </x:c>
      <x:c r="C348" s="9" t="str">
        <x:v>www.kff.org</x:v>
      </x:c>
      <x:c r="D348" s="9" t="str">
        <x:v>Reference carried by the corpus</x:v>
      </x:c>
      <x:c r="E348" s="9" t="str">
        <x:v>Referenced in recovered corpus; source not independently rechecked in this edition</x:v>
      </x:c>
      <x:c r="F348" s="9" t="str"/>
      <x:c r="G348" s="9" t="str">
        <x:v>COR-085</x:v>
      </x:c>
      <x:c r="H348" s="12" t="str">
        <x:f>IFERROR(HYPERLINK(I348,"Open source"),"Open source")</x:f>
        <x:v>Open source</x:v>
      </x:c>
      <x:c r="I348" s="11" t="str">
        <x:v>https://www.kff.org/affordable-care-act/what-we-know-so-far-about-2026-aca-marketplace-enrollment-premiums-and-deductibles/</x:v>
      </x:c>
    </x:row>
    <x:row r="349" ht="39" customHeight="1">
      <x:c r="A349" s="9" t="str">
        <x:v>REF-0345</x:v>
      </x:c>
      <x:c r="B349" s="9" t="str">
        <x:v>Peterson-KFF rate update</x:v>
      </x:c>
      <x:c r="C349" s="9" t="str">
        <x:v>www.healthsystemtracker.org</x:v>
      </x:c>
      <x:c r="D349" s="9" t="str">
        <x:v>Reference carried by the corpus</x:v>
      </x:c>
      <x:c r="E349" s="9" t="str">
        <x:v>Referenced in recovered corpus; source not independently rechecked in this edition</x:v>
      </x:c>
      <x:c r="F349" s="9" t="str"/>
      <x:c r="G349" s="9" t="str">
        <x:v>COR-085</x:v>
      </x:c>
      <x:c r="H349" s="12" t="str">
        <x:f>IFERROR(HYPERLINK(I349,"Open source"),"Open source")</x:f>
        <x:v>Open source</x:v>
      </x:c>
      <x:c r="I349" s="11" t="str">
        <x:v>https://www.healthsystemtracker.org/brief/how-much-and-why-aca-marketplace-premiums-are-going-up-in-2027/</x:v>
      </x:c>
    </x:row>
    <x:row r="350" ht="39" customHeight="1">
      <x:c r="A350" s="9" t="str">
        <x:v>REF-0346</x:v>
      </x:c>
      <x:c r="B350" s="9" t="str">
        <x:v>June judgment</x:v>
      </x:c>
      <x:c r="C350" s="9" t="str">
        <x:v>law.justia.com</x:v>
      </x:c>
      <x:c r="D350" s="9" t="str">
        <x:v>Government / court / official source</x:v>
      </x:c>
      <x:c r="E350" s="9" t="str">
        <x:v>Referenced in recovered corpus; source not independently rechecked in this edition</x:v>
      </x:c>
      <x:c r="F350" s="9" t="str"/>
      <x:c r="G350" s="9" t="str">
        <x:v>COR-085</x:v>
      </x:c>
      <x:c r="H350" s="12" t="str">
        <x:f>IFERROR(HYPERLINK(I350,"Open source"),"Open source")</x:f>
        <x:v>Open source</x:v>
      </x:c>
      <x:c r="I350" s="11" t="str">
        <x:v>https://law.justia.com/cases/federal/district-courts/maryland/mddce/1%3A2025cv02114/585385/73/</x:v>
      </x:c>
    </x:row>
    <x:row r="351" ht="39" customHeight="1">
      <x:c r="A351" s="9" t="str">
        <x:v>REF-0347</x:v>
      </x:c>
      <x:c r="B351" s="9" t="str">
        <x:v>Litigation tracker</x:v>
      </x:c>
      <x:c r="C351" s="9" t="str">
        <x:v>litigationtracker.law.georgetown.edu</x:v>
      </x:c>
      <x:c r="D351" s="9" t="str">
        <x:v>Reference carried by the corpus</x:v>
      </x:c>
      <x:c r="E351" s="9" t="str">
        <x:v>Referenced in recovered corpus; source not independently rechecked in this edition</x:v>
      </x:c>
      <x:c r="F351" s="9" t="str"/>
      <x:c r="G351" s="9" t="str">
        <x:v>COR-085</x:v>
      </x:c>
      <x:c r="H351" s="12" t="str">
        <x:f>IFERROR(HYPERLINK(I351,"Open source"),"Open source")</x:f>
        <x:v>Open source</x:v>
      </x:c>
      <x:c r="I351" s="11" t="str">
        <x:v>https://litigationtracker.law.georgetown.edu/issues/marketplace-rules/</x:v>
      </x:c>
    </x:row>
    <x:row r="352" ht="39" customHeight="1">
      <x:c r="A352" s="9" t="str">
        <x:v>REF-0348</x:v>
      </x:c>
      <x:c r="B352" s="9" t="str">
        <x:v>IMO incident log</x:v>
      </x:c>
      <x:c r="C352" s="9" t="str">
        <x:v>www.imo.org</x:v>
      </x:c>
      <x:c r="D352" s="9" t="str">
        <x:v>Reference carried by the corpus</x:v>
      </x:c>
      <x:c r="E352" s="9" t="str">
        <x:v>Referenced in recovered corpus; source not independently rechecked in this edition</x:v>
      </x:c>
      <x:c r="F352" s="9" t="str"/>
      <x:c r="G352" s="9" t="str">
        <x:v>COR-085</x:v>
      </x:c>
      <x:c r="H352" s="12" t="str">
        <x:f>IFERROR(HYPERLINK(I352,"Open source"),"Open source")</x:f>
        <x:v>Open source</x:v>
      </x:c>
      <x:c r="I352" s="11" t="str">
        <x:v>https://www.imo.org/en/mediacentre/hottopics/pages/middle-east-highlighted-incidents.aspx</x:v>
      </x:c>
    </x:row>
    <x:row r="353" ht="39" customHeight="1">
      <x:c r="A353" s="9" t="str">
        <x:v>REF-0349</x:v>
      </x:c>
      <x:c r="B353" s="9" t="str">
        <x:v>AP, August 15</x:v>
      </x:c>
      <x:c r="C353" s="9" t="str">
        <x:v>apnews.com</x:v>
      </x:c>
      <x:c r="D353" s="9" t="str">
        <x:v>Reference carried by the corpus</x:v>
      </x:c>
      <x:c r="E353" s="9" t="str">
        <x:v>Referenced in recovered corpus; source not independently rechecked in this edition</x:v>
      </x:c>
      <x:c r="F353" s="9" t="str"/>
      <x:c r="G353" s="9" t="str">
        <x:v>COR-085</x:v>
      </x:c>
      <x:c r="H353" s="12" t="str">
        <x:f>IFERROR(HYPERLINK(I353,"Open source"),"Open source")</x:f>
        <x:v>Open source</x:v>
      </x:c>
      <x:c r="I353" s="11" t="str">
        <x:v>https://apnews.com/article/iran-israel-lebanon-uae-us-hormuz-august-15-2026-ba738b9fb8803f28313a19df8bbcac19</x:v>
      </x:c>
    </x:row>
    <x:row r="354" ht="39" customHeight="1">
      <x:c r="A354" s="9" t="str">
        <x:v>REF-0350</x:v>
      </x:c>
      <x:c r="B354" s="9" t="str">
        <x:v>AP, August 17</x:v>
      </x:c>
      <x:c r="C354" s="9" t="str">
        <x:v>apnews.com</x:v>
      </x:c>
      <x:c r="D354" s="9" t="str">
        <x:v>Reference carried by the corpus</x:v>
      </x:c>
      <x:c r="E354" s="9" t="str">
        <x:v>Referenced in recovered corpus; source not independently rechecked in this edition</x:v>
      </x:c>
      <x:c r="F354" s="9" t="str"/>
      <x:c r="G354" s="9" t="str">
        <x:v>COR-085</x:v>
      </x:c>
      <x:c r="H354" s="12" t="str">
        <x:f>IFERROR(HYPERLINK(I354,"Open source"),"Open source")</x:f>
        <x:v>Open source</x:v>
      </x:c>
      <x:c r="I354" s="11" t="str">
        <x:v>https://apnews.com/article/iran-us-israel-lebanon-gaza-hormuz-august-17-2026-53ae10812e472a4e5bb228b9f318a5fc</x:v>
      </x:c>
    </x:row>
    <x:row r="355" ht="39" customHeight="1">
      <x:c r="A355" s="9" t="str">
        <x:v>REF-0351</x:v>
      </x:c>
      <x:c r="B355" s="9" t="str">
        <x:v>AP markets</x:v>
      </x:c>
      <x:c r="C355" s="9" t="str">
        <x:v>apnews.com</x:v>
      </x:c>
      <x:c r="D355" s="9" t="str">
        <x:v>Reference carried by the corpus</x:v>
      </x:c>
      <x:c r="E355" s="9" t="str">
        <x:v>Referenced in recovered corpus; source not independently rechecked in this edition</x:v>
      </x:c>
      <x:c r="F355" s="9" t="str"/>
      <x:c r="G355" s="9" t="str">
        <x:v>COR-085</x:v>
      </x:c>
      <x:c r="H355" s="12" t="str">
        <x:f>IFERROR(HYPERLINK(I355,"Open source"),"Open source")</x:f>
        <x:v>Open source</x:v>
      </x:c>
      <x:c r="I355" s="11" t="str">
        <x:v>https://apnews.com/article/bf398d5a01f611921c0b48a8bfc884d9</x:v>
      </x:c>
    </x:row>
    <x:row r="356" ht="39" customHeight="1">
      <x:c r="A356" s="9" t="str">
        <x:v>REF-0352</x:v>
      </x:c>
      <x:c r="B356" s="9" t="str">
        <x:v>House committee status</x:v>
      </x:c>
      <x:c r="C356" s="9" t="str">
        <x:v>appropriations.house.gov</x:v>
      </x:c>
      <x:c r="D356" s="9" t="str">
        <x:v>Government / court / official source</x:v>
      </x:c>
      <x:c r="E356" s="9" t="str">
        <x:v>Referenced in recovered corpus; source not independently rechecked in this edition</x:v>
      </x:c>
      <x:c r="F356" s="9" t="str"/>
      <x:c r="G356" s="9" t="str">
        <x:v>COR-085</x:v>
      </x:c>
      <x:c r="H356" s="12" t="str">
        <x:f>IFERROR(HYPERLINK(I356,"Open source"),"Open source")</x:f>
        <x:v>Open source</x:v>
      </x:c>
      <x:c r="I356" s="11" t="str">
        <x:v>https://appropriations.house.gov/news/press-releases/committee-takes-proactive-step-prevent-partisan-shutdown-protect-full-year</x:v>
      </x:c>
    </x:row>
    <x:row r="357" ht="39" customHeight="1">
      <x:c r="A357" s="9" t="str">
        <x:v>REF-0353</x:v>
      </x:c>
      <x:c r="B357" s="9" t="str">
        <x:v>House passage</x:v>
      </x:c>
      <x:c r="C357" s="9" t="str">
        <x:v>appropriations.house.gov</x:v>
      </x:c>
      <x:c r="D357" s="9" t="str">
        <x:v>Government / court / official source</x:v>
      </x:c>
      <x:c r="E357" s="9" t="str">
        <x:v>Referenced in recovered corpus; source not independently rechecked in this edition</x:v>
      </x:c>
      <x:c r="F357" s="9" t="str"/>
      <x:c r="G357" s="9" t="str">
        <x:v>COR-085</x:v>
      </x:c>
      <x:c r="H357" s="12" t="str">
        <x:f>IFERROR(HYPERLINK(I357,"Open source"),"Open source")</x:f>
        <x:v>Open source</x:v>
      </x:c>
      <x:c r="I357" s="11" t="str">
        <x:v>https://appropriations.house.gov/news/press-releases/house-passes-hr-9770-providing-certainty-preventing-disruption-and-advancing</x:v>
      </x:c>
    </x:row>
    <x:row r="358" ht="39" customHeight="1">
      <x:c r="A358" s="9" t="str">
        <x:v>REF-0354</x:v>
      </x:c>
      <x:c r="B358" s="9" t="str">
        <x:v>AP Senate report</x:v>
      </x:c>
      <x:c r="C358" s="9" t="str">
        <x:v>apnews.com</x:v>
      </x:c>
      <x:c r="D358" s="9" t="str">
        <x:v>Reference carried by the corpus</x:v>
      </x:c>
      <x:c r="E358" s="9" t="str">
        <x:v>Referenced in recovered corpus; source not independently rechecked in this edition</x:v>
      </x:c>
      <x:c r="F358" s="9" t="str"/>
      <x:c r="G358" s="9" t="str">
        <x:v>COR-085</x:v>
      </x:c>
      <x:c r="H358" s="12" t="str">
        <x:f>IFERROR(HYPERLINK(I358,"Open source"),"Open source")</x:f>
        <x:v>Open source</x:v>
      </x:c>
      <x:c r="I358" s="11" t="str">
        <x:v>https://apnews.com/article/a50b86875105a299498b846184a3736d</x:v>
      </x:c>
    </x:row>
    <x:row r="359" ht="39" customHeight="1">
      <x:c r="A359" s="9" t="str">
        <x:v>REF-0355</x:v>
      </x:c>
      <x:c r="B359" s="9" t="str">
        <x:v>Trepp July delinquency report</x:v>
      </x:c>
      <x:c r="C359" s="9" t="str">
        <x:v>www.trepp.com</x:v>
      </x:c>
      <x:c r="D359" s="9" t="str">
        <x:v>Reference carried by the corpus</x:v>
      </x:c>
      <x:c r="E359" s="9" t="str">
        <x:v>Referenced in recovered corpus; source not independently rechecked in this edition</x:v>
      </x:c>
      <x:c r="F359" s="9" t="str"/>
      <x:c r="G359" s="9" t="str">
        <x:v>COR-085</x:v>
      </x:c>
      <x:c r="H359" s="12" t="str">
        <x:f>IFERROR(HYPERLINK(I359,"Open source"),"Open source")</x:f>
        <x:v>Open source</x:v>
      </x:c>
      <x:c r="I359" s="11" t="str">
        <x:v>https://www.trepp.com/trepptalk/cmbs-delinquency-report-july-2026</x:v>
      </x:c>
    </x:row>
    <x:row r="360" ht="39" customHeight="1">
      <x:c r="A360" s="9" t="str">
        <x:v>REF-0356</x:v>
      </x:c>
      <x:c r="B360" s="9" t="str">
        <x:v>Trepp hard-maturities report</x:v>
      </x:c>
      <x:c r="C360" s="9" t="str">
        <x:v>www.trepp.com</x:v>
      </x:c>
      <x:c r="D360" s="9" t="str">
        <x:v>Reference carried by the corpus</x:v>
      </x:c>
      <x:c r="E360" s="9" t="str">
        <x:v>Referenced in recovered corpus; source not independently rechecked in this edition</x:v>
      </x:c>
      <x:c r="F360" s="9" t="str"/>
      <x:c r="G360" s="9" t="str">
        <x:v>COR-085</x:v>
      </x:c>
      <x:c r="H360" s="12" t="str">
        <x:f>IFERROR(HYPERLINK(I360,"Open source"),"Open source")</x:f>
        <x:v>Open source</x:v>
      </x:c>
      <x:c r="I360" s="11" t="str">
        <x:v>https://www.trepp.com/trepptalk/july-2026-cmbs-hard-maturities</x:v>
      </x:c>
    </x:row>
    <x:row r="361" ht="39" customHeight="1">
      <x:c r="A361" s="9" t="str">
        <x:v>REF-0357</x:v>
      </x:c>
      <x:c r="B361" s="9" t="str">
        <x:v>Regions Q2 release</x:v>
      </x:c>
      <x:c r="C361" s="9" t="str">
        <x:v>s202.q4cdn.com</x:v>
      </x:c>
      <x:c r="D361" s="9" t="str">
        <x:v>Reference carried by the corpus</x:v>
      </x:c>
      <x:c r="E361" s="9" t="str">
        <x:v>Referenced in recovered corpus; source not independently rechecked in this edition</x:v>
      </x:c>
      <x:c r="F361" s="9" t="str"/>
      <x:c r="G361" s="9" t="str">
        <x:v>COR-085</x:v>
      </x:c>
      <x:c r="H361" s="12" t="str">
        <x:f>IFERROR(HYPERLINK(I361,"Open source"),"Open source")</x:f>
        <x:v>Open source</x:v>
      </x:c>
      <x:c r="I361" s="11" t="str">
        <x:v>https://s202.q4cdn.com/476346942/files/doc_financials/2026/q2/2Q26-Press-Release_Website.pdf</x:v>
      </x:c>
    </x:row>
    <x:row r="362" ht="39" customHeight="1">
      <x:c r="A362" s="9" t="str">
        <x:v>REF-0358</x:v>
      </x:c>
      <x:c r="B362" s="9" t="str">
        <x:v>FDIC 2026 failures</x:v>
      </x:c>
      <x:c r="C362" s="9" t="str">
        <x:v>www.fdic.gov</x:v>
      </x:c>
      <x:c r="D362" s="9" t="str">
        <x:v>Government / court / official source</x:v>
      </x:c>
      <x:c r="E362" s="9" t="str">
        <x:v>Referenced in recovered corpus; source not independently rechecked in this edition</x:v>
      </x:c>
      <x:c r="F362" s="9" t="str"/>
      <x:c r="G362" s="9" t="str">
        <x:v>COR-085</x:v>
      </x:c>
      <x:c r="H362" s="12" t="str">
        <x:f>IFERROR(HYPERLINK(I362,"Open source"),"Open source")</x:f>
        <x:v>Open source</x:v>
      </x:c>
      <x:c r="I362" s="11" t="str">
        <x:v>https://www.fdic.gov/resources/resolutions/bank-failures/in-brief/2026</x:v>
      </x:c>
    </x:row>
    <x:row r="363" ht="39" customHeight="1">
      <x:c r="A363" s="9" t="str">
        <x:v>REF-0359</x:v>
      </x:c>
      <x:c r="B363" s="9" t="str">
        <x:v>Summary of Cotality projection</x:v>
      </x:c>
      <x:c r="C363" s="9" t="str">
        <x:v>wtop.com</x:v>
      </x:c>
      <x:c r="D363" s="9" t="str">
        <x:v>Reference carried by the corpus</x:v>
      </x:c>
      <x:c r="E363" s="9" t="str">
        <x:v>Referenced in recovered corpus; source not independently rechecked in this edition</x:v>
      </x:c>
      <x:c r="F363" s="9" t="str"/>
      <x:c r="G363" s="9" t="str">
        <x:v>COR-085</x:v>
      </x:c>
      <x:c r="H363" s="12" t="str">
        <x:f>IFERROR(HYPERLINK(I363,"Open source"),"Open source")</x:f>
        <x:v>Open source</x:v>
      </x:c>
      <x:c r="I363" s="11" t="str">
        <x:v>https://wtop.com/news/2026/07/what-is-an-escrow-shortage-why-your-mortgage-payment-just-went-up/</x:v>
      </x:c>
    </x:row>
    <x:row r="364" ht="39" customHeight="1">
      <x:c r="A364" s="9" t="str">
        <x:v>REF-0360</x:v>
      </x:c>
      <x:c r="B364" s="9" t="str">
        <x:v>Survey report</x:v>
      </x:c>
      <x:c r="C364" s="9" t="str">
        <x:v>www.housingwire.com</x:v>
      </x:c>
      <x:c r="D364" s="9" t="str">
        <x:v>Reference carried by the corpus</x:v>
      </x:c>
      <x:c r="E364" s="9" t="str">
        <x:v>Referenced in recovered corpus; source not independently rechecked in this edition</x:v>
      </x:c>
      <x:c r="F364" s="9" t="str"/>
      <x:c r="G364" s="9" t="str">
        <x:v>COR-085</x:v>
      </x:c>
      <x:c r="H364" s="12" t="str">
        <x:f>IFERROR(HYPERLINK(I364,"Open source"),"Open source")</x:f>
        <x:v>Open source</x:v>
      </x:c>
      <x:c r="I364" s="11" t="str">
        <x:v>https://www.housingwire.com/articles/mortgage-escrow-payment-increase-survey/</x:v>
      </x:c>
    </x:row>
    <x:row r="365" ht="39" customHeight="1">
      <x:c r="A365" s="9" t="str">
        <x:v>REF-0361</x:v>
      </x:c>
      <x:c r="B365" s="9" t="str">
        <x:v>Cotality property-tax update</x:v>
      </x:c>
      <x:c r="C365" s="9" t="str">
        <x:v>www.cotality.com</x:v>
      </x:c>
      <x:c r="D365" s="9" t="str">
        <x:v>Reference carried by the corpus</x:v>
      </x:c>
      <x:c r="E365" s="9" t="str">
        <x:v>Referenced in recovered corpus; source not independently rechecked in this edition</x:v>
      </x:c>
      <x:c r="F365" s="9" t="str"/>
      <x:c r="G365" s="9" t="str">
        <x:v>COR-085</x:v>
      </x:c>
      <x:c r="H365" s="12" t="str">
        <x:f>IFERROR(HYPERLINK(I365,"Open source"),"Open source")</x:f>
        <x:v>Open source</x:v>
      </x:c>
      <x:c r="I365" s="11" t="str">
        <x:v>https://www.cotality.com/resources/article/property-taxes-are-reshaping-servicing-operations</x:v>
      </x:c>
    </x:row>
    <x:row r="366" ht="39" customHeight="1">
      <x:c r="A366" s="9" t="str">
        <x:v>REF-0362</x:v>
      </x:c>
      <x:c r="B366" s="9" t="str">
        <x:v>Insurify projection</x:v>
      </x:c>
      <x:c r="C366" s="9" t="str">
        <x:v>insurify.com</x:v>
      </x:c>
      <x:c r="D366" s="9" t="str">
        <x:v>Reference carried by the corpus</x:v>
      </x:c>
      <x:c r="E366" s="9" t="str">
        <x:v>Referenced in recovered corpus; source not independently rechecked in this edition</x:v>
      </x:c>
      <x:c r="F366" s="9" t="str"/>
      <x:c r="G366" s="9" t="str">
        <x:v>COR-085</x:v>
      </x:c>
      <x:c r="H366" s="12" t="str">
        <x:f>IFERROR(HYPERLINK(I366,"Open source"),"Open source")</x:f>
        <x:v>Open source</x:v>
      </x:c>
      <x:c r="I366" s="11" t="str">
        <x:v>https://insurify.com/homeowners-insurance/report/home-insurance-price-projections/</x:v>
      </x:c>
    </x:row>
    <x:row r="367" ht="39" customHeight="1">
      <x:c r="A367" s="9" t="str">
        <x:v>REF-0363</x:v>
      </x:c>
      <x:c r="B367" s="9" t="str">
        <x:v>Federal Reserve note</x:v>
      </x:c>
      <x:c r="C367" s="9" t="str">
        <x:v>www.federalreserve.gov</x:v>
      </x:c>
      <x:c r="D367" s="9" t="str">
        <x:v>Government / court / official source</x:v>
      </x:c>
      <x:c r="E367" s="9" t="str">
        <x:v>Referenced in recovered corpus; source not independently rechecked in this edition</x:v>
      </x:c>
      <x:c r="F367" s="9" t="str"/>
      <x:c r="G367" s="9" t="str">
        <x:v>COR-085</x:v>
      </x:c>
      <x:c r="H367" s="12" t="str">
        <x:f>IFERROR(HYPERLINK(I367,"Open source"),"Open source")</x:f>
        <x:v>Open source</x:v>
      </x:c>
      <x:c r="I367" s="11" t="str">
        <x:v>https://www.federalreserve.gov/econres/notes/feds-notes/measurement-of-computer-software-and-accessories-inflation-20260522.html</x:v>
      </x:c>
    </x:row>
    <x:row r="368" ht="39" customHeight="1">
      <x:c r="A368" s="9" t="str">
        <x:v>REF-0364</x:v>
      </x:c>
      <x:c r="B368" s="9" t="str">
        <x:v>Federal Reserve MPR</x:v>
      </x:c>
      <x:c r="C368" s="9" t="str">
        <x:v>www.federalreserve.gov</x:v>
      </x:c>
      <x:c r="D368" s="9" t="str">
        <x:v>Government / court / official source</x:v>
      </x:c>
      <x:c r="E368" s="9" t="str">
        <x:v>Referenced in recovered corpus; source not independently rechecked in this edition</x:v>
      </x:c>
      <x:c r="F368" s="9" t="str"/>
      <x:c r="G368" s="9" t="str">
        <x:v>COR-085</x:v>
      </x:c>
      <x:c r="H368" s="12" t="str">
        <x:f>IFERROR(HYPERLINK(I368,"Open source"),"Open source")</x:f>
        <x:v>Open source</x:v>
      </x:c>
      <x:c r="I368" s="11" t="str">
        <x:v>https://www.federalreserve.gov/monetarypolicy/2026-07-mpr-part1.htm</x:v>
      </x:c>
    </x:row>
    <x:row r="369" ht="39" customHeight="1">
      <x:c r="A369" s="9" t="str">
        <x:v>REF-0365</x:v>
      </x:c>
      <x:c r="B369" s="9" t="str">
        <x:v>Blanche compliance certification, 5 June 2025</x:v>
      </x:c>
      <x:c r="C369" s="9" t="str">
        <x:v>extapps2.oge.gov</x:v>
      </x:c>
      <x:c r="D369" s="9" t="str">
        <x:v>Government / court / official source</x:v>
      </x:c>
      <x:c r="E369" s="9" t="str">
        <x:v>Checked in this edition</x:v>
      </x:c>
      <x:c r="F369" s="9" t="str"/>
      <x:c r="G369" s="9" t="str">
        <x:v>COR-010</x:v>
      </x:c>
      <x:c r="H369" s="12" t="str">
        <x:f>IFERROR(HYPERLINK(I369,"Open source"),"Open source")</x:f>
        <x:v>Open source</x:v>
      </x:c>
      <x:c r="I369" s="11" t="str">
        <x:v>https://extapps2.oge.gov/201/Presiden.nsf/PAS+Index/92E6C79E88537F4485258CA1002C2338/$FILE/Blanche%20EA%20Certification%201%20of%201.pdf</x:v>
      </x:c>
    </x:row>
    <x:row r="370" ht="39" customHeight="1">
      <x:c r="A370" s="9" t="str">
        <x:v>REF-0366</x:v>
      </x:c>
      <x:c r="B370" s="9" t="str">
        <x:v>Senate Judiciary QFR</x:v>
      </x:c>
      <x:c r="C370" s="9" t="str">
        <x:v>www.judiciary.senate.gov</x:v>
      </x:c>
      <x:c r="D370" s="9" t="str">
        <x:v>Government / court / official source</x:v>
      </x:c>
      <x:c r="E370" s="9" t="str">
        <x:v>Referenced in recovered corpus; source not independently rechecked in this edition</x:v>
      </x:c>
      <x:c r="F370" s="9" t="str"/>
      <x:c r="G370" s="9" t="str">
        <x:v>COR-010</x:v>
      </x:c>
      <x:c r="H370" s="12" t="str">
        <x:f>IFERROR(HYPERLINK(I370,"Open source"),"Open source")</x:f>
        <x:v>Open source</x:v>
      </x:c>
      <x:c r="I370" s="11" t="str">
        <x:v>https://www.judiciary.senate.gov/imo/media/doc/98781d53-bdcc-75d8-c507-1b1bca492142/2026-07-15_QFR-Responses_Blanche_687007f1-363d-40d9-b7da-356b52dc448d.pdf</x:v>
      </x:c>
    </x:row>
    <x:row r="371" ht="39" customHeight="1">
      <x:c r="A371" s="9" t="str">
        <x:v>REF-0367</x:v>
      </x:c>
      <x:c r="B371" s="9" t="str">
        <x:v>follow-on memo</x:v>
      </x:c>
      <x:c r="C371" s="9" t="str">
        <x:v>www.justice.gov</x:v>
      </x:c>
      <x:c r="D371" s="9" t="str">
        <x:v>Government / court / official source</x:v>
      </x:c>
      <x:c r="E371" s="9" t="str">
        <x:v>Referenced in recovered corpus; source not independently rechecked in this edition</x:v>
      </x:c>
      <x:c r="F371" s="9" t="str"/>
      <x:c r="G371" s="9" t="str">
        <x:v>COR-010</x:v>
      </x:c>
      <x:c r="H371" s="12" t="str">
        <x:f>IFERROR(HYPERLINK(I371,"Open source"),"Open source")</x:f>
        <x:v>Open source</x:v>
      </x:c>
      <x:c r="I371" s="11" t="str">
        <x:v>https://www.justice.gov/criminal/media/1400046/dl?inline=</x:v>
      </x:c>
    </x:row>
    <x:row r="372" ht="39" customHeight="1">
      <x:c r="A372" s="9" t="str">
        <x:v>REF-0368</x:v>
      </x:c>
      <x:c r="B372" s="9" t="str">
        <x:v>5 C.F.R. § 2640.103</x:v>
      </x:c>
      <x:c r="C372" s="9" t="str">
        <x:v>www.ecfr.gov</x:v>
      </x:c>
      <x:c r="D372" s="9" t="str">
        <x:v>Government / court / official source</x:v>
      </x:c>
      <x:c r="E372" s="9" t="str">
        <x:v>Referenced in recovered corpus; source not independently rechecked in this edition</x:v>
      </x:c>
      <x:c r="F372" s="9" t="str"/>
      <x:c r="G372" s="9" t="str">
        <x:v>COR-010</x:v>
      </x:c>
      <x:c r="H372" s="12" t="str">
        <x:f>IFERROR(HYPERLINK(I372,"Open source"),"Open source")</x:f>
        <x:v>Open source</x:v>
      </x:c>
      <x:c r="I372" s="11" t="str">
        <x:v>https://www.ecfr.gov/current/title-5/chapter-XVI/subchapter-B/part-2640/subpart-A/section-2640.103</x:v>
      </x:c>
    </x:row>
    <x:row r="373" ht="39" customHeight="1">
      <x:c r="A373" s="9" t="str">
        <x:v>REF-0369</x:v>
      </x:c>
      <x:c r="B373" s="9" t="str">
        <x:v>OGE LA-22-04</x:v>
      </x:c>
      <x:c r="C373" s="9" t="str">
        <x:v>www.oge.gov</x:v>
      </x:c>
      <x:c r="D373" s="9" t="str">
        <x:v>Government / court / official source</x:v>
      </x:c>
      <x:c r="E373" s="9" t="str">
        <x:v>Referenced in recovered corpus; source not independently rechecked in this edition</x:v>
      </x:c>
      <x:c r="F373" s="9" t="str"/>
      <x:c r="G373" s="9" t="str">
        <x:v>COR-010</x:v>
      </x:c>
      <x:c r="H373" s="12" t="str">
        <x:f>IFERROR(HYPERLINK(I373,"Open source"),"Open source")</x:f>
        <x:v>Open source</x:v>
      </x:c>
      <x:c r="I373" s="11" t="str">
        <x:v>https://www.oge.gov/web/OGE.nsf/0/E116F1FD24F94BB3852588770058A0FA/$FILE/LA-22-04.pdf</x:v>
      </x:c>
    </x:row>
    <x:row r="374" ht="39" customHeight="1">
      <x:c r="A374" s="9" t="str">
        <x:v>REF-0370</x:v>
      </x:c>
      <x:c r="B374" s="9" t="str">
        <x:v>5 C.F.R. § 2640.301</x:v>
      </x:c>
      <x:c r="C374" s="9" t="str">
        <x:v>www.ecfr.gov</x:v>
      </x:c>
      <x:c r="D374" s="9" t="str">
        <x:v>Government / court / official source</x:v>
      </x:c>
      <x:c r="E374" s="9" t="str">
        <x:v>Referenced in recovered corpus; source not independently rechecked in this edition</x:v>
      </x:c>
      <x:c r="F374" s="9" t="str"/>
      <x:c r="G374" s="9" t="str">
        <x:v>COR-010</x:v>
      </x:c>
      <x:c r="H374" s="12" t="str">
        <x:f>IFERROR(HYPERLINK(I374,"Open source"),"Open source")</x:f>
        <x:v>Open source</x:v>
      </x:c>
      <x:c r="I374" s="11" t="str">
        <x:v>https://www.ecfr.gov/current/title-5/chapter-XVI/subchapter-B/part-2640/subpart-C/section-2640.301</x:v>
      </x:c>
    </x:row>
    <x:row r="375" ht="39" customHeight="1">
      <x:c r="A375" s="9" t="str">
        <x:v>REF-0371</x:v>
      </x:c>
      <x:c r="B375" s="9" t="str">
        <x:v>OGE nominee 278 (2026 AG)</x:v>
      </x:c>
      <x:c r="C375" s="9" t="str">
        <x:v>extapps2.oge.gov</x:v>
      </x:c>
      <x:c r="D375" s="9" t="str">
        <x:v>Government / court / official source</x:v>
      </x:c>
      <x:c r="E375" s="9" t="str">
        <x:v>Referenced in recovered corpus; source not independently rechecked in this edition</x:v>
      </x:c>
      <x:c r="F375" s="9" t="str"/>
      <x:c r="G375" s="9" t="str">
        <x:v>COR-010</x:v>
      </x:c>
      <x:c r="H375" s="12" t="str">
        <x:f>IFERROR(HYPERLINK(I375,"Open source"),"Open source")</x:f>
        <x:v>Open source</x:v>
      </x:c>
      <x:c r="I375" s="11" t="str">
        <x:v>https://extapps2.oge.gov/201/Presiden.nsf/PAS+Index/17E740413EA73B3485258E29002D9F37/$FILE/Blanche%2C%20Todd%20%20final278.pdf</x:v>
      </x:c>
    </x:row>
    <x:row r="376" ht="39" customHeight="1">
      <x:c r="A376" s="9" t="str">
        <x:v>REF-0372</x:v>
      </x:c>
      <x:c r="B376" s="9" t="str">
        <x:v>5 C.F.R. part 2634, subpart J</x:v>
      </x:c>
      <x:c r="C376" s="9" t="str">
        <x:v>www.ecfr.gov</x:v>
      </x:c>
      <x:c r="D376" s="9" t="str">
        <x:v>Government / court / official source</x:v>
      </x:c>
      <x:c r="E376" s="9" t="str">
        <x:v>Referenced in recovered corpus; source not independently rechecked in this edition</x:v>
      </x:c>
      <x:c r="F376" s="9" t="str"/>
      <x:c r="G376" s="9" t="str">
        <x:v>COR-010</x:v>
      </x:c>
      <x:c r="H376" s="12" t="str">
        <x:f>IFERROR(HYPERLINK(I376,"Open source"),"Open source")</x:f>
        <x:v>Open source</x:v>
      </x:c>
      <x:c r="I376" s="11" t="str">
        <x:v>https://www.ecfr.gov/current/title-5/chapter-XVI/subchapter-B/part-2634/subpart-J</x:v>
      </x:c>
    </x:row>
    <x:row r="377" ht="39" customHeight="1">
      <x:c r="A377" s="9" t="str">
        <x:v>REF-0373</x:v>
      </x:c>
      <x:c r="B377" s="9" t="str">
        <x:v>DOJ OIG ongoing-work page</x:v>
      </x:c>
      <x:c r="C377" s="9" t="str">
        <x:v>oig.justice.gov</x:v>
      </x:c>
      <x:c r="D377" s="9" t="str">
        <x:v>Government / court / official source</x:v>
      </x:c>
      <x:c r="E377" s="9" t="str">
        <x:v>Referenced in recovered corpus; source not independently rechecked in this edition</x:v>
      </x:c>
      <x:c r="F377" s="9" t="str"/>
      <x:c r="G377" s="9" t="str">
        <x:v>COR-010</x:v>
      </x:c>
      <x:c r="H377" s="12" t="str">
        <x:f>IFERROR(HYPERLINK(I377,"Open source"),"Open source")</x:f>
        <x:v>Open source</x:v>
      </x:c>
      <x:c r="I377" s="11" t="str">
        <x:v>https://oig.justice.gov/ongoing-work</x:v>
      </x:c>
    </x:row>
    <x:row r="378" ht="39" customHeight="1">
      <x:c r="A378" s="9" t="str">
        <x:v>REF-0374</x:v>
      </x:c>
      <x:c r="B378" s="9" t="str">
        <x:v>DOJ OIG SARC</x:v>
      </x:c>
      <x:c r="C378" s="9" t="str">
        <x:v>oig.justice.gov</x:v>
      </x:c>
      <x:c r="D378" s="9" t="str">
        <x:v>Government / court / official source</x:v>
      </x:c>
      <x:c r="E378" s="9" t="str">
        <x:v>Referenced in recovered corpus; source not independently rechecked in this edition</x:v>
      </x:c>
      <x:c r="F378" s="9" t="str"/>
      <x:c r="G378" s="9" t="str">
        <x:v>COR-010</x:v>
      </x:c>
      <x:c r="H378" s="12" t="str">
        <x:f>IFERROR(HYPERLINK(I378,"Open source"),"Open source")</x:f>
        <x:v>Open source</x:v>
      </x:c>
      <x:c r="I378" s="11" t="str">
        <x:v>https://oig.justice.gov/semiannual-report-congress-october-1-2025-march-31-2026</x:v>
      </x:c>
    </x:row>
    <x:row r="379" ht="39" customHeight="1">
      <x:c r="A379" s="9" t="str">
        <x:v>REF-0375</x:v>
      </x:c>
      <x:c r="B379" s="9" t="str">
        <x:v>5 C.F.R. § 2640.202</x:v>
      </x:c>
      <x:c r="C379" s="9" t="str">
        <x:v>www.ecfr.gov</x:v>
      </x:c>
      <x:c r="D379" s="9" t="str">
        <x:v>Government / court / official source</x:v>
      </x:c>
      <x:c r="E379" s="9" t="str">
        <x:v>Referenced in recovered corpus; source not independently rechecked in this edition</x:v>
      </x:c>
      <x:c r="F379" s="9" t="str"/>
      <x:c r="G379" s="9" t="str">
        <x:v>COR-010</x:v>
      </x:c>
      <x:c r="H379" s="12" t="str">
        <x:f>IFERROR(HYPERLINK(I379,"Open source"),"Open source")</x:f>
        <x:v>Open source</x:v>
      </x:c>
      <x:c r="I379" s="11" t="str">
        <x:v>https://www.ecfr.gov/current/title-5/chapter-XVI/subchapter-B/part-2640/subpart-B/section-2640.202</x:v>
      </x:c>
    </x:row>
    <x:row r="380" ht="39" customHeight="1">
      <x:c r="A380" s="9" t="str">
        <x:v>REF-0376</x:v>
      </x:c>
      <x:c r="B380" s="9" t="str">
        <x:v>DOJ JMD waivers page</x:v>
      </x:c>
      <x:c r="C380" s="9" t="str">
        <x:v>www.justice.gov</x:v>
      </x:c>
      <x:c r="D380" s="9" t="str">
        <x:v>Government / court / official source</x:v>
      </x:c>
      <x:c r="E380" s="9" t="str">
        <x:v>Referenced in recovered corpus; source not independently rechecked in this edition</x:v>
      </x:c>
      <x:c r="F380" s="9" t="str"/>
      <x:c r="G380" s="9" t="str">
        <x:v>COR-010</x:v>
      </x:c>
      <x:c r="H380" s="12" t="str">
        <x:f>IFERROR(HYPERLINK(I380,"Open source"),"Open source")</x:f>
        <x:v>Open source</x:v>
      </x:c>
      <x:c r="I380" s="11" t="str">
        <x:v>https://www.justice.gov/jmd/ethics/waivers</x:v>
      </x:c>
    </x:row>
    <x:row r="381" ht="39" customHeight="1">
      <x:c r="A381" s="9" t="str">
        <x:v>REF-0377</x:v>
      </x:c>
      <x:c r="B381" s="9" t="str">
        <x:v>Campaign Legal Center complaint</x:v>
      </x:c>
      <x:c r="C381" s="9" t="str">
        <x:v>campaignlegal.org</x:v>
      </x:c>
      <x:c r="D381" s="9" t="str">
        <x:v>Reference carried by the corpus</x:v>
      </x:c>
      <x:c r="E381" s="9" t="str">
        <x:v>Referenced in recovered corpus; source not independently rechecked in this edition</x:v>
      </x:c>
      <x:c r="F381" s="9" t="str"/>
      <x:c r="G381" s="9" t="str">
        <x:v>COR-010</x:v>
      </x:c>
      <x:c r="H381" s="12" t="str">
        <x:f>IFERROR(HYPERLINK(I381,"Open source"),"Open source")</x:f>
        <x:v>Open source</x:v>
      </x:c>
      <x:c r="I381" s="11" t="str">
        <x:v>https://campaignlegal.org/sites/default/files/2026-01/CLC%20Complaint%20_%20Blanche%20_%20DOJ%20OIG%20%281%29.pdf</x:v>
      </x:c>
    </x:row>
    <x:row r="382" ht="39" customHeight="1">
      <x:c r="A382" s="9" t="str">
        <x:v>REF-0378</x:v>
      </x:c>
      <x:c r="B382" s="9" t="str">
        <x:v>ProPublica complaint reporting</x:v>
      </x:c>
      <x:c r="C382" s="9" t="str">
        <x:v>www.propublica.org</x:v>
      </x:c>
      <x:c r="D382" s="9" t="str">
        <x:v>Reference carried by the corpus</x:v>
      </x:c>
      <x:c r="E382" s="9" t="str">
        <x:v>Referenced in recovered corpus; source not independently rechecked in this edition</x:v>
      </x:c>
      <x:c r="F382" s="9" t="str"/>
      <x:c r="G382" s="9" t="str">
        <x:v>COR-010</x:v>
      </x:c>
      <x:c r="H382" s="12" t="str">
        <x:f>IFERROR(HYPERLINK(I382,"Open source"),"Open source")</x:f>
        <x:v>Open source</x:v>
      </x:c>
      <x:c r="I382" s="11" t="str">
        <x:v>https://www.propublica.org/article/todd-blanche-complaint-conflict-of-interest</x:v>
      </x:c>
    </x:row>
    <x:row r="383" ht="39" customHeight="1">
      <x:c r="A383" s="9" t="str">
        <x:v>REF-0379</x:v>
      </x:c>
      <x:c r="B383" s="9" t="str">
        <x:v>DOJ Financial Disclosure</x:v>
      </x:c>
      <x:c r="C383" s="9" t="str">
        <x:v>www.justice.gov</x:v>
      </x:c>
      <x:c r="D383" s="9" t="str">
        <x:v>Government / court / official source</x:v>
      </x:c>
      <x:c r="E383" s="9" t="str">
        <x:v>Referenced in recovered corpus; source not independently rechecked in this edition</x:v>
      </x:c>
      <x:c r="F383" s="9" t="str"/>
      <x:c r="G383" s="9" t="str">
        <x:v>COR-010</x:v>
      </x:c>
      <x:c r="H383" s="12" t="str">
        <x:f>IFERROR(HYPERLINK(I383,"Open source"),"Open source")</x:f>
        <x:v>Open source</x:v>
      </x:c>
      <x:c r="I383" s="11" t="str">
        <x:v>https://www.justice.gov/jmd/financial-disclosure</x:v>
      </x:c>
    </x:row>
    <x:row r="384" ht="39" customHeight="1">
      <x:c r="A384" s="9" t="str">
        <x:v>REF-0380</x:v>
      </x:c>
      <x:c r="B384" s="9" t="str">
        <x:v>OGE conflict-of-interest-waiver access guidance</x:v>
      </x:c>
      <x:c r="C384" s="9" t="str">
        <x:v>www.oge.gov</x:v>
      </x:c>
      <x:c r="D384" s="9" t="str">
        <x:v>Government / court / official source</x:v>
      </x:c>
      <x:c r="E384" s="9" t="str">
        <x:v>Referenced in recovered corpus; source not independently rechecked in this edition</x:v>
      </x:c>
      <x:c r="F384" s="9" t="str"/>
      <x:c r="G384" s="9" t="str">
        <x:v>COR-010</x:v>
      </x:c>
      <x:c r="H384" s="12" t="str">
        <x:f>IFERROR(HYPERLINK(I384,"Open source"),"Open source")</x:f>
        <x:v>Open source</x:v>
      </x:c>
      <x:c r="I384" s="11" t="str">
        <x:v>https://www.oge.gov/web/oge.nsf/publicresources_FOIA-landing</x:v>
      </x:c>
    </x:row>
    <x:row r="385" ht="39" customHeight="1">
      <x:c r="A385" s="9" t="str">
        <x:v>REF-0381</x:v>
      </x:c>
      <x:c r="B385" s="9" t="str">
        <x:v>5 C.F.R. § 2640.303</x:v>
      </x:c>
      <x:c r="C385" s="9" t="str">
        <x:v>www.ecfr.gov</x:v>
      </x:c>
      <x:c r="D385" s="9" t="str">
        <x:v>Government / court / official source</x:v>
      </x:c>
      <x:c r="E385" s="9" t="str">
        <x:v>Referenced in recovered corpus; source not independently rechecked in this edition</x:v>
      </x:c>
      <x:c r="F385" s="9" t="str"/>
      <x:c r="G385" s="9" t="str">
        <x:v>COR-010</x:v>
      </x:c>
      <x:c r="H385" s="12" t="str">
        <x:f>IFERROR(HYPERLINK(I385,"Open source"),"Open source")</x:f>
        <x:v>Open source</x:v>
      </x:c>
      <x:c r="I385" s="11" t="str">
        <x:v>https://www.ecfr.gov/current/title-5/chapter-XVI/subchapter-B/part-2640/subpart-C/section-2640.303</x:v>
      </x:c>
    </x:row>
    <x:row r="386" ht="39" customHeight="1">
      <x:c r="A386" s="9" t="str">
        <x:v>REF-0382</x:v>
      </x:c>
      <x:c r="B386" s="9" t="str">
        <x:v>OGE Attorney General ethics agreement (2026)</x:v>
      </x:c>
      <x:c r="C386" s="9" t="str">
        <x:v>extapps2.oge.gov</x:v>
      </x:c>
      <x:c r="D386" s="9" t="str">
        <x:v>Government / court / official source</x:v>
      </x:c>
      <x:c r="E386" s="9" t="str">
        <x:v>Referenced in recovered corpus; source not independently rechecked in this edition</x:v>
      </x:c>
      <x:c r="F386" s="9" t="str"/>
      <x:c r="G386" s="9" t="str">
        <x:v>COR-010</x:v>
      </x:c>
      <x:c r="H386" s="12" t="str">
        <x:f>IFERROR(HYPERLINK(I386,"Open source"),"Open source")</x:f>
        <x:v>Open source</x:v>
      </x:c>
      <x:c r="I386" s="11" t="str">
        <x:v>https://extapps2.oge.gov/201/Presiden.nsf/PAS%2BIndex/C95B83BAED7342EF85258E29002DF14C/%24FILE/Blanche%2C%20Todd%20%20finalEA.pdf</x:v>
      </x:c>
    </x:row>
    <x:row r="387" ht="39" customHeight="1">
      <x:c r="A387" s="9" t="str">
        <x:v>REF-0383</x:v>
      </x:c>
      <x:c r="B387" s="9" t="str">
        <x:v>POST-FREEZE MOVEMENT LEDGER — Wobble + Coup + Corridors — v0.1</x:v>
      </x:c>
      <x:c r="C387" s="9" t="str">
        <x:v>docs.google.com</x:v>
      </x:c>
      <x:c r="D387" s="9" t="str">
        <x:v>Research artifact / conversation</x:v>
      </x:c>
      <x:c r="E387" s="9" t="str">
        <x:v>Referenced in recovered corpus; source not independently rechecked in this edition</x:v>
      </x:c>
      <x:c r="F387" s="9" t="str"/>
      <x:c r="G387" s="9" t="str">
        <x:v>COR-021</x:v>
      </x:c>
      <x:c r="H387" s="12" t="str">
        <x:f>IFERROR(HYPERLINK(I387,"Open source"),"Open source")</x:f>
        <x:v>Open source</x:v>
      </x:c>
      <x:c r="I387" s="11" t="str">
        <x:v>https://docs.google.com/document/d/1NllZE54FSGiV1dKNukEd2dnJBfKWelL1OZbpbJ_UJrk/edit</x:v>
      </x:c>
    </x:row>
    <x:row r="388" ht="39" customHeight="1">
      <x:c r="A388" s="9" t="str">
        <x:v>REF-0384</x:v>
      </x:c>
      <x:c r="B388" s="9" t="str">
        <x:v>[FPDS task-order instructions]</x:v>
      </x:c>
      <x:c r="C388" s="9" t="str">
        <x:v>www.fpds.gov</x:v>
      </x:c>
      <x:c r="D388" s="9" t="str">
        <x:v>Government / court / official source</x:v>
      </x:c>
      <x:c r="E388" s="9" t="str">
        <x:v>Referenced in recovered corpus; source not independently rechecked in this edition</x:v>
      </x:c>
      <x:c r="F388" s="9" t="str"/>
      <x:c r="G388" s="9" t="str">
        <x:v>COR-005</x:v>
      </x:c>
      <x:c r="H388" s="12" t="str">
        <x:f>IFERROR(HYPERLINK(I388,"Open source"),"Open source")</x:f>
        <x:v>Open source</x:v>
      </x:c>
      <x:c r="I388" s="11" t="str">
        <x:v>https://www.fpds.gov/help/Create_a_DO_TO_IDV.htm</x:v>
      </x:c>
    </x:row>
    <x:row r="389" ht="39" customHeight="1">
      <x:c r="A389" s="9" t="str">
        <x:v>REF-0385</x:v>
      </x:c>
      <x:c r="B389" s="9" t="str">
        <x:v>[FPDS fair-opportunity field definition]</x:v>
      </x:c>
      <x:c r="C389" s="9" t="str">
        <x:v>www.fpds.gov</x:v>
      </x:c>
      <x:c r="D389" s="9" t="str">
        <x:v>Government / court / official source</x:v>
      </x:c>
      <x:c r="E389" s="9" t="str">
        <x:v>Referenced in recovered corpus; source not independently rechecked in this edition</x:v>
      </x:c>
      <x:c r="F389" s="9" t="str"/>
      <x:c r="G389" s="9" t="str">
        <x:v>COR-005</x:v>
      </x:c>
      <x:c r="H389" s="12" t="str">
        <x:f>IFERROR(HYPERLINK(I389,"Open source"),"Open source")</x:f>
        <x:v>Open source</x:v>
      </x:c>
      <x:c r="I389" s="11" t="str">
        <x:v>https://www.fpds.gov/help/Statutory_Exception_to_Fair_Opportunity.htm</x:v>
      </x:c>
    </x:row>
    <x:row r="390" ht="39" customHeight="1">
      <x:c r="A390" s="9" t="str">
        <x:v>REF-0386</x:v>
      </x:c>
      <x:c r="B390" s="9" t="str">
        <x:v>[FAR 8.405-6]</x:v>
      </x:c>
      <x:c r="C390" s="9" t="str">
        <x:v>www.acquisition.gov</x:v>
      </x:c>
      <x:c r="D390" s="9" t="str">
        <x:v>Government / court / official source</x:v>
      </x:c>
      <x:c r="E390" s="9" t="str">
        <x:v>Referenced in recovered corpus; source not independently rechecked in this edition</x:v>
      </x:c>
      <x:c r="F390" s="9" t="str"/>
      <x:c r="G390" s="9" t="str">
        <x:v>COR-005</x:v>
      </x:c>
      <x:c r="H390" s="12" t="str">
        <x:f>IFERROR(HYPERLINK(I390,"Open source"),"Open source")</x:f>
        <x:v>Open source</x:v>
      </x:c>
      <x:c r="I390" s="11" t="str">
        <x:v>https://www.acquisition.gov/far/8.405-6</x:v>
      </x:c>
    </x:row>
    <x:row r="391" ht="39" customHeight="1">
      <x:c r="A391" s="9" t="str">
        <x:v>REF-0387</x:v>
      </x:c>
      <x:c r="B391" s="9" t="str">
        <x:v>THE JERUSALEM CUSTODIAL ECOSYSTEM — Official Source-Controlled Synthesis v1.1 (Scholarly Working Paper)</x:v>
      </x:c>
      <x:c r="C391" s="9" t="str">
        <x:v>docs.google.com</x:v>
      </x:c>
      <x:c r="D391" s="9" t="str">
        <x:v>Research artifact / conversation</x:v>
      </x:c>
      <x:c r="E391" s="9" t="str">
        <x:v>Referenced in recovered corpus; source not independently rechecked in this edition</x:v>
      </x:c>
      <x:c r="F391" s="9" t="str"/>
      <x:c r="G391" s="9" t="str">
        <x:v>COR-019</x:v>
      </x:c>
      <x:c r="H391" s="12" t="str">
        <x:f>IFERROR(HYPERLINK(I391,"Open source"),"Open source")</x:f>
        <x:v>Open source</x:v>
      </x:c>
      <x:c r="I391" s="11" t="str">
        <x:v>https://docs.google.com/document/d/1Ilt3S-X6NsjaeMFDCLxemT3pzj9wwEmhl8lU8jVPLHU/edit</x:v>
      </x:c>
    </x:row>
    <x:row r="392" ht="39" customHeight="1">
      <x:c r="A392" s="9" t="str">
        <x:v>REF-0388</x:v>
      </x:c>
      <x:c r="B392" s="9" t="str">
        <x:v>THE JERUSALEM CUSTODIAL ECOSYSTEM — Official Source-Controlled Synthesis v1.0</x:v>
      </x:c>
      <x:c r="C392" s="9" t="str">
        <x:v>docs.google.com</x:v>
      </x:c>
      <x:c r="D392" s="9" t="str">
        <x:v>Research artifact / conversation</x:v>
      </x:c>
      <x:c r="E392" s="9" t="str">
        <x:v>Referenced in recovered corpus; source not independently rechecked in this edition</x:v>
      </x:c>
      <x:c r="F392" s="9" t="str"/>
      <x:c r="G392" s="9" t="str">
        <x:v>COR-019</x:v>
      </x:c>
      <x:c r="H392" s="12" t="str">
        <x:f>IFERROR(HYPERLINK(I392,"Open source"),"Open source")</x:f>
        <x:v>Open source</x:v>
      </x:c>
      <x:c r="I392" s="11" t="str">
        <x:v>https://docs.google.com/document/d/1rG5VSSULcIP-aZoRb5scczU-MWYnYdsnzu-FMtRyzY8/edit</x:v>
      </x:c>
    </x:row>
    <x:row r="393" ht="39" customHeight="1">
      <x:c r="A393" s="9" t="str">
        <x:v>REF-0389</x:v>
      </x:c>
      <x:c r="B393" s="9" t="str">
        <x:v>THE JERUSALEM CUSTODIAL ECOSYSTEM</x:v>
      </x:c>
      <x:c r="C393" s="9" t="str">
        <x:v>docs.google.com</x:v>
      </x:c>
      <x:c r="D393" s="9" t="str">
        <x:v>Research artifact / conversation</x:v>
      </x:c>
      <x:c r="E393" s="9" t="str">
        <x:v>Referenced in recovered corpus; source not independently rechecked in this edition</x:v>
      </x:c>
      <x:c r="F393" s="9" t="str"/>
      <x:c r="G393" s="9" t="str">
        <x:v>COR-019</x:v>
      </x:c>
      <x:c r="H393" s="12" t="str">
        <x:f>IFERROR(HYPERLINK(I393,"Open source"),"Open source")</x:f>
        <x:v>Open source</x:v>
      </x:c>
      <x:c r="I393" s="11" t="str">
        <x:v>https://docs.google.com/document/d/1v-qzCy479OwVCxGDVyknXtT4Bk1EpnyzqlmwnCRNWYg/edit</x:v>
      </x:c>
    </x:row>
    <x:row r="394" ht="39" customHeight="1">
      <x:c r="A394" s="9" t="str">
        <x:v>REF-0390</x:v>
      </x:c>
      <x:c r="B394" s="9" t="str">
        <x:v>Jerusalem Custodial Ecosystem</x:v>
      </x:c>
      <x:c r="C394" s="9" t="str">
        <x:v>docs.google.com</x:v>
      </x:c>
      <x:c r="D394" s="9" t="str">
        <x:v>Research artifact / conversation</x:v>
      </x:c>
      <x:c r="E394" s="9" t="str">
        <x:v>Referenced in recovered corpus; source not independently rechecked in this edition</x:v>
      </x:c>
      <x:c r="F394" s="9" t="str"/>
      <x:c r="G394" s="9" t="str">
        <x:v>COR-019</x:v>
      </x:c>
      <x:c r="H394" s="12" t="str">
        <x:f>IFERROR(HYPERLINK(I394,"Open source"),"Open source")</x:f>
        <x:v>Open source</x:v>
      </x:c>
      <x:c r="I394" s="11" t="str">
        <x:v>https://docs.google.com/document/d/1bRk047vjb2YCSQnfGc8i1qleDKzQTWrvtqlx9WRerfc/edit</x:v>
      </x:c>
    </x:row>
    <x:row r="395" ht="39" customHeight="1">
      <x:c r="A395" s="9" t="str">
        <x:v>REF-0391</x:v>
      </x:c>
      <x:c r="B395" s="9" t="str">
        <x:v>Cousin hominid</x:v>
      </x:c>
      <x:c r="C395" s="9" t="str">
        <x:v>docs.google.com</x:v>
      </x:c>
      <x:c r="D395" s="9" t="str">
        <x:v>Research artifact / conversation</x:v>
      </x:c>
      <x:c r="E395" s="9" t="str">
        <x:v>Referenced in recovered corpus; source not independently rechecked in this edition</x:v>
      </x:c>
      <x:c r="F395" s="9" t="str"/>
      <x:c r="G395" s="9" t="str">
        <x:v>COR-019</x:v>
      </x:c>
      <x:c r="H395" s="12" t="str">
        <x:f>IFERROR(HYPERLINK(I395,"Open source"),"Open source")</x:f>
        <x:v>Open source</x:v>
      </x:c>
      <x:c r="I395" s="11" t="str">
        <x:v>https://docs.google.com/document/d/10cw3q5iBapCv89O0WLqY7iE3TOXT0CTCbDzTPywHtQ4/edit</x:v>
      </x:c>
    </x:row>
    <x:row r="396" ht="39" customHeight="1">
      <x:c r="A396" s="9" t="str">
        <x:v>REF-0392</x:v>
      </x:c>
      <x:c r="B396" s="9" t="str">
        <x:v>Priesthood</x:v>
      </x:c>
      <x:c r="C396" s="9" t="str">
        <x:v>docs.google.com</x:v>
      </x:c>
      <x:c r="D396" s="9" t="str">
        <x:v>Research artifact / conversation</x:v>
      </x:c>
      <x:c r="E396" s="9" t="str">
        <x:v>Referenced in recovered corpus; source not independently rechecked in this edition</x:v>
      </x:c>
      <x:c r="F396" s="9" t="str"/>
      <x:c r="G396" s="9" t="str">
        <x:v>COR-019</x:v>
      </x:c>
      <x:c r="H396" s="12" t="str">
        <x:f>IFERROR(HYPERLINK(I396,"Open source"),"Open source")</x:f>
        <x:v>Open source</x:v>
      </x:c>
      <x:c r="I396" s="11" t="str">
        <x:v>https://docs.google.com/document/d/1OSIcbWGqKGZYcs7Po2Yn9ejqM5mnimERhDM_9qivECs/edit</x:v>
      </x:c>
    </x:row>
    <x:row r="397" ht="39" customHeight="1">
      <x:c r="A397" s="9" t="str">
        <x:v>REF-0393</x:v>
      </x:c>
      <x:c r="B397" s="9" t="str">
        <x:v>BulletRevelation</x:v>
      </x:c>
      <x:c r="C397" s="9" t="str">
        <x:v>docs.google.com</x:v>
      </x:c>
      <x:c r="D397" s="9" t="str">
        <x:v>Research artifact / conversation</x:v>
      </x:c>
      <x:c r="E397" s="9" t="str">
        <x:v>Referenced in recovered corpus; source not independently rechecked in this edition</x:v>
      </x:c>
      <x:c r="F397" s="9" t="str"/>
      <x:c r="G397" s="9" t="str">
        <x:v>COR-019</x:v>
      </x:c>
      <x:c r="H397" s="12" t="str">
        <x:f>IFERROR(HYPERLINK(I397,"Open source"),"Open source")</x:f>
        <x:v>Open source</x:v>
      </x:c>
      <x:c r="I397" s="11" t="str">
        <x:v>https://docs.google.com/document/d/1yeCpHxDqoXuldHa5MZ3CfvUFMCPegreUnY41aYUczI4/edit</x:v>
      </x:c>
    </x:row>
    <x:row r="398" ht="39" customHeight="1">
      <x:c r="A398" s="9" t="str">
        <x:v>REF-0394</x:v>
      </x:c>
      <x:c r="B398" s="9" t="str">
        <x:v>doi:10.13109/jaju.2018.9.3.344</x:v>
      </x:c>
      <x:c r="C398" s="9" t="str">
        <x:v>doi.org</x:v>
      </x:c>
      <x:c r="D398" s="9" t="str">
        <x:v>Reference carried by the corpus</x:v>
      </x:c>
      <x:c r="E398" s="9" t="str">
        <x:v>Referenced in recovered corpus; source not independently rechecked in this edition</x:v>
      </x:c>
      <x:c r="F398" s="9" t="str"/>
      <x:c r="G398" s="9" t="str">
        <x:v>COR-019</x:v>
      </x:c>
      <x:c r="H398" s="12" t="str">
        <x:f>IFERROR(HYPERLINK(I398,"Open source"),"Open source")</x:f>
        <x:v>Open source</x:v>
      </x:c>
      <x:c r="I398" s="11" t="str">
        <x:v>https://doi.org/10.13109/jaju.2018.9.3.344</x:v>
      </x:c>
    </x:row>
    <x:row r="399" ht="39" customHeight="1">
      <x:c r="A399" s="9" t="str">
        <x:v>REF-0395</x:v>
      </x:c>
      <x:c r="B399" s="9" t="str">
        <x:v>doi:10.1080/00310328.2022.2050074</x:v>
      </x:c>
      <x:c r="C399" s="9" t="str">
        <x:v>doi.org</x:v>
      </x:c>
      <x:c r="D399" s="9" t="str">
        <x:v>Reference carried by the corpus</x:v>
      </x:c>
      <x:c r="E399" s="9" t="str">
        <x:v>Referenced in recovered corpus; source not independently rechecked in this edition</x:v>
      </x:c>
      <x:c r="F399" s="9" t="str"/>
      <x:c r="G399" s="9" t="str">
        <x:v>COR-019</x:v>
      </x:c>
      <x:c r="H399" s="12" t="str">
        <x:f>IFERROR(HYPERLINK(I399,"Open source"),"Open source")</x:f>
        <x:v>Open source</x:v>
      </x:c>
      <x:c r="I399" s="11" t="str">
        <x:v>https://doi.org/10.1080/00310328.2022.2050074</x:v>
      </x:c>
    </x:row>
    <x:row r="400" ht="39" customHeight="1">
      <x:c r="A400" s="9" t="str">
        <x:v>REF-0396</x:v>
      </x:c>
      <x:c r="B400" s="9" t="str">
        <x:v>doi:10.30965/21967954-bja10058</x:v>
      </x:c>
      <x:c r="C400" s="9" t="str">
        <x:v>doi.org</x:v>
      </x:c>
      <x:c r="D400" s="9" t="str">
        <x:v>Reference carried by the corpus</x:v>
      </x:c>
      <x:c r="E400" s="9" t="str">
        <x:v>Referenced in recovered corpus; source not independently rechecked in this edition</x:v>
      </x:c>
      <x:c r="F400" s="9" t="str"/>
      <x:c r="G400" s="9" t="str">
        <x:v>COR-019</x:v>
      </x:c>
      <x:c r="H400" s="12" t="str">
        <x:f>IFERROR(HYPERLINK(I400,"Open source"),"Open source")</x:f>
        <x:v>Open source</x:v>
      </x:c>
      <x:c r="I400" s="11" t="str">
        <x:v>https://doi.org/10.30965/21967954-bja10058</x:v>
      </x:c>
    </x:row>
    <x:row r="401" ht="39" customHeight="1">
      <x:c r="A401" s="9" t="str">
        <x:v>REF-0397</x:v>
      </x:c>
      <x:c r="B401" s="9" t="str">
        <x:v>doi:10.30965/21967954-12340013</x:v>
      </x:c>
      <x:c r="C401" s="9" t="str">
        <x:v>doi.org</x:v>
      </x:c>
      <x:c r="D401" s="9" t="str">
        <x:v>Reference carried by the corpus</x:v>
      </x:c>
      <x:c r="E401" s="9" t="str">
        <x:v>Referenced in recovered corpus; source not independently rechecked in this edition</x:v>
      </x:c>
      <x:c r="F401" s="9" t="str"/>
      <x:c r="G401" s="9" t="str">
        <x:v>COR-019</x:v>
      </x:c>
      <x:c r="H401" s="12" t="str">
        <x:f>IFERROR(HYPERLINK(I401,"Open source"),"Open source")</x:f>
        <x:v>Open source</x:v>
      </x:c>
      <x:c r="I401" s="11" t="str">
        <x:v>https://doi.org/10.30965/21967954-12340013</x:v>
      </x:c>
    </x:row>
    <x:row r="402" ht="39" customHeight="1">
      <x:c r="A402" s="9" t="str">
        <x:v>REF-0398</x:v>
      </x:c>
      <x:c r="B402" s="9" t="str">
        <x:v>doi:10.1163/15700631-BJA10017</x:v>
      </x:c>
      <x:c r="C402" s="9" t="str">
        <x:v>doi.org</x:v>
      </x:c>
      <x:c r="D402" s="9" t="str">
        <x:v>Reference carried by the corpus</x:v>
      </x:c>
      <x:c r="E402" s="9" t="str">
        <x:v>Referenced in recovered corpus; source not independently rechecked in this edition</x:v>
      </x:c>
      <x:c r="F402" s="9" t="str"/>
      <x:c r="G402" s="9" t="str">
        <x:v>COR-019</x:v>
      </x:c>
      <x:c r="H402" s="12" t="str">
        <x:f>IFERROR(HYPERLINK(I402,"Open source"),"Open source")</x:f>
        <x:v>Open source</x:v>
      </x:c>
      <x:c r="I402" s="11" t="str">
        <x:v>https://doi.org/10.1163/15700631-BJA10017</x:v>
      </x:c>
    </x:row>
    <x:row r="403" ht="39" customHeight="1">
      <x:c r="A403" s="9" t="str">
        <x:v>REF-0399</x:v>
      </x:c>
      <x:c r="B403" s="9" t="str">
        <x:v>doi:10.1177/1476993X231185789</x:v>
      </x:c>
      <x:c r="C403" s="9" t="str">
        <x:v>doi.org</x:v>
      </x:c>
      <x:c r="D403" s="9" t="str">
        <x:v>Reference carried by the corpus</x:v>
      </x:c>
      <x:c r="E403" s="9" t="str">
        <x:v>Referenced in recovered corpus; source not independently rechecked in this edition</x:v>
      </x:c>
      <x:c r="F403" s="9" t="str"/>
      <x:c r="G403" s="9" t="str">
        <x:v>COR-019</x:v>
      </x:c>
      <x:c r="H403" s="12" t="str">
        <x:f>IFERROR(HYPERLINK(I403,"Open source"),"Open source")</x:f>
        <x:v>Open source</x:v>
      </x:c>
      <x:c r="I403" s="11" t="str">
        <x:v>https://doi.org/10.1177/1476993X231185789</x:v>
      </x:c>
    </x:row>
    <x:row r="404" ht="39" customHeight="1">
      <x:c r="A404" s="9" t="str">
        <x:v>REF-0400</x:v>
      </x:c>
      <x:c r="B404" s="9" t="str">
        <x:v>doi:10.30965/21967954-bja10060</x:v>
      </x:c>
      <x:c r="C404" s="9" t="str">
        <x:v>doi.org</x:v>
      </x:c>
      <x:c r="D404" s="9" t="str">
        <x:v>Reference carried by the corpus</x:v>
      </x:c>
      <x:c r="E404" s="9" t="str">
        <x:v>Referenced in recovered corpus; source not independently rechecked in this edition</x:v>
      </x:c>
      <x:c r="F404" s="9" t="str"/>
      <x:c r="G404" s="9" t="str">
        <x:v>COR-019</x:v>
      </x:c>
      <x:c r="H404" s="12" t="str">
        <x:f>IFERROR(HYPERLINK(I404,"Open source"),"Open source")</x:f>
        <x:v>Open source</x:v>
      </x:c>
      <x:c r="I404" s="11" t="str">
        <x:v>https://doi.org/10.30965/21967954-bja10060</x:v>
      </x:c>
    </x:row>
    <x:row r="405" ht="39" customHeight="1">
      <x:c r="A405" s="9" t="str">
        <x:v>REF-0401</x:v>
      </x:c>
      <x:c r="B405" s="9" t="str">
        <x:v>California–OpenAI agreement, 27 October 2025</x:v>
      </x:c>
      <x:c r="C405" s="9" t="str">
        <x:v>oag.ca.gov</x:v>
      </x:c>
      <x:c r="D405" s="9" t="str">
        <x:v>Official instrument or record</x:v>
      </x:c>
      <x:c r="E405" s="9" t="str">
        <x:v>Checked in this edition</x:v>
      </x:c>
      <x:c r="F405" s="9" t="str">
        <x:v>N-05</x:v>
      </x:c>
      <x:c r="G405" s="9" t="str">
        <x:v>Public-source check for this edition</x:v>
      </x:c>
      <x:c r="H405" s="12" t="str">
        <x:f>IFERROR(HYPERLINK(I405,"Open source"),"Open source")</x:f>
        <x:v>Open source</x:v>
      </x:c>
      <x:c r="I405" s="11" t="str">
        <x:v>https://oag.ca.gov/system/files/attachments/press-docs/Final%20Executed%20MOU%20Between%20OpenAI%20and%20California%20AG%20re%20Notice%20of%20Conditions%20of%20Non-Objection%20%2810.27.2025%29%20%28Signed%20by%20OpenAI%29%20%28Signed%20by%20CA%20DOJ%29.pdf</x:v>
      </x:c>
    </x:row>
    <x:row r="406" ht="39" customHeight="1">
      <x:c r="A406" s="9" t="str">
        <x:v>REF-0402</x:v>
      </x:c>
      <x:c r="B406" s="9" t="str">
        <x:v>Delaware recapitalization review, 28 October 2025</x:v>
      </x:c>
      <x:c r="C406" s="9" t="str">
        <x:v>news.delaware.gov</x:v>
      </x:c>
      <x:c r="D406" s="9" t="str">
        <x:v>Official instrument or record</x:v>
      </x:c>
      <x:c r="E406" s="9" t="str">
        <x:v>Checked in this edition</x:v>
      </x:c>
      <x:c r="F406" s="9" t="str">
        <x:v>N-06</x:v>
      </x:c>
      <x:c r="G406" s="9" t="str">
        <x:v>Public-source check for this edition</x:v>
      </x:c>
      <x:c r="H406" s="12" t="str">
        <x:f>IFERROR(HYPERLINK(I406,"Open source"),"Open source")</x:f>
        <x:v>Open source</x:v>
      </x:c>
      <x:c r="I406" s="11" t="str">
        <x:v>https://news.delaware.gov/2025/10/28/ag-jennings-completes-review-of-openai-recapitalization/</x:v>
      </x:c>
    </x:row>
    <x:row r="407" ht="39" customHeight="1">
      <x:c r="A407" s="9" t="str">
        <x:v>REF-0403</x:v>
      </x:c>
      <x:c r="B407" s="9" t="str">
        <x:v>House Oversight letter to Sam Altman, May 2026</x:v>
      </x:c>
      <x:c r="C407" s="9" t="str">
        <x:v>oversight.house.gov</x:v>
      </x:c>
      <x:c r="D407" s="9" t="str">
        <x:v>Official instrument or record</x:v>
      </x:c>
      <x:c r="E407" s="9" t="str">
        <x:v>Landing page recovered</x:v>
      </x:c>
      <x:c r="F407" s="9" t="str">
        <x:v>N-07</x:v>
      </x:c>
      <x:c r="G407" s="9" t="str">
        <x:v>Public-source check for this edition</x:v>
      </x:c>
      <x:c r="H407" s="12" t="str">
        <x:f>IFERROR(HYPERLINK(I407,"Open source"),"Open source")</x:f>
        <x:v>Open source</x:v>
      </x:c>
      <x:c r="I407" s="11" t="str">
        <x:v>https://oversight.house.gov/letter/letter-to-sam-altman/altman-openai-letter-050826/</x:v>
      </x:c>
    </x:row>
    <x:row r="408" ht="34" customHeight="1">
      <x:c r="A408" s="9" t="str">
        <x:v>REF-0404</x:v>
      </x:c>
      <x:c r="B408" s="9" t="str">
        <x:v>Reuters: Altman counterparty investments, 13 May 2026</x:v>
      </x:c>
      <x:c r="C408" s="9" t="str">
        <x:v>www.reuters.com</x:v>
      </x:c>
      <x:c r="D408" s="9" t="str">
        <x:v>Reporting</x:v>
      </x:c>
      <x:c r="E408" s="9" t="str">
        <x:v>Checked in this edition</x:v>
      </x:c>
      <x:c r="F408" s="9" t="str">
        <x:v>N-08</x:v>
      </x:c>
      <x:c r="G408" s="9" t="str">
        <x:v>Public-source check for this edition</x:v>
      </x:c>
      <x:c r="H408" s="12" t="str">
        <x:f>IFERROR(HYPERLINK(I408,"Open source"),"Open source")</x:f>
        <x:v>Open source</x:v>
      </x:c>
      <x:c r="I408" s="11" t="str">
        <x:v>https://www.reuters.com/legal/government/openai-chief-altman-has-over-2-billion-stake-companies-that-dealt-with-openai-2026-05-13/</x:v>
      </x:c>
    </x:row>
    <x:row r="409" ht="39" customHeight="1">
      <x:c r="A409" s="9" t="str">
        <x:v>REF-0405</x:v>
      </x:c>
      <x:c r="B409" s="9" t="str">
        <x:v>Bartz v. Anthropic, final approval order, ECF 680</x:v>
      </x:c>
      <x:c r="C409" s="9" t="str">
        <x:v>law.justia.com</x:v>
      </x:c>
      <x:c r="D409" s="9" t="str">
        <x:v>Official instrument or record</x:v>
      </x:c>
      <x:c r="E409" s="9" t="str">
        <x:v>Checked in this edition</x:v>
      </x:c>
      <x:c r="F409" s="9" t="str">
        <x:v>N-09</x:v>
      </x:c>
      <x:c r="G409" s="9" t="str">
        <x:v>Public-source check for this edition</x:v>
      </x:c>
      <x:c r="H409" s="12" t="str">
        <x:f>IFERROR(HYPERLINK(I409,"Open source"),"Open source")</x:f>
        <x:v>Open source</x:v>
      </x:c>
      <x:c r="I409" s="11" t="str">
        <x:v>https://law.justia.com/cases/federal/district-courts/california/candce/4:2024cv05417/434709/680/</x:v>
      </x:c>
    </x:row>
    <x:row r="410" ht="39" customHeight="1">
      <x:c r="A410" s="9" t="str">
        <x:v>REF-0406</x:v>
      </x:c>
      <x:c r="B410" s="9" t="str">
        <x:v>Executive Order 14215, 18 February 2025</x:v>
      </x:c>
      <x:c r="C410" s="9" t="str">
        <x:v>www.whitehouse.gov</x:v>
      </x:c>
      <x:c r="D410" s="9" t="str">
        <x:v>Official instrument or record</x:v>
      </x:c>
      <x:c r="E410" s="9" t="str">
        <x:v>Checked in this edition</x:v>
      </x:c>
      <x:c r="F410" s="9" t="str">
        <x:v>N-12</x:v>
      </x:c>
      <x:c r="G410" s="9" t="str">
        <x:v>Public-source check for this edition</x:v>
      </x:c>
      <x:c r="H410" s="12" t="str">
        <x:f>IFERROR(HYPERLINK(I410,"Open source"),"Open source")</x:f>
        <x:v>Open source</x:v>
      </x:c>
      <x:c r="I410" s="11" t="str">
        <x:v>https://www.whitehouse.gov/presidential-actions/2025/02/ensuring-accountability-for-all-agencies/</x:v>
      </x:c>
    </x:row>
    <x:row r="411" ht="39" customHeight="1">
      <x:c r="A411" s="9" t="str">
        <x:v>REF-0407</x:v>
      </x:c>
      <x:c r="B411" s="9" t="str">
        <x:v>Trump v. CASA, 27 June 2025</x:v>
      </x:c>
      <x:c r="C411" s="9" t="str">
        <x:v>www.supremecourt.gov</x:v>
      </x:c>
      <x:c r="D411" s="9" t="str">
        <x:v>Official instrument or record</x:v>
      </x:c>
      <x:c r="E411" s="9" t="str">
        <x:v>Checked in this edition</x:v>
      </x:c>
      <x:c r="F411" s="9" t="str">
        <x:v>N-13</x:v>
      </x:c>
      <x:c r="G411" s="9" t="str">
        <x:v>Public-source check for this edition</x:v>
      </x:c>
      <x:c r="H411" s="12" t="str">
        <x:f>IFERROR(HYPERLINK(I411,"Open source"),"Open source")</x:f>
        <x:v>Open source</x:v>
      </x:c>
      <x:c r="I411" s="11" t="str">
        <x:v>https://www.supremecourt.gov/opinions/24pdf/24a884_8n59.pdf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087dbcc07094f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2" hidden="0" customWidth="1"/>
    <x:col min="3" max="3" width="14" hidden="0" customWidth="1"/>
    <x:col min="4" max="4" width="70" hidden="0" customWidth="1"/>
    <x:col min="5" max="5" width="16" hidden="0" customWidth="1"/>
    <x:col min="6" max="6" width="90" hidden="0" customWidth="1"/>
  </x:cols>
  <x:sheetData>
    <x:row r="1" ht="38" customHeight="1">
      <x:c r="A1" s="4" t="str">
        <x:v>BIBLIOGRAPHY · CITATIONS WITHOUT FULL URL COVERAGE</x:v>
      </x:c>
      <x:c r="B1" s="4"/>
      <x:c r="C1" s="4"/>
      <x:c r="D1" s="4"/>
      <x:c r="E1" s="4"/>
      <x:c r="F1" s="4"/>
    </x:row>
    <x:row r="2" ht="30" customHeight="1">
      <x:c r="A2" s="6" t="str">
        <x:v>Full scholarly entries and the Conduct Docket source spine are preserved as citations. Publication details are inherited unless the catalog records a check.</x:v>
      </x:c>
      <x:c r="B2" s="2"/>
      <x:c r="C2" s="2"/>
      <x:c r="D2" s="2"/>
      <x:c r="E2" s="2"/>
      <x:c r="F2" s="2"/>
    </x:row>
    <x:row r="3" ht="30" customHeight="1">
      <x:c r="A3" s="2"/>
      <x:c r="B3" s="2"/>
      <x:c r="C3" s="2"/>
      <x:c r="D3" s="2"/>
      <x:c r="E3" s="2"/>
      <x:c r="F3" s="2"/>
    </x:row>
    <x:row r="4" ht="30" customHeight="1">
      <x:c r="A4" s="8" t="str">
        <x:v>ID</x:v>
      </x:c>
      <x:c r="B4" s="8" t="str">
        <x:v>Citation as retained</x:v>
      </x:c>
      <x:c r="C4" s="8" t="str">
        <x:v>Origin</x:v>
      </x:c>
      <x:c r="D4" s="8" t="str">
        <x:v>Recovery status</x:v>
      </x:c>
      <x:c r="E4" s="8" t="str">
        <x:v>Source</x:v>
      </x:c>
      <x:c r="F4" s="8" t="str">
        <x:v>Raw URL</x:v>
      </x:c>
    </x:row>
    <x:row r="5" ht="39" customHeight="1">
      <x:c r="A5" s="9" t="str">
        <x:v>BIB-001</x:v>
      </x:c>
      <x:c r="B5" s="9" t="str">
        <x:v>Alexander, Philip S., and Geza Vermes. Qumran Cave 4.XIX: Serekh Ha-Yaḥad and Two Related Texts. DJD 26. Oxford: Clarendon, 1998.</x:v>
      </x:c>
      <x:c r="C5" s="9" t="str">
        <x:v>COR-019</x:v>
      </x:c>
      <x:c r="D5" s="9" t="str">
        <x:v>Citation recovered as written; bibliographic details not independently verified in this edition.</x:v>
      </x:c>
      <x:c r="E5" s="12" t="str">
        <x:f>IFERROR(HYPERLINK(F5,"Open record"),"Open record")</x:f>
        <x:v>Open record</x:v>
      </x:c>
      <x:c r="F5" s="11" t="str">
        <x:v>https://docs.google.com/document/d/1W4IefNvWQhBR7swoCb_tj7QbaW_skIRfzKLXWDgR5pQ/edit?usp=drivesdk</x:v>
      </x:c>
    </x:row>
    <x:row r="6" ht="39" customHeight="1">
      <x:c r="A6" s="9" t="str">
        <x:v>BIB-002</x:v>
      </x:c>
      <x:c r="B6" s="9" t="str">
        <x:v>Drawnel, Henryk. The Aramaic Astronomical Book (4Q208–4Q211) from Qumran: Text, Translation, and Commentary. Oxford: Oxford University Press, 2011.</x:v>
      </x:c>
      <x:c r="C6" s="9" t="str">
        <x:v>COR-019</x:v>
      </x:c>
      <x:c r="D6" s="9" t="str">
        <x:v>Citation recovered as written; bibliographic details not independently verified in this edition.</x:v>
      </x:c>
      <x:c r="E6" s="12" t="str">
        <x:f>IFERROR(HYPERLINK(F6,"Open record"),"Open record")</x:f>
        <x:v>Open record</x:v>
      </x:c>
      <x:c r="F6" s="11" t="str">
        <x:v>https://docs.google.com/document/d/1W4IefNvWQhBR7swoCb_tj7QbaW_skIRfzKLXWDgR5pQ/edit?usp=drivesdk</x:v>
      </x:c>
    </x:row>
    <x:row r="7" ht="39" customHeight="1">
      <x:c r="A7" s="9" t="str">
        <x:v>BIB-003</x:v>
      </x:c>
      <x:c r="B7" s="9" t="str">
        <x:v>Edgar, C. C. Zenon Papyri. Catalogue général des antiquités égyptiennes du Musée du Caire. 4 vols. Cairo: Institut français d’archéologie orientale, 1925–40.</x:v>
      </x:c>
      <x:c r="C7" s="9" t="str">
        <x:v>COR-019</x:v>
      </x:c>
      <x:c r="D7" s="9" t="str">
        <x:v>Citation recovered as written; bibliographic details not independently verified in this edition.</x:v>
      </x:c>
      <x:c r="E7" s="12" t="str">
        <x:f>IFERROR(HYPERLINK(F7,"Open record"),"Open record")</x:f>
        <x:v>Open record</x:v>
      </x:c>
      <x:c r="F7" s="11" t="str">
        <x:v>https://docs.google.com/document/d/1W4IefNvWQhBR7swoCb_tj7QbaW_skIRfzKLXWDgR5pQ/edit?usp=drivesdk</x:v>
      </x:c>
    </x:row>
    <x:row r="8" ht="39" customHeight="1">
      <x:c r="A8" s="9" t="str">
        <x:v>BIB-004</x:v>
      </x:c>
      <x:c r="B8" s="9" t="str">
        <x:v>García Martínez, Florentino, and Eibert J. C. Tigchelaar, eds. The Dead Sea Scrolls Study Edition. 2 vols. Leiden: Brill, 1997–98.</x:v>
      </x:c>
      <x:c r="C8" s="9" t="str">
        <x:v>COR-019</x:v>
      </x:c>
      <x:c r="D8" s="9" t="str">
        <x:v>Citation recovered as written; bibliographic details not independently verified in this edition.</x:v>
      </x:c>
      <x:c r="E8" s="12" t="str">
        <x:f>IFERROR(HYPERLINK(F8,"Open record"),"Open record")</x:f>
        <x:v>Open record</x:v>
      </x:c>
      <x:c r="F8" s="11" t="str">
        <x:v>https://docs.google.com/document/d/1W4IefNvWQhBR7swoCb_tj7QbaW_skIRfzKLXWDgR5pQ/edit?usp=drivesdk</x:v>
      </x:c>
    </x:row>
    <x:row r="9" ht="39" customHeight="1">
      <x:c r="A9" s="9" t="str">
        <x:v>BIB-005</x:v>
      </x:c>
      <x:c r="B9" s="9" t="str">
        <x:v>Greenfield, Jonas C., Michael E. Stone, and Esther Eshel. The Aramaic Levi Document: Edition, Translation, Commentary. SVTP 19. Leiden: Brill, 2004.</x:v>
      </x:c>
      <x:c r="C9" s="9" t="str">
        <x:v>COR-019</x:v>
      </x:c>
      <x:c r="D9" s="9" t="str">
        <x:v>Citation recovered as written; bibliographic details not independently verified in this edition.</x:v>
      </x:c>
      <x:c r="E9" s="12" t="str">
        <x:f>IFERROR(HYPERLINK(F9,"Open record"),"Open record")</x:f>
        <x:v>Open record</x:v>
      </x:c>
      <x:c r="F9" s="11" t="str">
        <x:v>https://docs.google.com/document/d/1W4IefNvWQhBR7swoCb_tj7QbaW_skIRfzKLXWDgR5pQ/edit?usp=drivesdk</x:v>
      </x:c>
    </x:row>
    <x:row r="10" ht="39" customHeight="1">
      <x:c r="A10" s="9" t="str">
        <x:v>BIB-006</x:v>
      </x:c>
      <x:c r="B10" s="9" t="str">
        <x:v>Marcus, Ralph, trans. Josephus: Jewish Antiquities, Books XII–XIII. LCL 365. Cambridge, MA: Harvard University Press, 1943.</x:v>
      </x:c>
      <x:c r="C10" s="9" t="str">
        <x:v>COR-019</x:v>
      </x:c>
      <x:c r="D10" s="9" t="str">
        <x:v>Citation recovered as written; bibliographic details not independently verified in this edition.</x:v>
      </x:c>
      <x:c r="E10" s="12" t="str">
        <x:f>IFERROR(HYPERLINK(F10,"Open record"),"Open record")</x:f>
        <x:v>Open record</x:v>
      </x:c>
      <x:c r="F10" s="11" t="str">
        <x:v>https://docs.google.com/document/d/1W4IefNvWQhBR7swoCb_tj7QbaW_skIRfzKLXWDgR5pQ/edit?usp=drivesdk</x:v>
      </x:c>
    </x:row>
    <x:row r="11" ht="39" customHeight="1">
      <x:c r="A11" s="9" t="str">
        <x:v>BIB-007</x:v>
      </x:c>
      <x:c r="B11" s="9" t="str">
        <x:v>Milik, Józef T. The Books of Enoch: Aramaic Fragments of Qumrân Cave 4. Oxford: Clarendon, 1976.</x:v>
      </x:c>
      <x:c r="C11" s="9" t="str">
        <x:v>COR-019</x:v>
      </x:c>
      <x:c r="D11" s="9" t="str">
        <x:v>Citation recovered as written; bibliographic details not independently verified in this edition.</x:v>
      </x:c>
      <x:c r="E11" s="12" t="str">
        <x:f>IFERROR(HYPERLINK(F11,"Open record"),"Open record")</x:f>
        <x:v>Open record</x:v>
      </x:c>
      <x:c r="F11" s="11" t="str">
        <x:v>https://docs.google.com/document/d/1W4IefNvWQhBR7swoCb_tj7QbaW_skIRfzKLXWDgR5pQ/edit?usp=drivesdk</x:v>
      </x:c>
    </x:row>
    <x:row r="12" ht="39" customHeight="1">
      <x:c r="A12" s="9" t="str">
        <x:v>BIB-008</x:v>
      </x:c>
      <x:c r="B12" s="9" t="str">
        <x:v>Qimron, Elisha, and John Strugnell. Qumran Cave 4.V: Miqṣat Maʿaśe Ha-Torah. DJD 10. Oxford: Clarendon, 1994.</x:v>
      </x:c>
      <x:c r="C12" s="9" t="str">
        <x:v>COR-019</x:v>
      </x:c>
      <x:c r="D12" s="9" t="str">
        <x:v>Citation recovered as written; bibliographic details not independently verified in this edition.</x:v>
      </x:c>
      <x:c r="E12" s="12" t="str">
        <x:f>IFERROR(HYPERLINK(F12,"Open record"),"Open record")</x:f>
        <x:v>Open record</x:v>
      </x:c>
      <x:c r="F12" s="11" t="str">
        <x:v>https://docs.google.com/document/d/1W4IefNvWQhBR7swoCb_tj7QbaW_skIRfzKLXWDgR5pQ/edit?usp=drivesdk</x:v>
      </x:c>
    </x:row>
    <x:row r="13" ht="39" customHeight="1">
      <x:c r="A13" s="9" t="str">
        <x:v>BIB-009</x:v>
      </x:c>
      <x:c r="B13" s="9" t="str">
        <x:v>Askin, Lindsey. “Beyond Encomium or Eulogy: The Role of Simon the High Priest in Ben Sira.” Journal of Ancient Judaism 9 (2018): 344–65. doi:10.13109/jaju.2018.9.3.344.</x:v>
      </x:c>
      <x:c r="C13" s="9" t="str">
        <x:v>COR-019</x:v>
      </x:c>
      <x:c r="D13" s="9" t="str">
        <x:v>Citation recovered as written; bibliographic details not independently verified in this edition.</x:v>
      </x:c>
      <x:c r="E13" s="12" t="str">
        <x:f>IFERROR(HYPERLINK(F13,"Open record"),"Open record")</x:f>
        <x:v>Open record</x:v>
      </x:c>
      <x:c r="F13" s="11" t="str">
        <x:v>https://docs.google.com/document/d/1W4IefNvWQhBR7swoCb_tj7QbaW_skIRfzKLXWDgR5pQ/edit?usp=drivesdk</x:v>
      </x:c>
    </x:row>
    <x:row r="14" ht="39" customHeight="1">
      <x:c r="A14" s="9" t="str">
        <x:v>BIB-010</x:v>
      </x:c>
      <x:c r="B14" s="9" t="str">
        <x:v>Ben-Dov, Jonathan. Head of All Years: Astronomy and Calendars at Qumran in Their Ancient Context. Leiden: Brill, 2008.</x:v>
      </x:c>
      <x:c r="C14" s="9" t="str">
        <x:v>COR-019</x:v>
      </x:c>
      <x:c r="D14" s="9" t="str">
        <x:v>Citation recovered as written; bibliographic details not independently verified in this edition.</x:v>
      </x:c>
      <x:c r="E14" s="12" t="str">
        <x:f>IFERROR(HYPERLINK(F14,"Open record"),"Open record")</x:f>
        <x:v>Open record</x:v>
      </x:c>
      <x:c r="F14" s="11" t="str">
        <x:v>https://docs.google.com/document/d/1W4IefNvWQhBR7swoCb_tj7QbaW_skIRfzKLXWDgR5pQ/edit?usp=drivesdk</x:v>
      </x:c>
    </x:row>
    <x:row r="15" ht="39" customHeight="1">
      <x:c r="A15" s="9" t="str">
        <x:v>BIB-011</x:v>
      </x:c>
      <x:c r="B15" s="9" t="str">
        <x:v>Dhont, Marieke. “The Use of Greek in Palestine: Eupolemus as a Case Study.” Palestine Exploration Quarterly 154 (2022): 204–20. doi:10.1080/00310328.2022.2050074.</x:v>
      </x:c>
      <x:c r="C15" s="9" t="str">
        <x:v>COR-019</x:v>
      </x:c>
      <x:c r="D15" s="9" t="str">
        <x:v>Citation recovered as written; bibliographic details not independently verified in this edition.</x:v>
      </x:c>
      <x:c r="E15" s="12" t="str">
        <x:f>IFERROR(HYPERLINK(F15,"Open record"),"Open record")</x:f>
        <x:v>Open record</x:v>
      </x:c>
      <x:c r="F15" s="11" t="str">
        <x:v>https://docs.google.com/document/d/1W4IefNvWQhBR7swoCb_tj7QbaW_skIRfzKLXWDgR5pQ/edit?usp=drivesdk</x:v>
      </x:c>
    </x:row>
    <x:row r="16" ht="54" customHeight="1">
      <x:c r="A16" s="9" t="str">
        <x:v>BIB-012</x:v>
      </x:c>
      <x:c r="B16" s="9" t="str">
        <x:v>Eckhardt, Benedikt. “The ‘Charter for Jerusalem’ and the Seleucid Conquest of the Southern Levant: Problems of Authenticity and Exemplarity.” Journal of Ancient Judaism 15 (2024): 181–207. doi:10.30965/21967954-bja10058.</x:v>
      </x:c>
      <x:c r="C16" s="9" t="str">
        <x:v>COR-019</x:v>
      </x:c>
      <x:c r="D16" s="9" t="str">
        <x:v>Citation recovered as written; bibliographic details not independently verified in this edition.</x:v>
      </x:c>
      <x:c r="E16" s="12" t="str">
        <x:f>IFERROR(HYPERLINK(F16,"Open record"),"Open record")</x:f>
        <x:v>Open record</x:v>
      </x:c>
      <x:c r="F16" s="11" t="str">
        <x:v>https://docs.google.com/document/d/1W4IefNvWQhBR7swoCb_tj7QbaW_skIRfzKLXWDgR5pQ/edit?usp=drivesdk</x:v>
      </x:c>
    </x:row>
    <x:row r="17" ht="39" customHeight="1">
      <x:c r="A17" s="9" t="str">
        <x:v>BIB-013</x:v>
      </x:c>
      <x:c r="B17" s="9" t="str">
        <x:v>Feldman, Liane M. “Sanitized Sacrifice in Aramaic Levi’s Law of the Priesthood.” Journal of Ancient Judaism 11 (2020): 343–68. doi:10.30965/21967954-12340013.</x:v>
      </x:c>
      <x:c r="C17" s="9" t="str">
        <x:v>COR-019</x:v>
      </x:c>
      <x:c r="D17" s="9" t="str">
        <x:v>Citation recovered as written; bibliographic details not independently verified in this edition.</x:v>
      </x:c>
      <x:c r="E17" s="12" t="str">
        <x:f>IFERROR(HYPERLINK(F17,"Open record"),"Open record")</x:f>
        <x:v>Open record</x:v>
      </x:c>
      <x:c r="F17" s="11" t="str">
        <x:v>https://docs.google.com/document/d/1W4IefNvWQhBR7swoCb_tj7QbaW_skIRfzKLXWDgR5pQ/edit?usp=drivesdk</x:v>
      </x:c>
    </x:row>
    <x:row r="18" ht="54" customHeight="1">
      <x:c r="A18" s="9" t="str">
        <x:v>BIB-014</x:v>
      </x:c>
      <x:c r="B18" s="9" t="str">
        <x:v>Gera, Dov. “On the Credibility of the History of the Tobiads (Josephus, Antiquities 12.156–222, 228–236).” Pages 21–38 in Greece and Rome in Eretz Israel: Collected Essays. Jerusalem: Yad Izhak Ben-Zvi, 1990.</x:v>
      </x:c>
      <x:c r="C18" s="9" t="str">
        <x:v>COR-019</x:v>
      </x:c>
      <x:c r="D18" s="9" t="str">
        <x:v>Citation recovered as written; bibliographic details not independently verified in this edition.</x:v>
      </x:c>
      <x:c r="E18" s="12" t="str">
        <x:f>IFERROR(HYPERLINK(F18,"Open record"),"Open record")</x:f>
        <x:v>Open record</x:v>
      </x:c>
      <x:c r="F18" s="11" t="str">
        <x:v>https://docs.google.com/document/d/1W4IefNvWQhBR7swoCb_tj7QbaW_skIRfzKLXWDgR5pQ/edit?usp=drivesdk</x:v>
      </x:c>
    </x:row>
    <x:row r="19" ht="39" customHeight="1">
      <x:c r="A19" s="9" t="str">
        <x:v>BIB-015</x:v>
      </x:c>
      <x:c r="B19" s="9" t="str">
        <x:v>Goff, Matthew J. “Ben Sira and the Giants of the Land: A Note on Ben Sira 16:7.” Journal of Biblical Literature 129 (2010): 645–55.</x:v>
      </x:c>
      <x:c r="C19" s="9" t="str">
        <x:v>COR-019</x:v>
      </x:c>
      <x:c r="D19" s="9" t="str">
        <x:v>Citation recovered as written; bibliographic details not independently verified in this edition.</x:v>
      </x:c>
      <x:c r="E19" s="12" t="str">
        <x:f>IFERROR(HYPERLINK(F19,"Open record"),"Open record")</x:f>
        <x:v>Open record</x:v>
      </x:c>
      <x:c r="F19" s="11" t="str">
        <x:v>https://docs.google.com/document/d/1W4IefNvWQhBR7swoCb_tj7QbaW_skIRfzKLXWDgR5pQ/edit?usp=drivesdk</x:v>
      </x:c>
    </x:row>
    <x:row r="20" ht="39" customHeight="1">
      <x:c r="A20" s="9" t="str">
        <x:v>BIB-016</x:v>
      </x:c>
      <x:c r="B20" s="9" t="str">
        <x:v>Hempel, Charlotte. The Community Rules from Qumran: A Commentary. Tübingen: Mohr Siebeck, 2020.</x:v>
      </x:c>
      <x:c r="C20" s="9" t="str">
        <x:v>COR-019</x:v>
      </x:c>
      <x:c r="D20" s="9" t="str">
        <x:v>Citation recovered as written; bibliographic details not independently verified in this edition.</x:v>
      </x:c>
      <x:c r="E20" s="12" t="str">
        <x:f>IFERROR(HYPERLINK(F20,"Open record"),"Open record")</x:f>
        <x:v>Open record</x:v>
      </x:c>
      <x:c r="F20" s="11" t="str">
        <x:v>https://docs.google.com/document/d/1W4IefNvWQhBR7swoCb_tj7QbaW_skIRfzKLXWDgR5pQ/edit?usp=drivesdk</x:v>
      </x:c>
    </x:row>
    <x:row r="21" ht="39" customHeight="1">
      <x:c r="A21" s="9" t="str">
        <x:v>BIB-017</x:v>
      </x:c>
      <x:c r="B21" s="9" t="str">
        <x:v>Honigman, Sylvie. “Antiochus III’s Decree for Jerusalem and the Persian Decrees in Ezra-Nehemiah and LXX 1 Esdras.” Journal for the Study of Judaism 52 (2021): 303–29. doi:10.1163/15700631-BJA10017.</x:v>
      </x:c>
      <x:c r="C21" s="9" t="str">
        <x:v>COR-019</x:v>
      </x:c>
      <x:c r="D21" s="9" t="str">
        <x:v>Citation recovered as written; bibliographic details not independently verified in this edition.</x:v>
      </x:c>
      <x:c r="E21" s="12" t="str">
        <x:f>IFERROR(HYPERLINK(F21,"Open record"),"Open record")</x:f>
        <x:v>Open record</x:v>
      </x:c>
      <x:c r="F21" s="11" t="str">
        <x:v>https://docs.google.com/document/d/1W4IefNvWQhBR7swoCb_tj7QbaW_skIRfzKLXWDgR5pQ/edit?usp=drivesdk</x:v>
      </x:c>
    </x:row>
    <x:row r="22" ht="39" customHeight="1">
      <x:c r="A22" s="9" t="str">
        <x:v>BIB-018</x:v>
      </x:c>
      <x:c r="B22" s="9" t="str">
        <x:v>Jones, Robert E. “A History of Research on the Aramaic Dead Sea Scrolls.” Currents in Biblical Research 21 (2023): 242–94. doi:10.1177/1476993X231185789.</x:v>
      </x:c>
      <x:c r="C22" s="9" t="str">
        <x:v>COR-019</x:v>
      </x:c>
      <x:c r="D22" s="9" t="str">
        <x:v>Citation recovered as written; bibliographic details not independently verified in this edition.</x:v>
      </x:c>
      <x:c r="E22" s="12" t="str">
        <x:f>IFERROR(HYPERLINK(F22,"Open record"),"Open record")</x:f>
        <x:v>Open record</x:v>
      </x:c>
      <x:c r="F22" s="11" t="str">
        <x:v>https://docs.google.com/document/d/1W4IefNvWQhBR7swoCb_tj7QbaW_skIRfzKLXWDgR5pQ/edit?usp=drivesdk</x:v>
      </x:c>
    </x:row>
    <x:row r="23" ht="39" customHeight="1">
      <x:c r="A23" s="9" t="str">
        <x:v>BIB-019</x:v>
      </x:c>
      <x:c r="B23" s="9" t="str">
        <x:v>Jones, Robert E. Priesthood, Cult, and Temple in the Aramaic Scrolls from Qumran: Analyzing a Pre-Hasmonean Jewish Literary Tradition. STDJ 145. Leiden: Brill, 2023.</x:v>
      </x:c>
      <x:c r="C23" s="9" t="str">
        <x:v>COR-019</x:v>
      </x:c>
      <x:c r="D23" s="9" t="str">
        <x:v>Citation recovered as written; bibliographic details not independently verified in this edition.</x:v>
      </x:c>
      <x:c r="E23" s="12" t="str">
        <x:f>IFERROR(HYPERLINK(F23,"Open record"),"Open record")</x:f>
        <x:v>Open record</x:v>
      </x:c>
      <x:c r="F23" s="11" t="str">
        <x:v>https://docs.google.com/document/d/1W4IefNvWQhBR7swoCb_tj7QbaW_skIRfzKLXWDgR5pQ/edit?usp=drivesdk</x:v>
      </x:c>
    </x:row>
    <x:row r="24" ht="39" customHeight="1">
      <x:c r="A24" s="9" t="str">
        <x:v>BIB-020</x:v>
      </x:c>
      <x:c r="B24" s="9" t="str">
        <x:v>Metso, Sarianna. The Textual Development of the Qumran Community Rule. STDJ 21. Leiden: Brill, 1997.</x:v>
      </x:c>
      <x:c r="C24" s="9" t="str">
        <x:v>COR-019</x:v>
      </x:c>
      <x:c r="D24" s="9" t="str">
        <x:v>Citation recovered as written; bibliographic details not independently verified in this edition.</x:v>
      </x:c>
      <x:c r="E24" s="12" t="str">
        <x:f>IFERROR(HYPERLINK(F24,"Open record"),"Open record")</x:f>
        <x:v>Open record</x:v>
      </x:c>
      <x:c r="F24" s="11" t="str">
        <x:v>https://docs.google.com/document/d/1W4IefNvWQhBR7swoCb_tj7QbaW_skIRfzKLXWDgR5pQ/edit?usp=drivesdk</x:v>
      </x:c>
    </x:row>
    <x:row r="25" ht="39" customHeight="1">
      <x:c r="A25" s="9" t="str">
        <x:v>BIB-021</x:v>
      </x:c>
      <x:c r="B25" s="9" t="str">
        <x:v>Olyan, Saul M. “Ben Sira’s Relationship to the Priesthood.” Harvard Theological Review 80 (1987): 261–86.</x:v>
      </x:c>
      <x:c r="C25" s="9" t="str">
        <x:v>COR-019</x:v>
      </x:c>
      <x:c r="D25" s="9" t="str">
        <x:v>Citation recovered as written; bibliographic details not independently verified in this edition.</x:v>
      </x:c>
      <x:c r="E25" s="12" t="str">
        <x:f>IFERROR(HYPERLINK(F25,"Open record"),"Open record")</x:f>
        <x:v>Open record</x:v>
      </x:c>
      <x:c r="F25" s="11" t="str">
        <x:v>https://docs.google.com/document/d/1W4IefNvWQhBR7swoCb_tj7QbaW_skIRfzKLXWDgR5pQ/edit?usp=drivesdk</x:v>
      </x:c>
    </x:row>
    <x:row r="26" ht="39" customHeight="1">
      <x:c r="A26" s="9" t="str">
        <x:v>BIB-022</x:v>
      </x:c>
      <x:c r="B26" s="9" t="str">
        <x:v>Perrin, Andrew B. Horizons of Ancestral Inheritance: Commentary on the Levi, Qahat, and Amram Qumran Aramaic Traditions. LSTS 100. New York: T&amp;T Clark, 2022.</x:v>
      </x:c>
      <x:c r="C26" s="9" t="str">
        <x:v>COR-019</x:v>
      </x:c>
      <x:c r="D26" s="9" t="str">
        <x:v>Citation recovered as written; bibliographic details not independently verified in this edition.</x:v>
      </x:c>
      <x:c r="E26" s="12" t="str">
        <x:f>IFERROR(HYPERLINK(F26,"Open record"),"Open record")</x:f>
        <x:v>Open record</x:v>
      </x:c>
      <x:c r="F26" s="11" t="str">
        <x:v>https://docs.google.com/document/d/1W4IefNvWQhBR7swoCb_tj7QbaW_skIRfzKLXWDgR5pQ/edit?usp=drivesdk</x:v>
      </x:c>
    </x:row>
    <x:row r="27" ht="54" customHeight="1">
      <x:c r="A27" s="9" t="str">
        <x:v>BIB-023</x:v>
      </x:c>
      <x:c r="B27" s="9" t="str">
        <x:v>Portier-Young, Anathea E. “Archive, Architecture, and the Politics of Memory in Josephus’s Jewish Antiquities 12 and Antiochus III’s Edicts for Jerusalem.” Journal of Ancient Judaism 15 (2024): 295–326. doi:10.30965/21967954-bja10060.</x:v>
      </x:c>
      <x:c r="C27" s="9" t="str">
        <x:v>COR-019</x:v>
      </x:c>
      <x:c r="D27" s="9" t="str">
        <x:v>Citation recovered as written; bibliographic details not independently verified in this edition.</x:v>
      </x:c>
      <x:c r="E27" s="12" t="str">
        <x:f>IFERROR(HYPERLINK(F27,"Open record"),"Open record")</x:f>
        <x:v>Open record</x:v>
      </x:c>
      <x:c r="F27" s="11" t="str">
        <x:v>https://docs.google.com/document/d/1W4IefNvWQhBR7swoCb_tj7QbaW_skIRfzKLXWDgR5pQ/edit?usp=drivesdk</x:v>
      </x:c>
    </x:row>
    <x:row r="28" ht="39" customHeight="1">
      <x:c r="A28" s="9" t="str">
        <x:v>BIB-024</x:v>
      </x:c>
      <x:c r="B28" s="9" t="str">
        <x:v>Reed, Annette Yoshiko. Fallen Angels and the History of Judaism and Christianity: The Reception of Enochic Literature. Cambridge: Cambridge University Press, 2005.</x:v>
      </x:c>
      <x:c r="C28" s="9" t="str">
        <x:v>COR-019</x:v>
      </x:c>
      <x:c r="D28" s="9" t="str">
        <x:v>Citation recovered as written; bibliographic details not independently verified in this edition.</x:v>
      </x:c>
      <x:c r="E28" s="12" t="str">
        <x:f>IFERROR(HYPERLINK(F28,"Open record"),"Open record")</x:f>
        <x:v>Open record</x:v>
      </x:c>
      <x:c r="F28" s="11" t="str">
        <x:v>https://docs.google.com/document/d/1W4IefNvWQhBR7swoCb_tj7QbaW_skIRfzKLXWDgR5pQ/edit?usp=drivesdk</x:v>
      </x:c>
    </x:row>
    <x:row r="29" ht="39" customHeight="1">
      <x:c r="A29" s="9" t="str">
        <x:v>BIB-025</x:v>
      </x:c>
      <x:c r="B29" s="9" t="str">
        <x:v>von Weissenberg, Hanne. 4QMMT: Reevaluating the Text, the Function, and the Meaning of the Epilogue. STDJ 82. Leiden: Brill, 2009.</x:v>
      </x:c>
      <x:c r="C29" s="9" t="str">
        <x:v>COR-019</x:v>
      </x:c>
      <x:c r="D29" s="9" t="str">
        <x:v>Citation recovered as written; bibliographic details not independently verified in this edition.</x:v>
      </x:c>
      <x:c r="E29" s="12" t="str">
        <x:f>IFERROR(HYPERLINK(F29,"Open record"),"Open record")</x:f>
        <x:v>Open record</x:v>
      </x:c>
      <x:c r="F29" s="11" t="str">
        <x:v>https://docs.google.com/document/d/1W4IefNvWQhBR7swoCb_tj7QbaW_skIRfzKLXWDgR5pQ/edit?usp=drivesdk</x:v>
      </x:c>
    </x:row>
    <x:row r="30" ht="54" customHeight="1">
      <x:c r="A30" s="9" t="str">
        <x:v>BIB-026</x:v>
      </x:c>
      <x:c r="B30" s="9" t="str">
        <x:v>Wearne, Gareth. “4QMMT: A Letter to (Not from) the Yaḥad.” Pages 99–126 in Law, Literature, and Society in Legal Texts from Qumran. Edited by Jutta Jokiranta and Molly M. Zahn. STDJ 128. Leiden: Brill, 2019.</x:v>
      </x:c>
      <x:c r="C30" s="9" t="str">
        <x:v>COR-019</x:v>
      </x:c>
      <x:c r="D30" s="9" t="str">
        <x:v>Citation recovered as written; bibliographic details not independently verified in this edition.</x:v>
      </x:c>
      <x:c r="E30" s="12" t="str">
        <x:f>IFERROR(HYPERLINK(F30,"Open record"),"Open record")</x:f>
        <x:v>Open record</x:v>
      </x:c>
      <x:c r="F30" s="11" t="str">
        <x:v>https://docs.google.com/document/d/1W4IefNvWQhBR7swoCb_tj7QbaW_skIRfzKLXWDgR5pQ/edit?usp=drivesdk</x:v>
      </x:c>
    </x:row>
    <x:row r="31" ht="54" customHeight="1">
      <x:c r="A31" s="9" t="str">
        <x:v>BIB-027</x:v>
      </x:c>
      <x:c r="B31" s="9" t="str">
        <x:v>Wright, Benjamin G., III. “‘Fear the Lord and Honor the Priest’: Ben Sira as Defender of the Jerusalem Priesthood.” Pages 189–222 in The Book of Ben Sira in Modern Research. Edited by Pancratius C. Beentjes. BZAW 255. Berlin: de Gruyter, 1997.</x:v>
      </x:c>
      <x:c r="C31" s="9" t="str">
        <x:v>COR-019</x:v>
      </x:c>
      <x:c r="D31" s="9" t="str">
        <x:v>Citation recovered as written; bibliographic details not independently verified in this edition.</x:v>
      </x:c>
      <x:c r="E31" s="12" t="str">
        <x:f>IFERROR(HYPERLINK(F31,"Open record"),"Open record")</x:f>
        <x:v>Open record</x:v>
      </x:c>
      <x:c r="F31" s="11" t="str">
        <x:v>https://docs.google.com/document/d/1W4IefNvWQhBR7swoCb_tj7QbaW_skIRfzKLXWDgR5pQ/edit?usp=drivesdk</x:v>
      </x:c>
    </x:row>
    <x:row r="32" ht="39" customHeight="1">
      <x:c r="A32" s="9" t="str">
        <x:v>BIB-028</x:v>
      </x:c>
      <x:c r="B32" s="9" t="str">
        <x:v>Aguilar &amp; Bracy (EyesOnOpenAI), Fortune, 22 July 2026 — Class N stock, board control, SEC letter, CA AG investigation, valuation gap. Interested party — flag.</x:v>
      </x:c>
      <x:c r="C32" s="9" t="str">
        <x:v>COR-061</x:v>
      </x:c>
      <x:c r="D32" s="9" t="str">
        <x:v>Citation recovered as written; bibliographic details not independently verified in this edition.</x:v>
      </x:c>
      <x:c r="E32" s="12" t="str">
        <x:f>IFERROR(HYPERLINK(F32,"Open record"),"Open record")</x:f>
        <x:v>Open record</x:v>
      </x:c>
      <x:c r="F32" s="11" t="str">
        <x:v>sandbox:/workspace/scratch/f26806cbdc5e/sources/library/humans/CONDUCT_DOCKET_TECH_ELITE_AUDIT_v2-1.md</x:v>
      </x:c>
    </x:row>
    <x:row r="33" ht="39" customHeight="1">
      <x:c r="A33" s="9" t="str">
        <x:v>BIB-029</x:v>
      </x:c>
      <x:c r="B33" s="9" t="str">
        <x:v>OpenAI, "Built to benefit everyone," recapitalization announcement.</x:v>
      </x:c>
      <x:c r="C33" s="9" t="str">
        <x:v>COR-061</x:v>
      </x:c>
      <x:c r="D33" s="9" t="str">
        <x:v>Citation recovered as written; bibliographic details not independently verified in this edition.</x:v>
      </x:c>
      <x:c r="E33" s="12" t="str">
        <x:f>IFERROR(HYPERLINK(F33,"Open record"),"Open record")</x:f>
        <x:v>Open record</x:v>
      </x:c>
      <x:c r="F33" s="11" t="str">
        <x:v>sandbox:/workspace/scratch/f26806cbdc5e/sources/library/humans/CONDUCT_DOCKET_TECH_ELITE_AUDIT_v2-1.md</x:v>
      </x:c>
    </x:row>
    <x:row r="34" ht="39" customHeight="1">
      <x:c r="A34" s="9" t="str">
        <x:v>BIB-030</x:v>
      </x:c>
      <x:c r="B34" s="9" t="str">
        <x:v>MOU between OpenAI and the California AG re: Notice of Conditions of Non-Objection, executed 27 October 2025 (oag.ca.gov).</x:v>
      </x:c>
      <x:c r="C34" s="9" t="str">
        <x:v>COR-061</x:v>
      </x:c>
      <x:c r="D34" s="9" t="str">
        <x:v>Citation recovered as written; bibliographic details not independently verified in this edition.</x:v>
      </x:c>
      <x:c r="E34" s="12" t="str">
        <x:f>IFERROR(HYPERLINK(F34,"Open record"),"Open record")</x:f>
        <x:v>Open record</x:v>
      </x:c>
      <x:c r="F34" s="11" t="str">
        <x:v>sandbox:/workspace/scratch/f26806cbdc5e/sources/library/humans/CONDUCT_DOCKET_TECH_ELITE_AUDIT_v2-1.md</x:v>
      </x:c>
    </x:row>
    <x:row r="35" ht="39" customHeight="1">
      <x:c r="A35" s="9" t="str">
        <x:v>BIB-031</x:v>
      </x:c>
      <x:c r="B35" s="9" t="str">
        <x:v>The Conversation, 13 Feb 2026 — removal of "safely"; PBC board discretion.</x:v>
      </x:c>
      <x:c r="C35" s="9" t="str">
        <x:v>COR-061</x:v>
      </x:c>
      <x:c r="D35" s="9" t="str">
        <x:v>Citation recovered as written; bibliographic details not independently verified in this edition.</x:v>
      </x:c>
      <x:c r="E35" s="12" t="str">
        <x:f>IFERROR(HYPERLINK(F35,"Open record"),"Open record")</x:f>
        <x:v>Open record</x:v>
      </x:c>
      <x:c r="F35" s="11" t="str">
        <x:v>sandbox:/workspace/scratch/f26806cbdc5e/sources/library/humans/CONDUCT_DOCKET_TECH_ELITE_AUDIT_v2-1.md</x:v>
      </x:c>
    </x:row>
    <x:row r="36" ht="39" customHeight="1">
      <x:c r="A36" s="9" t="str">
        <x:v>BIB-032</x:v>
      </x:c>
      <x:c r="B36" s="9" t="str">
        <x:v>Forbes (Durkee), 12 May 2026 — Altman testimony, House Oversight letter, six-AG letter to SEC.</x:v>
      </x:c>
      <x:c r="C36" s="9" t="str">
        <x:v>COR-061</x:v>
      </x:c>
      <x:c r="D36" s="9" t="str">
        <x:v>Citation recovered as written; bibliographic details not independently verified in this edition.</x:v>
      </x:c>
      <x:c r="E36" s="12" t="str">
        <x:f>IFERROR(HYPERLINK(F36,"Open record"),"Open record")</x:f>
        <x:v>Open record</x:v>
      </x:c>
      <x:c r="F36" s="11" t="str">
        <x:v>sandbox:/workspace/scratch/f26806cbdc5e/sources/library/humans/CONDUCT_DOCKET_TECH_ELITE_AUDIT_v2-1.md</x:v>
      </x:c>
    </x:row>
    <x:row r="37" ht="39" customHeight="1">
      <x:c r="A37" s="9" t="str">
        <x:v>BIB-033</x:v>
      </x:c>
      <x:c r="B37" s="9" t="str">
        <x:v>Wall Street Journal, April–May 2026 — Helion, Stoke Space, portfolio scope. Primary reporting; obtain directly.</x:v>
      </x:c>
      <x:c r="C37" s="9" t="str">
        <x:v>COR-061</x:v>
      </x:c>
      <x:c r="D37" s="9" t="str">
        <x:v>Citation recovered as written; bibliographic details not independently verified in this edition.</x:v>
      </x:c>
      <x:c r="E37" s="12" t="str">
        <x:f>IFERROR(HYPERLINK(F37,"Open record"),"Open record")</x:f>
        <x:v>Open record</x:v>
      </x:c>
      <x:c r="F37" s="11" t="str">
        <x:v>sandbox:/workspace/scratch/f26806cbdc5e/sources/library/humans/CONDUCT_DOCKET_TECH_ELITE_AUDIT_v2-1.md</x:v>
      </x:c>
    </x:row>
    <x:row r="38" ht="39" customHeight="1">
      <x:c r="A38" s="9" t="str">
        <x:v>BIB-034</x:v>
      </x:c>
      <x:c r="B38" s="9" t="str">
        <x:v>The OpenAI Files — restructuring analysis. Interested party.</x:v>
      </x:c>
      <x:c r="C38" s="9" t="str">
        <x:v>COR-061</x:v>
      </x:c>
      <x:c r="D38" s="9" t="str">
        <x:v>Citation recovered as written; bibliographic details not independently verified in this edition.</x:v>
      </x:c>
      <x:c r="E38" s="12" t="str">
        <x:f>IFERROR(HYPERLINK(F38,"Open record"),"Open record")</x:f>
        <x:v>Open record</x:v>
      </x:c>
      <x:c r="F38" s="11" t="str">
        <x:v>sandbox:/workspace/scratch/f26806cbdc5e/sources/library/humans/CONDUCT_DOCKET_TECH_ELITE_AUDIT_v2-1.md</x:v>
      </x:c>
    </x:row>
    <x:row r="39" ht="39" customHeight="1">
      <x:c r="A39" s="9" t="str">
        <x:v>BIB-035</x:v>
      </x:c>
      <x:c r="B39" s="9" t="str">
        <x:v>The Hill, 3 Jan 2026 — USAspending contract totals.</x:v>
      </x:c>
      <x:c r="C39" s="9" t="str">
        <x:v>COR-061</x:v>
      </x:c>
      <x:c r="D39" s="9" t="str">
        <x:v>Citation recovered as written; bibliographic details not independently verified in this edition.</x:v>
      </x:c>
      <x:c r="E39" s="12" t="str">
        <x:f>IFERROR(HYPERLINK(F39,"Open record"),"Open record")</x:f>
        <x:v>Open record</x:v>
      </x:c>
      <x:c r="F39" s="11" t="str">
        <x:v>sandbox:/workspace/scratch/f26806cbdc5e/sources/library/humans/CONDUCT_DOCKET_TECH_ELITE_AUDIT_v2-1.md</x:v>
      </x:c>
    </x:row>
    <x:row r="40" ht="39" customHeight="1">
      <x:c r="A40" s="9" t="str">
        <x:v>BIB-036</x:v>
      </x:c>
      <x:c r="B40" s="9" t="str">
        <x:v>The Intercept (Biddle) / American Oversight, 24 April 2026 — IRS Lead and Case Analytics.</x:v>
      </x:c>
      <x:c r="C40" s="9" t="str">
        <x:v>COR-061</x:v>
      </x:c>
      <x:c r="D40" s="9" t="str">
        <x:v>Citation recovered as written; bibliographic details not independently verified in this edition.</x:v>
      </x:c>
      <x:c r="E40" s="12" t="str">
        <x:f>IFERROR(HYPERLINK(F40,"Open record"),"Open record")</x:f>
        <x:v>Open record</x:v>
      </x:c>
      <x:c r="F40" s="11" t="str">
        <x:v>sandbox:/workspace/scratch/f26806cbdc5e/sources/library/humans/CONDUCT_DOCKET_TECH_ELITE_AUDIT_v2-1.md</x:v>
      </x:c>
    </x:row>
    <x:row r="41" ht="39" customHeight="1">
      <x:c r="A41" s="9" t="str">
        <x:v>BIB-037</x:v>
      </x:c>
      <x:c r="B41" s="9" t="str">
        <x:v>Tax Notes, 18 Feb 2026 — 26 IRS contracts; "mega API."</x:v>
      </x:c>
      <x:c r="C41" s="9" t="str">
        <x:v>COR-061</x:v>
      </x:c>
      <x:c r="D41" s="9" t="str">
        <x:v>Citation recovered as written; bibliographic details not independently verified in this edition.</x:v>
      </x:c>
      <x:c r="E41" s="12" t="str">
        <x:f>IFERROR(HYPERLINK(F41,"Open record"),"Open record")</x:f>
        <x:v>Open record</x:v>
      </x:c>
      <x:c r="F41" s="11" t="str">
        <x:v>sandbox:/workspace/scratch/f26806cbdc5e/sources/library/humans/CONDUCT_DOCKET_TECH_ELITE_AUDIT_v2-1.md</x:v>
      </x:c>
    </x:row>
    <x:row r="42" ht="39" customHeight="1">
      <x:c r="A42" s="9" t="str">
        <x:v>BIB-038</x:v>
      </x:c>
      <x:c r="B42" s="9" t="str">
        <x:v>ACLU — Palantir and the removal campaign; Privacy Act analysis.</x:v>
      </x:c>
      <x:c r="C42" s="9" t="str">
        <x:v>COR-061</x:v>
      </x:c>
      <x:c r="D42" s="9" t="str">
        <x:v>Citation recovered as written; bibliographic details not independently verified in this edition.</x:v>
      </x:c>
      <x:c r="E42" s="12" t="str">
        <x:f>IFERROR(HYPERLINK(F42,"Open record"),"Open record")</x:f>
        <x:v>Open record</x:v>
      </x:c>
      <x:c r="F42" s="11" t="str">
        <x:v>sandbox:/workspace/scratch/f26806cbdc5e/sources/library/humans/CONDUCT_DOCKET_TECH_ELITE_AUDIT_v2-1.md</x:v>
      </x:c>
    </x:row>
    <x:row r="43" ht="39" customHeight="1">
      <x:c r="A43" s="9" t="str">
        <x:v>BIB-039</x:v>
      </x:c>
      <x:c r="B43" s="9" t="str">
        <x:v>Goldman/Wyden/Velázquez letter to DHS and ICE, 14 April 2026 (goldman.house.gov).</x:v>
      </x:c>
      <x:c r="C43" s="9" t="str">
        <x:v>COR-061</x:v>
      </x:c>
      <x:c r="D43" s="9" t="str">
        <x:v>Citation recovered as written; bibliographic details not independently verified in this edition.</x:v>
      </x:c>
      <x:c r="E43" s="12" t="str">
        <x:f>IFERROR(HYPERLINK(F43,"Open record"),"Open record")</x:f>
        <x:v>Open record</x:v>
      </x:c>
      <x:c r="F43" s="11" t="str">
        <x:v>sandbox:/workspace/scratch/f26806cbdc5e/sources/library/humans/CONDUCT_DOCKET_TECH_ELITE_AUDIT_v2-1.md</x:v>
      </x:c>
    </x:row>
    <x:row r="44" ht="39" customHeight="1">
      <x:c r="A44" s="9" t="str">
        <x:v>BIB-040</x:v>
      </x:c>
      <x:c r="B44" s="9" t="str">
        <x:v>House Judiciary Democrats, immigration-contractor corruption letter.</x:v>
      </x:c>
      <x:c r="C44" s="9" t="str">
        <x:v>COR-061</x:v>
      </x:c>
      <x:c r="D44" s="9" t="str">
        <x:v>Citation recovered as written; bibliographic details not independently verified in this edition.</x:v>
      </x:c>
      <x:c r="E44" s="12" t="str">
        <x:f>IFERROR(HYPERLINK(F44,"Open record"),"Open record")</x:f>
        <x:v>Open record</x:v>
      </x:c>
      <x:c r="F44" s="11" t="str">
        <x:v>sandbox:/workspace/scratch/f26806cbdc5e/sources/library/humans/CONDUCT_DOCKET_TECH_ELITE_AUDIT_v2-1.md</x:v>
      </x:c>
    </x:row>
    <x:row r="45" ht="39" customHeight="1">
      <x:c r="A45" s="9" t="str">
        <x:v>BIB-041</x:v>
      </x:c>
      <x:c r="B45" s="9" t="str">
        <x:v>POGO — Miller financial stake; private-prison hiring.</x:v>
      </x:c>
      <x:c r="C45" s="9" t="str">
        <x:v>COR-061</x:v>
      </x:c>
      <x:c r="D45" s="9" t="str">
        <x:v>Citation recovered as written; bibliographic details not independently verified in this edition.</x:v>
      </x:c>
      <x:c r="E45" s="12" t="str">
        <x:f>IFERROR(HYPERLINK(F45,"Open record"),"Open record")</x:f>
        <x:v>Open record</x:v>
      </x:c>
      <x:c r="F45" s="11" t="str">
        <x:v>sandbox:/workspace/scratch/f26806cbdc5e/sources/library/humans/CONDUCT_DOCKET_TECH_ELITE_AUDIT_v2-1.md</x:v>
      </x:c>
    </x:row>
    <x:row r="46" ht="39" customHeight="1">
      <x:c r="A46" s="9" t="str">
        <x:v>BIB-042</x:v>
      </x:c>
      <x:c r="B46" s="9" t="str">
        <x:v>immpolicytracking.org — contract ID and EO justification.</x:v>
      </x:c>
      <x:c r="C46" s="9" t="str">
        <x:v>COR-061</x:v>
      </x:c>
      <x:c r="D46" s="9" t="str">
        <x:v>Citation recovered as written; bibliographic details not independently verified in this edition.</x:v>
      </x:c>
      <x:c r="E46" s="12" t="str">
        <x:f>IFERROR(HYPERLINK(F46,"Open record"),"Open record")</x:f>
        <x:v>Open record</x:v>
      </x:c>
      <x:c r="F46" s="11" t="str">
        <x:v>sandbox:/workspace/scratch/f26806cbdc5e/sources/library/humans/CONDUCT_DOCKET_TECH_ELITE_AUDIT_v2-1.md</x:v>
      </x:c>
    </x:row>
    <x:row r="47" ht="39" customHeight="1">
      <x:c r="A47" s="9" t="str">
        <x:v>BIB-043</x:v>
      </x:c>
      <x:c r="B47" s="9" t="str">
        <x:v>Reuters, 2 Feb 2026 — Karp earnings-call remarks; company position.</x:v>
      </x:c>
      <x:c r="C47" s="9" t="str">
        <x:v>COR-061</x:v>
      </x:c>
      <x:c r="D47" s="9" t="str">
        <x:v>Citation recovered as written; bibliographic details not independently verified in this edition.</x:v>
      </x:c>
      <x:c r="E47" s="12" t="str">
        <x:f>IFERROR(HYPERLINK(F47,"Open record"),"Open record")</x:f>
        <x:v>Open record</x:v>
      </x:c>
      <x:c r="F47" s="11" t="str">
        <x:v>sandbox:/workspace/scratch/f26806cbdc5e/sources/library/humans/CONDUCT_DOCKET_TECH_ELITE_AUDIT_v2-1.md</x:v>
      </x:c>
    </x:row>
    <x:row r="48" ht="39" customHeight="1">
      <x:c r="A48" s="9" t="str">
        <x:v>BIB-044</x:v>
      </x:c>
      <x:c r="B48" s="9" t="str">
        <x:v>WIRED, June 2026 — original verification and roster.</x:v>
      </x:c>
      <x:c r="C48" s="9" t="str">
        <x:v>COR-061</x:v>
      </x:c>
      <x:c r="D48" s="9" t="str">
        <x:v>Citation recovered as written; bibliographic details not independently verified in this edition.</x:v>
      </x:c>
      <x:c r="E48" s="12" t="str">
        <x:f>IFERROR(HYPERLINK(F48,"Open record"),"Open record")</x:f>
        <x:v>Open record</x:v>
      </x:c>
      <x:c r="F48" s="11" t="str">
        <x:v>sandbox:/workspace/scratch/f26806cbdc5e/sources/library/humans/CONDUCT_DOCKET_TECH_ELITE_AUDIT_v2-1.md</x:v>
      </x:c>
    </x:row>
    <x:row r="49" ht="39" customHeight="1">
      <x:c r="A49" s="9" t="str">
        <x:v>BIB-045</x:v>
      </x:c>
      <x:c r="B49" s="9" t="str">
        <x:v>Forbes (Roeloffs), 18 June 2026 — named officials.</x:v>
      </x:c>
      <x:c r="C49" s="9" t="str">
        <x:v>COR-061</x:v>
      </x:c>
      <x:c r="D49" s="9" t="str">
        <x:v>Citation recovered as written; bibliographic details not independently verified in this edition.</x:v>
      </x:c>
      <x:c r="E49" s="12" t="str">
        <x:f>IFERROR(HYPERLINK(F49,"Open record"),"Open record")</x:f>
        <x:v>Open record</x:v>
      </x:c>
      <x:c r="F49" s="11" t="str">
        <x:v>sandbox:/workspace/scratch/f26806cbdc5e/sources/library/humans/CONDUCT_DOCKET_TECH_ELITE_AUDIT_v2-1.md</x:v>
      </x:c>
    </x:row>
    <x:row r="50" ht="39" customHeight="1">
      <x:c r="A50" s="9" t="str">
        <x:v>BIB-046</x:v>
      </x:c>
      <x:c r="B50" s="9" t="str">
        <x:v>Futurism, 19 June 2026 — oversight/contract overlap framing.</x:v>
      </x:c>
      <x:c r="C50" s="9" t="str">
        <x:v>COR-061</x:v>
      </x:c>
      <x:c r="D50" s="9" t="str">
        <x:v>Citation recovered as written; bibliographic details not independently verified in this edition.</x:v>
      </x:c>
      <x:c r="E50" s="12" t="str">
        <x:f>IFERROR(HYPERLINK(F50,"Open record"),"Open record")</x:f>
        <x:v>Open record</x:v>
      </x:c>
      <x:c r="F50" s="11" t="str">
        <x:v>sandbox:/workspace/scratch/f26806cbdc5e/sources/library/humans/CONDUCT_DOCKET_TECH_ELITE_AUDIT_v2-1.md</x:v>
      </x:c>
    </x:row>
    <x:row r="51" ht="39" customHeight="1">
      <x:c r="A51" s="9" t="str">
        <x:v>BIB-047</x:v>
      </x:c>
      <x:c r="B51" s="9" t="str">
        <x:v>Bartz v. Anthropic, N.D. Cal. No. 3:24-cv-05417 — Alsup merits ruling; Martinez-Olguin final approval ~20 July 2026.</x:v>
      </x:c>
      <x:c r="C51" s="9" t="str">
        <x:v>COR-061</x:v>
      </x:c>
      <x:c r="D51" s="9" t="str">
        <x:v>Citation recovered as written; bibliographic details not independently verified in this edition.</x:v>
      </x:c>
      <x:c r="E51" s="12" t="str">
        <x:f>IFERROR(HYPERLINK(F51,"Open record"),"Open record")</x:f>
        <x:v>Open record</x:v>
      </x:c>
      <x:c r="F51" s="11" t="str">
        <x:v>sandbox:/workspace/scratch/f26806cbdc5e/sources/library/humans/CONDUCT_DOCKET_TECH_ELITE_AUDIT_v2-1.md</x:v>
      </x:c>
    </x:row>
    <x:row r="52" ht="39" customHeight="1">
      <x:c r="A52" s="9" t="str">
        <x:v>BIB-048</x:v>
      </x:c>
      <x:c r="B52" s="9" t="str">
        <x:v>Norton Rose Fulbright, AI litigation update 2026 — holdings and settlement terms.</x:v>
      </x:c>
      <x:c r="C52" s="9" t="str">
        <x:v>COR-061</x:v>
      </x:c>
      <x:c r="D52" s="9" t="str">
        <x:v>Citation recovered as written; bibliographic details not independently verified in this edition.</x:v>
      </x:c>
      <x:c r="E52" s="12" t="str">
        <x:f>IFERROR(HYPERLINK(F52,"Open record"),"Open record")</x:f>
        <x:v>Open record</x:v>
      </x:c>
      <x:c r="F52" s="11" t="str">
        <x:v>sandbox:/workspace/scratch/f26806cbdc5e/sources/library/humans/CONDUCT_DOCKET_TECH_ELITE_AUDIT_v2-1.md</x:v>
      </x:c>
    </x:row>
    <x:row r="53" ht="39" customHeight="1">
      <x:c r="A53" s="9" t="str">
        <x:v>BIB-049</x:v>
      </x:c>
      <x:c r="B53" s="9" t="str">
        <x:v>Elsevier et al. v. Meta, S.D.N.Y. No. 1:26-cv-03689, filed 5 May 2026.</x:v>
      </x:c>
      <x:c r="C53" s="9" t="str">
        <x:v>COR-061</x:v>
      </x:c>
      <x:c r="D53" s="9" t="str">
        <x:v>Citation recovered as written; bibliographic details not independently verified in this edition.</x:v>
      </x:c>
      <x:c r="E53" s="12" t="str">
        <x:f>IFERROR(HYPERLINK(F53,"Open record"),"Open record")</x:f>
        <x:v>Open record</x:v>
      </x:c>
      <x:c r="F53" s="11" t="str">
        <x:v>sandbox:/workspace/scratch/f26806cbdc5e/sources/library/humans/CONDUCT_DOCKET_TECH_ELITE_AUDIT_v2-1.md</x:v>
      </x:c>
    </x:row>
    <x:row r="54" ht="39" customHeight="1">
      <x:c r="A54" s="9" t="str">
        <x:v>BIB-050</x:v>
      </x:c>
      <x:c r="B54" s="9" t="str">
        <x:v>Ohio State Copyright Corner — Reuters v. Ross and fair-use posture.</x:v>
      </x:c>
      <x:c r="C54" s="9" t="str">
        <x:v>COR-061</x:v>
      </x:c>
      <x:c r="D54" s="9" t="str">
        <x:v>Citation recovered as written; bibliographic details not independently verified in this edition.</x:v>
      </x:c>
      <x:c r="E54" s="12" t="str">
        <x:f>IFERROR(HYPERLINK(F54,"Open record"),"Open record")</x:f>
        <x:v>Open record</x:v>
      </x:c>
      <x:c r="F54" s="11" t="str">
        <x:v>sandbox:/workspace/scratch/f26806cbdc5e/sources/library/humans/CONDUCT_DOCKET_TECH_ELITE_AUDIT_v2-1.md</x:v>
      </x:c>
    </x:row>
    <x:row r="55" ht="39" customHeight="1">
      <x:c r="A55" s="9" t="str">
        <x:v>BIB-051</x:v>
      </x:c>
      <x:c r="B55" s="9" t="str">
        <x:v>Fortune, 14 July 2026 — $23B figure.</x:v>
      </x:c>
      <x:c r="C55" s="9" t="str">
        <x:v>COR-061</x:v>
      </x:c>
      <x:c r="D55" s="9" t="str">
        <x:v>Citation recovered as written; bibliographic details not independently verified in this edition.</x:v>
      </x:c>
      <x:c r="E55" s="12" t="str">
        <x:f>IFERROR(HYPERLINK(F55,"Open record"),"Open record")</x:f>
        <x:v>Open record</x:v>
      </x:c>
      <x:c r="F55" s="11" t="str">
        <x:v>sandbox:/workspace/scratch/f26806cbdc5e/sources/library/humans/CONDUCT_DOCKET_TECH_ELITE_AUDIT_v2-1.md</x:v>
      </x:c>
    </x:row>
    <x:row r="56" ht="39" customHeight="1">
      <x:c r="A56" s="9" t="str">
        <x:v>BIB-052</x:v>
      </x:c>
      <x:c r="B56" s="9" t="str">
        <x:v>EESI — interconnection requests; rate-increase filings.</x:v>
      </x:c>
      <x:c r="C56" s="9" t="str">
        <x:v>COR-061</x:v>
      </x:c>
      <x:c r="D56" s="9" t="str">
        <x:v>Citation recovered as written; bibliographic details not independently verified in this edition.</x:v>
      </x:c>
      <x:c r="E56" s="12" t="str">
        <x:f>IFERROR(HYPERLINK(F56,"Open record"),"Open record")</x:f>
        <x:v>Open record</x:v>
      </x:c>
      <x:c r="F56" s="11" t="str">
        <x:v>sandbox:/workspace/scratch/f26806cbdc5e/sources/library/humans/CONDUCT_DOCKET_TECH_ELITE_AUDIT_v2-1.md</x:v>
      </x:c>
    </x:row>
    <x:row r="57" ht="39" customHeight="1">
      <x:c r="A57" s="9" t="str">
        <x:v>BIB-053</x:v>
      </x:c>
      <x:c r="B57" s="9" t="str">
        <x:v>E3, "Understanding the Drivers of Rising Electricity Rates and the Role of Data Centers," May 2026 — counter-evidence.</x:v>
      </x:c>
      <x:c r="C57" s="9" t="str">
        <x:v>COR-061</x:v>
      </x:c>
      <x:c r="D57" s="9" t="str">
        <x:v>Citation recovered as written; bibliographic details not independently verified in this edition.</x:v>
      </x:c>
      <x:c r="E57" s="12" t="str">
        <x:f>IFERROR(HYPERLINK(F57,"Open record"),"Open record")</x:f>
        <x:v>Open record</x:v>
      </x:c>
      <x:c r="F57" s="11" t="str">
        <x:v>sandbox:/workspace/scratch/f26806cbdc5e/sources/library/humans/CONDUCT_DOCKET_TECH_ELITE_AUDIT_v2-1.md</x:v>
      </x:c>
    </x:row>
    <x:row r="58" ht="39" customHeight="1">
      <x:c r="A58" s="9" t="str">
        <x:v>BIB-054</x:v>
      </x:c>
      <x:c r="B58" s="9" t="str">
        <x:v>E3 / Virginia JLARC — no historical cost shift finding.</x:v>
      </x:c>
      <x:c r="C58" s="9" t="str">
        <x:v>COR-061</x:v>
      </x:c>
      <x:c r="D58" s="9" t="str">
        <x:v>Citation recovered as written; bibliographic details not independently verified in this edition.</x:v>
      </x:c>
      <x:c r="E58" s="12" t="str">
        <x:f>IFERROR(HYPERLINK(F58,"Open record"),"Open record")</x:f>
        <x:v>Open record</x:v>
      </x:c>
      <x:c r="F58" s="11" t="str">
        <x:v>sandbox:/workspace/scratch/f26806cbdc5e/sources/library/humans/CONDUCT_DOCKET_TECH_ELITE_AUDIT_v2-1.md</x:v>
      </x:c>
    </x:row>
    <x:row r="59" ht="39" customHeight="1">
      <x:c r="A59" s="9" t="str">
        <x:v>BIB-055</x:v>
      </x:c>
      <x:c r="B59" s="9" t="str">
        <x:v>Lawrence Berkeley National Laboratory, retail price trends, 2026 edition.</x:v>
      </x:c>
      <x:c r="C59" s="9" t="str">
        <x:v>COR-061</x:v>
      </x:c>
      <x:c r="D59" s="9" t="str">
        <x:v>Citation recovered as written; bibliographic details not independently verified in this edition.</x:v>
      </x:c>
      <x:c r="E59" s="12" t="str">
        <x:f>IFERROR(HYPERLINK(F59,"Open record"),"Open record")</x:f>
        <x:v>Open record</x:v>
      </x:c>
      <x:c r="F59" s="11" t="str">
        <x:v>sandbox:/workspace/scratch/f26806cbdc5e/sources/library/humans/CONDUCT_DOCKET_TECH_ELITE_AUDIT_v2-1.md</x:v>
      </x:c>
    </x:row>
    <x:row r="60" ht="39" customHeight="1">
      <x:c r="A60" s="9" t="str">
        <x:v>BIB-056</x:v>
      </x:c>
      <x:c r="B60" s="9" t="str">
        <x:v>PolitiFact, 12 June 2026 — the 267% correction.</x:v>
      </x:c>
      <x:c r="C60" s="9" t="str">
        <x:v>COR-061</x:v>
      </x:c>
      <x:c r="D60" s="9" t="str">
        <x:v>Citation recovered as written; bibliographic details not independently verified in this edition.</x:v>
      </x:c>
      <x:c r="E60" s="12" t="str">
        <x:f>IFERROR(HYPERLINK(F60,"Open record"),"Open record")</x:f>
        <x:v>Open record</x:v>
      </x:c>
      <x:c r="F60" s="11" t="str">
        <x:v>sandbox:/workspace/scratch/f26806cbdc5e/sources/library/humans/CONDUCT_DOCKET_TECH_ELITE_AUDIT_v2-1.md</x:v>
      </x:c>
    </x:row>
    <x:row r="61" ht="39" customHeight="1">
      <x:c r="A61" s="9" t="str">
        <x:v>BIB-057</x:v>
      </x:c>
      <x:c r="B61" s="9" t="str">
        <x:v>Consumer Reports, March 2026 — ratepayer pledge; state legislation count.</x:v>
      </x:c>
      <x:c r="C61" s="9" t="str">
        <x:v>COR-061</x:v>
      </x:c>
      <x:c r="D61" s="9" t="str">
        <x:v>Citation recovered as written; bibliographic details not independently verified in this edition.</x:v>
      </x:c>
      <x:c r="E61" s="12" t="str">
        <x:f>IFERROR(HYPERLINK(F61,"Open record"),"Open record")</x:f>
        <x:v>Open record</x:v>
      </x:c>
      <x:c r="F61" s="11" t="str">
        <x:v>sandbox:/workspace/scratch/f26806cbdc5e/sources/library/humans/CONDUCT_DOCKET_TECH_ELITE_AUDIT_v2-1.md</x:v>
      </x:c>
    </x:row>
    <x:row r="62" ht="39" customHeight="1">
      <x:c r="A62" s="9" t="str">
        <x:v>BIB-058</x:v>
      </x:c>
      <x:c r="B62" s="9" t="str">
        <x:v>Stateline, July 2026 — New York moratorium.</x:v>
      </x:c>
      <x:c r="C62" s="9" t="str">
        <x:v>COR-061</x:v>
      </x:c>
      <x:c r="D62" s="9" t="str">
        <x:v>Citation recovered as written; bibliographic details not independently verified in this edition.</x:v>
      </x:c>
      <x:c r="E62" s="12" t="str">
        <x:f>IFERROR(HYPERLINK(F62,"Open record"),"Open record")</x:f>
        <x:v>Open record</x:v>
      </x:c>
      <x:c r="F62" s="11" t="str">
        <x:v>sandbox:/workspace/scratch/f26806cbdc5e/sources/library/humans/CONDUCT_DOCKET_TECH_ELITE_AUDIT_v2-1.md</x:v>
      </x:c>
    </x:row>
    <x:row r="63" ht="39" customHeight="1">
      <x:c r="A63" s="9" t="str">
        <x:v>BIB-059</x:v>
      </x:c>
      <x:c r="B63" s="9" t="str">
        <x:v>W. G. Lambert and A. R. Millard. Atra-hasis: The Babylonian Story of the Flood (1969; reprint 1999). Tablet I; exact edition pinpoints remain open in the manuscript.</x:v>
      </x:c>
      <x:c r="C63" s="9" t="str">
        <x:v>COR-091</x:v>
      </x:c>
      <x:c r="D63" s="9" t="str">
        <x:v>Recovered from the full manuscript, Appendix D; edition and pinpoint checks remain as stated there.</x:v>
      </x:c>
      <x:c r="E63" s="12" t="str">
        <x:f>IFERROR(HYPERLINK(F63,"Open record"),"Open record")</x:f>
        <x:v>Open record</x:v>
      </x:c>
      <x:c r="F63" s="11" t="str">
        <x:v>sandbox:/workspace/scratch/f26806cbdc5e/sources/library/humans/# NO ONE OWNS TUESDAY.pdf</x:v>
      </x:c>
    </x:row>
    <x:row r="64" ht="39" customHeight="1">
      <x:c r="A64" s="9" t="str">
        <x:v>BIB-060</x:v>
      </x:c>
      <x:c r="B64" s="9" t="str">
        <x:v>Stephanie Dalley. Myths from Mesopotamia. Revised edition. Oxford University Press, 2000.</x:v>
      </x:c>
      <x:c r="C64" s="9" t="str">
        <x:v>COR-091</x:v>
      </x:c>
      <x:c r="D64" s="9" t="str">
        <x:v>Recovered from the full manuscript, Appendix D; edition and pinpoint checks remain as stated there.</x:v>
      </x:c>
      <x:c r="E64" s="12" t="str">
        <x:f>IFERROR(HYPERLINK(F64,"Open record"),"Open record")</x:f>
        <x:v>Open record</x:v>
      </x:c>
      <x:c r="F64" s="11" t="str">
        <x:v>sandbox:/workspace/scratch/f26806cbdc5e/sources/library/humans/# NO ONE OWNS TUESDAY.pdf</x:v>
      </x:c>
    </x:row>
    <x:row r="65" ht="39" customHeight="1">
      <x:c r="A65" s="9" t="str">
        <x:v>BIB-061</x:v>
      </x:c>
      <x:c r="B65" s="9" t="str">
        <x:v>Benjamin R. Foster. Before the Muses. Edition and page locators not specified in the source appendix.</x:v>
      </x:c>
      <x:c r="C65" s="9" t="str">
        <x:v>COR-091</x:v>
      </x:c>
      <x:c r="D65" s="9" t="str">
        <x:v>Recovered from the full manuscript, Appendix D; edition and pinpoint checks remain as stated there.</x:v>
      </x:c>
      <x:c r="E65" s="12" t="str">
        <x:f>IFERROR(HYPERLINK(F65,"Open record"),"Open record")</x:f>
        <x:v>Open record</x:v>
      </x:c>
      <x:c r="F65" s="11" t="str">
        <x:v>sandbox:/workspace/scratch/f26806cbdc5e/sources/library/humans/# NO ONE OWNS TUESDAY.pdf</x:v>
      </x:c>
    </x:row>
    <x:row r="66" ht="39" customHeight="1">
      <x:c r="A66" s="9" t="str">
        <x:v>BIB-062</x:v>
      </x:c>
      <x:c r="B66" s="9" t="str">
        <x:v>W. G. Lambert. Babylonian Creation Myths. Eisenbrauns, 2013. Enuma Elish II, IV, VI.1–46 and VI–VII are the manuscript’s primary-text leads.</x:v>
      </x:c>
      <x:c r="C66" s="9" t="str">
        <x:v>COR-091</x:v>
      </x:c>
      <x:c r="D66" s="9" t="str">
        <x:v>Recovered from the full manuscript, Appendix D; edition and pinpoint checks remain as stated there.</x:v>
      </x:c>
      <x:c r="E66" s="12" t="str">
        <x:f>IFERROR(HYPERLINK(F66,"Open record"),"Open record")</x:f>
        <x:v>Open record</x:v>
      </x:c>
      <x:c r="F66" s="11" t="str">
        <x:v>sandbox:/workspace/scratch/f26806cbdc5e/sources/library/humans/# NO ONE OWNS TUESDAY.pdf</x:v>
      </x:c>
    </x:row>
    <x:row r="67" ht="39" customHeight="1">
      <x:c r="A67" s="9" t="str">
        <x:v>BIB-063</x:v>
      </x:c>
      <x:c r="B67" s="9" t="str">
        <x:v>Hesiod, Theogony and Works and Days; the Aeschylean Prometheus tradition. Selected editions remain open in the manuscript.</x:v>
      </x:c>
      <x:c r="C67" s="9" t="str">
        <x:v>COR-091</x:v>
      </x:c>
      <x:c r="D67" s="9" t="str">
        <x:v>Recovered from the full manuscript, Appendix D; edition and pinpoint checks remain as stated there.</x:v>
      </x:c>
      <x:c r="E67" s="12" t="str">
        <x:f>IFERROR(HYPERLINK(F67,"Open record"),"Open record")</x:f>
        <x:v>Open record</x:v>
      </x:c>
      <x:c r="F67" s="11" t="str">
        <x:v>sandbox:/workspace/scratch/f26806cbdc5e/sources/library/humans/# NO ONE OWNS TUESDAY.pdf</x:v>
      </x:c>
    </x:row>
    <x:row r="68" ht="39" customHeight="1">
      <x:c r="A68" s="9" t="str">
        <x:v>BIB-064</x:v>
      </x:c>
      <x:c r="B68" s="9" t="str">
        <x:v>Homer, Iliad I.586–600 and XVIII.368–617; Odyssey 8.266–366. Selected edition remains open in the manuscript.</x:v>
      </x:c>
      <x:c r="C68" s="9" t="str">
        <x:v>COR-091</x:v>
      </x:c>
      <x:c r="D68" s="9" t="str">
        <x:v>Recovered from the full manuscript, Appendix D; edition and pinpoint checks remain as stated there.</x:v>
      </x:c>
      <x:c r="E68" s="12" t="str">
        <x:f>IFERROR(HYPERLINK(F68,"Open record"),"Open record")</x:f>
        <x:v>Open record</x:v>
      </x:c>
      <x:c r="F68" s="11" t="str">
        <x:v>sandbox:/workspace/scratch/f26806cbdc5e/sources/library/humans/# NO ONE OWNS TUESDAY.pdf</x:v>
      </x:c>
    </x:row>
    <x:row r="69" ht="39" customHeight="1">
      <x:c r="A69" s="9" t="str">
        <x:v>BIB-065</x:v>
      </x:c>
      <x:c r="B69" s="9" t="str">
        <x:v>1 Enoch 8; Völundarkviða; Þiðrekssaga; Deor 1–13. Comparative primary-text leads; selected editions remain open.</x:v>
      </x:c>
      <x:c r="C69" s="9" t="str">
        <x:v>COR-091</x:v>
      </x:c>
      <x:c r="D69" s="9" t="str">
        <x:v>Recovered from the full manuscript, Appendix D; edition and pinpoint checks remain as stated there.</x:v>
      </x:c>
      <x:c r="E69" s="12" t="str">
        <x:f>IFERROR(HYPERLINK(F69,"Open record"),"Open record")</x:f>
        <x:v>Open record</x:v>
      </x:c>
      <x:c r="F69" s="11" t="str">
        <x:v>sandbox:/workspace/scratch/f26806cbdc5e/sources/library/humans/# NO ONE OWNS TUESDAY.pdf</x:v>
      </x:c>
    </x:row>
    <x:row r="70" ht="54" customHeight="1">
      <x:c r="A70" s="9" t="str">
        <x:v>BIB-066</x:v>
      </x:c>
      <x:c r="B70" s="9" t="str">
        <x:v>Treaty of Mursili II with Duppi-Tessub, Ancient Near Eastern Texts, p. 203; Vassal Treaties of Esarhaddon; Exodus 20:2; Deuteronomy 28 and 31:9–13; Joshua 24. Pinpoints inherited from source appendix.</x:v>
      </x:c>
      <x:c r="C70" s="9" t="str">
        <x:v>COR-091</x:v>
      </x:c>
      <x:c r="D70" s="9" t="str">
        <x:v>Recovered from the full manuscript, Appendix D; edition and pinpoint checks remain as stated there.</x:v>
      </x:c>
      <x:c r="E70" s="12" t="str">
        <x:f>IFERROR(HYPERLINK(F70,"Open record"),"Open record")</x:f>
        <x:v>Open record</x:v>
      </x:c>
      <x:c r="F70" s="11" t="str">
        <x:v>sandbox:/workspace/scratch/f26806cbdc5e/sources/library/humans/# NO ONE OWNS TUESDAY.pdf</x:v>
      </x:c>
    </x:row>
    <x:row r="71" ht="39" customHeight="1">
      <x:c r="A71" s="9" t="str">
        <x:v>BIB-067</x:v>
      </x:c>
      <x:c r="B71" s="9" t="str">
        <x:v>George E. Mendenhall. “Covenant Forms in Israelite Tradition.” Biblical Archaeologist 17 (1954): 50–76.</x:v>
      </x:c>
      <x:c r="C71" s="9" t="str">
        <x:v>COR-091</x:v>
      </x:c>
      <x:c r="D71" s="9" t="str">
        <x:v>Recovered from the full manuscript, Appendix D; edition and pinpoint checks remain as stated there.</x:v>
      </x:c>
      <x:c r="E71" s="12" t="str">
        <x:f>IFERROR(HYPERLINK(F71,"Open record"),"Open record")</x:f>
        <x:v>Open record</x:v>
      </x:c>
      <x:c r="F71" s="11" t="str">
        <x:v>sandbox:/workspace/scratch/f26806cbdc5e/sources/library/humans/# NO ONE OWNS TUESDAY.pdf</x:v>
      </x:c>
    </x:row>
    <x:row r="72" ht="39" customHeight="1">
      <x:c r="A72" s="9" t="str">
        <x:v>BIB-068</x:v>
      </x:c>
      <x:c r="B72" s="9" t="str">
        <x:v>Moshe Weinfeld. Deuteronomy and the Deuteronomic School. 1972.</x:v>
      </x:c>
      <x:c r="C72" s="9" t="str">
        <x:v>COR-091</x:v>
      </x:c>
      <x:c r="D72" s="9" t="str">
        <x:v>Recovered from the full manuscript, Appendix D; edition and pinpoint checks remain as stated there.</x:v>
      </x:c>
      <x:c r="E72" s="12" t="str">
        <x:f>IFERROR(HYPERLINK(F72,"Open record"),"Open record")</x:f>
        <x:v>Open record</x:v>
      </x:c>
      <x:c r="F72" s="11" t="str">
        <x:v>sandbox:/workspace/scratch/f26806cbdc5e/sources/library/humans/# NO ONE OWNS TUESDAY.pdf</x:v>
      </x:c>
    </x:row>
    <x:row r="73" ht="39" customHeight="1">
      <x:c r="A73" s="9" t="str">
        <x:v>BIB-069</x:v>
      </x:c>
      <x:c r="B73" s="9" t="str">
        <x:v>Isaiah 34:14; later rabbinic references; Alphabet of Ben Sira. The manuscript identifies the medieval passage as needing direct verification.</x:v>
      </x:c>
      <x:c r="C73" s="9" t="str">
        <x:v>COR-091</x:v>
      </x:c>
      <x:c r="D73" s="9" t="str">
        <x:v>Recovered from the full manuscript, Appendix D; edition and pinpoint checks remain as stated there.</x:v>
      </x:c>
      <x:c r="E73" s="12" t="str">
        <x:f>IFERROR(HYPERLINK(F73,"Open record"),"Open record")</x:f>
        <x:v>Open record</x:v>
      </x:c>
      <x:c r="F73" s="11" t="str">
        <x:v>sandbox:/workspace/scratch/f26806cbdc5e/sources/library/humans/# NO ONE OWNS TUESDAY.pdf</x:v>
      </x:c>
    </x:row>
    <x:row r="74" ht="39" customHeight="1">
      <x:c r="A74" s="9" t="str">
        <x:v>BIB-070</x:v>
      </x:c>
      <x:c r="B74" s="9" t="str">
        <x:v>Judit M. Blair. De-Demonising the Old Testament. Mohr Siebeck, 2009.</x:v>
      </x:c>
      <x:c r="C74" s="9" t="str">
        <x:v>COR-091</x:v>
      </x:c>
      <x:c r="D74" s="9" t="str">
        <x:v>Recovered from the full manuscript, Appendix D; edition and pinpoint checks remain as stated there.</x:v>
      </x:c>
      <x:c r="E74" s="12" t="str">
        <x:f>IFERROR(HYPERLINK(F74,"Open record"),"Open record")</x:f>
        <x:v>Open record</x:v>
      </x:c>
      <x:c r="F74" s="11" t="str">
        <x:v>sandbox:/workspace/scratch/f26806cbdc5e/sources/library/humans/# NO ONE OWNS TUESDAY.pdf</x:v>
      </x:c>
    </x:row>
    <x:row r="75" ht="39" customHeight="1">
      <x:c r="A75" s="9" t="str">
        <x:v>BIB-071</x:v>
      </x:c>
      <x:c r="B75" s="9" t="str">
        <x:v>Leonard L. Thompson, work on Revelation and empire. Exact title and publication details not supplied in this appendix.</x:v>
      </x:c>
      <x:c r="C75" s="9" t="str">
        <x:v>COR-091</x:v>
      </x:c>
      <x:c r="D75" s="9" t="str">
        <x:v>Recovered from the full manuscript, Appendix D; edition and pinpoint checks remain as stated there.</x:v>
      </x:c>
      <x:c r="E75" s="12" t="str">
        <x:f>IFERROR(HYPERLINK(F75,"Open record"),"Open record")</x:f>
        <x:v>Open record</x:v>
      </x:c>
      <x:c r="F75" s="11" t="str">
        <x:v>sandbox:/workspace/scratch/f26806cbdc5e/sources/library/humans/# NO ONE OWNS TUESDAY.pdf</x:v>
      </x:c>
    </x:row>
    <x:row r="76" ht="39" customHeight="1">
      <x:c r="A76" s="9" t="str">
        <x:v>BIB-072</x:v>
      </x:c>
      <x:c r="B76" s="9" t="str">
        <x:v>Adela Yarbro Collins. Crisis and Catharsis. Full publication details and pinpoints remain open in the appendix.</x:v>
      </x:c>
      <x:c r="C76" s="9" t="str">
        <x:v>COR-091</x:v>
      </x:c>
      <x:c r="D76" s="9" t="str">
        <x:v>Recovered from the full manuscript, Appendix D; edition and pinpoint checks remain as stated there.</x:v>
      </x:c>
      <x:c r="E76" s="12" t="str">
        <x:f>IFERROR(HYPERLINK(F76,"Open record"),"Open record")</x:f>
        <x:v>Open record</x:v>
      </x:c>
      <x:c r="F76" s="11" t="str">
        <x:v>sandbox:/workspace/scratch/f26806cbdc5e/sources/library/humans/# NO ONE OWNS TUESDAY.pdf</x:v>
      </x:c>
    </x:row>
    <x:row r="77" ht="39" customHeight="1">
      <x:c r="A77" s="9" t="str">
        <x:v>BIB-073</x:v>
      </x:c>
      <x:c r="B77" s="9" t="str">
        <x:v>Tina Pippin, feminist work on Revelation. Exact title and publication details not supplied in this appendix.</x:v>
      </x:c>
      <x:c r="C77" s="9" t="str">
        <x:v>COR-091</x:v>
      </x:c>
      <x:c r="D77" s="9" t="str">
        <x:v>Recovered from the full manuscript, Appendix D; edition and pinpoint checks remain as stated there.</x:v>
      </x:c>
      <x:c r="E77" s="12" t="str">
        <x:f>IFERROR(HYPERLINK(F77,"Open record"),"Open record")</x:f>
        <x:v>Open record</x:v>
      </x:c>
      <x:c r="F77" s="11" t="str">
        <x:v>sandbox:/workspace/scratch/f26806cbdc5e/sources/library/humans/# NO ONE OWNS TUESDAY.pdf</x:v>
      </x:c>
    </x:row>
    <x:row r="78" ht="39" customHeight="1">
      <x:c r="A78" s="9" t="str">
        <x:v>BIB-074</x:v>
      </x:c>
      <x:c r="B78" s="9" t="str">
        <x:v>Revelation 22:18–19; Deuteronomy 4:2 and 12:32. Textual comparison leads retained in Appendix D.</x:v>
      </x:c>
      <x:c r="C78" s="9" t="str">
        <x:v>COR-091</x:v>
      </x:c>
      <x:c r="D78" s="9" t="str">
        <x:v>Recovered from the full manuscript, Appendix D; edition and pinpoint checks remain as stated there.</x:v>
      </x:c>
      <x:c r="E78" s="12" t="str">
        <x:f>IFERROR(HYPERLINK(F78,"Open record"),"Open record")</x:f>
        <x:v>Open record</x:v>
      </x:c>
      <x:c r="F78" s="11" t="str">
        <x:v>sandbox:/workspace/scratch/f26806cbdc5e/sources/library/humans/# NO ONE OWNS TUESDAY.pdf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49cc4ad1d7240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3" hidden="0" customWidth="1"/>
    <x:col min="3" max="3" width="105" hidden="0" customWidth="1"/>
    <x:col min="4" max="4" width="14" hidden="0" customWidth="1"/>
    <x:col min="5" max="5" width="58" hidden="0" customWidth="1"/>
    <x:col min="6" max="6" width="16" hidden="0" customWidth="1"/>
    <x:col min="7" max="7" width="90" hidden="0" customWidth="1"/>
  </x:cols>
  <x:sheetData>
    <x:row r="1" ht="38" customHeight="1">
      <x:c r="A1" s="4" t="str">
        <x:v>RECORD GAPS AND BIBLIOGRAPHIC LEADS</x:v>
      </x:c>
      <x:c r="B1" s="4"/>
      <x:c r="C1" s="4"/>
      <x:c r="D1" s="4"/>
      <x:c r="E1" s="4"/>
      <x:c r="F1" s="4"/>
      <x:c r="G1" s="4"/>
    </x:row>
    <x:row r="2" ht="30" customHeight="1">
      <x:c r="A2" s="6" t="str">
        <x:v>Preserved questions and missing originals. This sheet records no submitted requests, agency deadlines, political ratings, or new allegations.</x:v>
      </x:c>
      <x:c r="B2" s="2"/>
      <x:c r="C2" s="2"/>
      <x:c r="D2" s="2"/>
      <x:c r="E2" s="2"/>
      <x:c r="F2" s="2"/>
      <x:c r="G2" s="2"/>
    </x:row>
    <x:row r="3" ht="30" customHeight="1">
      <x:c r="A3" s="2"/>
      <x:c r="B3" s="2"/>
      <x:c r="C3" s="2"/>
      <x:c r="D3" s="2"/>
      <x:c r="E3" s="2"/>
      <x:c r="F3" s="2"/>
      <x:c r="G3" s="2"/>
    </x:row>
    <x:row r="4" ht="30" customHeight="1">
      <x:c r="A4" s="8" t="str">
        <x:v>ID</x:v>
      </x:c>
      <x:c r="B4" s="8" t="str">
        <x:v>Topic / citation</x:v>
      </x:c>
      <x:c r="C4" s="8" t="str">
        <x:v>Instrument or provenance detail</x:v>
      </x:c>
      <x:c r="D4" s="8" t="str">
        <x:v>Origin</x:v>
      </x:c>
      <x:c r="E4" s="8" t="str">
        <x:v>Recorded stage</x:v>
      </x:c>
      <x:c r="F4" s="8" t="str">
        <x:v>Source</x:v>
      </x:c>
      <x:c r="G4" s="8" t="str">
        <x:v>Raw URL</x:v>
      </x:c>
    </x:row>
    <x:row r="5" ht="54" customHeight="1">
      <x:c r="A5" s="9" t="str">
        <x:v>KL-01</x:v>
      </x:c>
      <x:c r="B5" s="9" t="str">
        <x:v>WorldClaw / World Liberty AI-platform thread</x:v>
      </x:c>
      <x:c r="C5" s="9" t="str">
        <x:v>Recover underlying Reuters report, platform/company records, roles, transaction terms. Preserve semantic correction: “no indication of illegality” is not “the arrangement is legal.” No substantive finding.</x:v>
      </x:c>
      <x:c r="D5" s="9" t="str">
        <x:v>COR-052</x:v>
      </x:c>
      <x:c r="E5" s="9" t="str">
        <x:v>Preserved source lead; no new submission or finding</x:v>
      </x:c>
      <x:c r="F5" s="12" t="str">
        <x:f>IFERROR(HYPERLINK(G5,"Open origin"),"Open origin")</x:f>
        <x:v>Open origin</x:v>
      </x:c>
      <x:c r="G5" s="11" t="str">
        <x:v>sandbox:/workspace/scratch/f26806cbdc5e/sources/library/HUMAN_SIDE_SOURCE_REGISTER_v0.2_review(10).md</x:v>
      </x:c>
    </x:row>
    <x:row r="6" ht="39" customHeight="1">
      <x:c r="A6" s="9" t="str">
        <x:v>KL-02</x:v>
      </x:c>
      <x:c r="B6" s="9" t="str">
        <x:v>OCC / World Liberty charter thread</x:v>
      </x:c>
      <x:c r="C6" s="9" t="str">
        <x:v>Recover OCC docket, order/conditions, application history. Do not state approval, legality, tailoring, or influence from raw summary.</x:v>
      </x:c>
      <x:c r="D6" s="9" t="str">
        <x:v>COR-052</x:v>
      </x:c>
      <x:c r="E6" s="9" t="str">
        <x:v>Preserved source lead; no new submission or finding</x:v>
      </x:c>
      <x:c r="F6" s="12" t="str">
        <x:f>IFERROR(HYPERLINK(G6,"Open origin"),"Open origin")</x:f>
        <x:v>Open origin</x:v>
      </x:c>
      <x:c r="G6" s="11" t="str">
        <x:v>sandbox:/workspace/scratch/f26806cbdc5e/sources/library/HUMAN_SIDE_SOURCE_REGISTER_v0.2_review(10).md</x:v>
      </x:c>
    </x:row>
    <x:row r="7" ht="39" customHeight="1">
      <x:c r="A7" s="9" t="str">
        <x:v>KL-03</x:v>
      </x:c>
      <x:c r="B7" s="9" t="str">
        <x:v>MGX / Abu Dhabi / Binance / USD1 specificity beyond TC-03</x:v>
      </x:c>
      <x:c r="C7" s="9" t="str">
        <x:v>Recover agreement, closing/settlement ledger, counterparties, fund flows. Do not state completed settlement or causal link to pardon.</x:v>
      </x:c>
      <x:c r="D7" s="9" t="str">
        <x:v>COR-052</x:v>
      </x:c>
      <x:c r="E7" s="9" t="str">
        <x:v>Preserved source lead; no new submission or finding</x:v>
      </x:c>
      <x:c r="F7" s="12" t="str">
        <x:f>IFERROR(HYPERLINK(G7,"Open origin"),"Open origin")</x:f>
        <x:v>Open origin</x:v>
      </x:c>
      <x:c r="G7" s="11" t="str">
        <x:v>sandbox:/workspace/scratch/f26806cbdc5e/sources/library/HUMAN_SIDE_SOURCE_REGISTER_v0.2_review(10).md</x:v>
      </x:c>
    </x:row>
    <x:row r="8" ht="39" customHeight="1">
      <x:c r="A8" s="9" t="str">
        <x:v>KL-04</x:v>
      </x:c>
      <x:c r="B8" s="9" t="str">
        <x:v>State Department / Palantir orders</x:v>
      </x:c>
      <x:c r="C8" s="9" t="str">
        <x:v>Recover exact USAspending/FPDS awards and scopes. Do not attribute initiation to Rubio or join to command.</x:v>
      </x:c>
      <x:c r="D8" s="9" t="str">
        <x:v>COR-052</x:v>
      </x:c>
      <x:c r="E8" s="9" t="str">
        <x:v>Preserved source lead; no new submission or finding</x:v>
      </x:c>
      <x:c r="F8" s="12" t="str">
        <x:f>IFERROR(HYPERLINK(G8,"Open origin"),"Open origin")</x:f>
        <x:v>Open origin</x:v>
      </x:c>
      <x:c r="G8" s="11" t="str">
        <x:v>sandbox:/workspace/scratch/f26806cbdc5e/sources/library/HUMAN_SIDE_SOURCE_REGISTER_v0.2_review(10).md</x:v>
      </x:c>
    </x:row>
    <x:row r="9" ht="39" customHeight="1">
      <x:c r="A9" s="9" t="str">
        <x:v>KL-05</x:v>
      </x:c>
      <x:c r="B9" s="9" t="str">
        <x:v>Treasury / IRS Palantir work</x:v>
      </x:c>
      <x:c r="C9" s="9" t="str">
        <x:v>Recover exact awards, systems, scopes, obligations. No cross-agency pooling or official-participation inference.</x:v>
      </x:c>
      <x:c r="D9" s="9" t="str">
        <x:v>COR-052</x:v>
      </x:c>
      <x:c r="E9" s="9" t="str">
        <x:v>Preserved source lead; no new submission or finding</x:v>
      </x:c>
      <x:c r="F9" s="12" t="str">
        <x:f>IFERROR(HYPERLINK(G9,"Open origin"),"Open origin")</x:f>
        <x:v>Open origin</x:v>
      </x:c>
      <x:c r="G9" s="11" t="str">
        <x:v>sandbox:/workspace/scratch/f26806cbdc5e/sources/library/HUMAN_SIDE_SOURCE_REGISTER_v0.2_review(10).md</x:v>
      </x:c>
    </x:row>
    <x:row r="10" ht="39" customHeight="1">
      <x:c r="A10" s="9" t="str">
        <x:v>KL-06</x:v>
      </x:c>
      <x:c r="B10" s="9" t="str">
        <x:v>Clark Minor / HHS / former-Palantir row</x:v>
      </x:c>
      <x:c r="C10" s="9" t="str">
        <x:v>Recover official appointment/employment records and decision-specific participation. Prior employment does not establish ELITE use, steering, or common command.</x:v>
      </x:c>
      <x:c r="D10" s="9" t="str">
        <x:v>COR-052</x:v>
      </x:c>
      <x:c r="E10" s="9" t="str">
        <x:v>Preserved source lead; no new submission or finding</x:v>
      </x:c>
      <x:c r="F10" s="12" t="str">
        <x:f>IFERROR(HYPERLINK(G10,"Open origin"),"Open origin")</x:f>
        <x:v>Open origin</x:v>
      </x:c>
      <x:c r="G10" s="11" t="str">
        <x:v>sandbox:/workspace/scratch/f26806cbdc5e/sources/library/HUMAN_SIDE_SOURCE_REGISTER_v0.2_review(10).md</x:v>
      </x:c>
    </x:row>
    <x:row r="11" ht="39" customHeight="1">
      <x:c r="A11" s="9" t="str">
        <x:v>KL-07</x:v>
      </x:c>
      <x:c r="B11" s="9" t="str">
        <x:v>Bondi financial-disclosure package</x:v>
      </x:c>
      <x:c r="C11" s="9" t="str">
        <x:v>Recover exact OGE filing/PTRs and action-specific joins. Bondi date symmetry is excluded from the human-side evidentiary spine.</x:v>
      </x:c>
      <x:c r="D11" s="9" t="str">
        <x:v>COR-052</x:v>
      </x:c>
      <x:c r="E11" s="9" t="str">
        <x:v>Preserved source lead; no new submission or finding</x:v>
      </x:c>
      <x:c r="F11" s="12" t="str">
        <x:f>IFERROR(HYPERLINK(G11,"Open origin"),"Open origin")</x:f>
        <x:v>Open origin</x:v>
      </x:c>
      <x:c r="G11" s="11" t="str">
        <x:v>sandbox:/workspace/scratch/f26806cbdc5e/sources/library/HUMAN_SIDE_SOURCE_REGISTER_v0.2_review(10).md</x:v>
      </x:c>
    </x:row>
    <x:row r="12" ht="54" customHeight="1">
      <x:c r="A12" s="9" t="str">
        <x:v>BIB-028</x:v>
      </x:c>
      <x:c r="B12" s="9" t="str">
        <x:v>Aguilar &amp; Bracy (EyesOnOpenAI), Fortune, 22 July 2026 — Class N stock, board control, SEC letter, CA AG investigation, valuation gap. Interested party — flag.</x:v>
      </x:c>
      <x:c r="C12" s="9" t="str">
        <x:v>Exact linked original not retained in this source-spine entry; see catalog for any recovered related record.</x:v>
      </x:c>
      <x:c r="D12" s="9" t="str">
        <x:v>COR-061</x:v>
      </x:c>
      <x:c r="E12" s="9" t="str">
        <x:v>Bibliographic lead</x:v>
      </x:c>
      <x:c r="F12" s="12" t="str">
        <x:f>IFERROR(HYPERLINK(G12,"Open origin"),"Open origin")</x:f>
        <x:v>Open origin</x:v>
      </x:c>
      <x:c r="G12" s="11" t="str">
        <x:v>sandbox:/workspace/scratch/f26806cbdc5e/sources/library/humans/CONDUCT_DOCKET_TECH_ELITE_AUDIT_v2-1.md</x:v>
      </x:c>
    </x:row>
    <x:row r="13" ht="39" customHeight="1">
      <x:c r="A13" s="9" t="str">
        <x:v>BIB-029</x:v>
      </x:c>
      <x:c r="B13" s="9" t="str">
        <x:v>OpenAI, "Built to benefit everyone," recapitalization announcement.</x:v>
      </x:c>
      <x:c r="C13" s="9" t="str">
        <x:v>Exact linked original not retained in this source-spine entry; see catalog for any recovered related record.</x:v>
      </x:c>
      <x:c r="D13" s="9" t="str">
        <x:v>COR-061</x:v>
      </x:c>
      <x:c r="E13" s="9" t="str">
        <x:v>Bibliographic lead</x:v>
      </x:c>
      <x:c r="F13" s="12" t="str">
        <x:f>IFERROR(HYPERLINK(G13,"Open origin"),"Open origin")</x:f>
        <x:v>Open origin</x:v>
      </x:c>
      <x:c r="G13" s="11" t="str">
        <x:v>sandbox:/workspace/scratch/f26806cbdc5e/sources/library/humans/CONDUCT_DOCKET_TECH_ELITE_AUDIT_v2-1.md</x:v>
      </x:c>
    </x:row>
    <x:row r="14" ht="39" customHeight="1">
      <x:c r="A14" s="9" t="str">
        <x:v>BIB-030</x:v>
      </x:c>
      <x:c r="B14" s="9" t="str">
        <x:v>MOU between OpenAI and the California AG re: Notice of Conditions of Non-Objection, executed 27 October 2025 (oag.ca.gov).</x:v>
      </x:c>
      <x:c r="C14" s="9" t="str">
        <x:v>Exact linked original not retained in this source-spine entry; see catalog for any recovered related record.</x:v>
      </x:c>
      <x:c r="D14" s="9" t="str">
        <x:v>COR-061</x:v>
      </x:c>
      <x:c r="E14" s="9" t="str">
        <x:v>Bibliographic lead</x:v>
      </x:c>
      <x:c r="F14" s="12" t="str">
        <x:f>IFERROR(HYPERLINK(G14,"Open origin"),"Open origin")</x:f>
        <x:v>Open origin</x:v>
      </x:c>
      <x:c r="G14" s="11" t="str">
        <x:v>sandbox:/workspace/scratch/f26806cbdc5e/sources/library/humans/CONDUCT_DOCKET_TECH_ELITE_AUDIT_v2-1.md</x:v>
      </x:c>
    </x:row>
    <x:row r="15" ht="39" customHeight="1">
      <x:c r="A15" s="9" t="str">
        <x:v>BIB-031</x:v>
      </x:c>
      <x:c r="B15" s="9" t="str">
        <x:v>The Conversation, 13 Feb 2026 — removal of "safely"; PBC board discretion.</x:v>
      </x:c>
      <x:c r="C15" s="9" t="str">
        <x:v>Exact linked original not retained in this source-spine entry; see catalog for any recovered related record.</x:v>
      </x:c>
      <x:c r="D15" s="9" t="str">
        <x:v>COR-061</x:v>
      </x:c>
      <x:c r="E15" s="9" t="str">
        <x:v>Bibliographic lead</x:v>
      </x:c>
      <x:c r="F15" s="12" t="str">
        <x:f>IFERROR(HYPERLINK(G15,"Open origin"),"Open origin")</x:f>
        <x:v>Open origin</x:v>
      </x:c>
      <x:c r="G15" s="11" t="str">
        <x:v>sandbox:/workspace/scratch/f26806cbdc5e/sources/library/humans/CONDUCT_DOCKET_TECH_ELITE_AUDIT_v2-1.md</x:v>
      </x:c>
    </x:row>
    <x:row r="16" ht="39" customHeight="1">
      <x:c r="A16" s="9" t="str">
        <x:v>BIB-032</x:v>
      </x:c>
      <x:c r="B16" s="9" t="str">
        <x:v>Forbes (Durkee), 12 May 2026 — Altman testimony, House Oversight letter, six-AG letter to SEC.</x:v>
      </x:c>
      <x:c r="C16" s="9" t="str">
        <x:v>Exact linked original not retained in this source-spine entry; see catalog for any recovered related record.</x:v>
      </x:c>
      <x:c r="D16" s="9" t="str">
        <x:v>COR-061</x:v>
      </x:c>
      <x:c r="E16" s="9" t="str">
        <x:v>Bibliographic lead</x:v>
      </x:c>
      <x:c r="F16" s="12" t="str">
        <x:f>IFERROR(HYPERLINK(G16,"Open origin"),"Open origin")</x:f>
        <x:v>Open origin</x:v>
      </x:c>
      <x:c r="G16" s="11" t="str">
        <x:v>sandbox:/workspace/scratch/f26806cbdc5e/sources/library/humans/CONDUCT_DOCKET_TECH_ELITE_AUDIT_v2-1.md</x:v>
      </x:c>
    </x:row>
    <x:row r="17" ht="39" customHeight="1">
      <x:c r="A17" s="9" t="str">
        <x:v>BIB-033</x:v>
      </x:c>
      <x:c r="B17" s="9" t="str">
        <x:v>Wall Street Journal, April–May 2026 — Helion, Stoke Space, portfolio scope. Primary reporting; obtain directly.</x:v>
      </x:c>
      <x:c r="C17" s="9" t="str">
        <x:v>Exact linked original not retained in this source-spine entry; see catalog for any recovered related record.</x:v>
      </x:c>
      <x:c r="D17" s="9" t="str">
        <x:v>COR-061</x:v>
      </x:c>
      <x:c r="E17" s="9" t="str">
        <x:v>Bibliographic lead</x:v>
      </x:c>
      <x:c r="F17" s="12" t="str">
        <x:f>IFERROR(HYPERLINK(G17,"Open origin"),"Open origin")</x:f>
        <x:v>Open origin</x:v>
      </x:c>
      <x:c r="G17" s="11" t="str">
        <x:v>sandbox:/workspace/scratch/f26806cbdc5e/sources/library/humans/CONDUCT_DOCKET_TECH_ELITE_AUDIT_v2-1.md</x:v>
      </x:c>
    </x:row>
    <x:row r="18" ht="39" customHeight="1">
      <x:c r="A18" s="9" t="str">
        <x:v>BIB-034</x:v>
      </x:c>
      <x:c r="B18" s="9" t="str">
        <x:v>The OpenAI Files — restructuring analysis. Interested party.</x:v>
      </x:c>
      <x:c r="C18" s="9" t="str">
        <x:v>Exact linked original not retained in this source-spine entry; see catalog for any recovered related record.</x:v>
      </x:c>
      <x:c r="D18" s="9" t="str">
        <x:v>COR-061</x:v>
      </x:c>
      <x:c r="E18" s="9" t="str">
        <x:v>Bibliographic lead</x:v>
      </x:c>
      <x:c r="F18" s="12" t="str">
        <x:f>IFERROR(HYPERLINK(G18,"Open origin"),"Open origin")</x:f>
        <x:v>Open origin</x:v>
      </x:c>
      <x:c r="G18" s="11" t="str">
        <x:v>sandbox:/workspace/scratch/f26806cbdc5e/sources/library/humans/CONDUCT_DOCKET_TECH_ELITE_AUDIT_v2-1.md</x:v>
      </x:c>
    </x:row>
    <x:row r="19" ht="39" customHeight="1">
      <x:c r="A19" s="9" t="str">
        <x:v>BIB-035</x:v>
      </x:c>
      <x:c r="B19" s="9" t="str">
        <x:v>The Hill, 3 Jan 2026 — USAspending contract totals.</x:v>
      </x:c>
      <x:c r="C19" s="9" t="str">
        <x:v>Exact linked original not retained in this source-spine entry; see catalog for any recovered related record.</x:v>
      </x:c>
      <x:c r="D19" s="9" t="str">
        <x:v>COR-061</x:v>
      </x:c>
      <x:c r="E19" s="9" t="str">
        <x:v>Bibliographic lead</x:v>
      </x:c>
      <x:c r="F19" s="12" t="str">
        <x:f>IFERROR(HYPERLINK(G19,"Open origin"),"Open origin")</x:f>
        <x:v>Open origin</x:v>
      </x:c>
      <x:c r="G19" s="11" t="str">
        <x:v>sandbox:/workspace/scratch/f26806cbdc5e/sources/library/humans/CONDUCT_DOCKET_TECH_ELITE_AUDIT_v2-1.md</x:v>
      </x:c>
    </x:row>
    <x:row r="20" ht="39" customHeight="1">
      <x:c r="A20" s="9" t="str">
        <x:v>BIB-036</x:v>
      </x:c>
      <x:c r="B20" s="9" t="str">
        <x:v>The Intercept (Biddle) / American Oversight, 24 April 2026 — IRS Lead and Case Analytics.</x:v>
      </x:c>
      <x:c r="C20" s="9" t="str">
        <x:v>Exact linked original not retained in this source-spine entry; see catalog for any recovered related record.</x:v>
      </x:c>
      <x:c r="D20" s="9" t="str">
        <x:v>COR-061</x:v>
      </x:c>
      <x:c r="E20" s="9" t="str">
        <x:v>Bibliographic lead</x:v>
      </x:c>
      <x:c r="F20" s="12" t="str">
        <x:f>IFERROR(HYPERLINK(G20,"Open origin"),"Open origin")</x:f>
        <x:v>Open origin</x:v>
      </x:c>
      <x:c r="G20" s="11" t="str">
        <x:v>sandbox:/workspace/scratch/f26806cbdc5e/sources/library/humans/CONDUCT_DOCKET_TECH_ELITE_AUDIT_v2-1.md</x:v>
      </x:c>
    </x:row>
    <x:row r="21" ht="39" customHeight="1">
      <x:c r="A21" s="9" t="str">
        <x:v>BIB-037</x:v>
      </x:c>
      <x:c r="B21" s="9" t="str">
        <x:v>Tax Notes, 18 Feb 2026 — 26 IRS contracts; "mega API."</x:v>
      </x:c>
      <x:c r="C21" s="9" t="str">
        <x:v>Exact linked original not retained in this source-spine entry; see catalog for any recovered related record.</x:v>
      </x:c>
      <x:c r="D21" s="9" t="str">
        <x:v>COR-061</x:v>
      </x:c>
      <x:c r="E21" s="9" t="str">
        <x:v>Bibliographic lead</x:v>
      </x:c>
      <x:c r="F21" s="12" t="str">
        <x:f>IFERROR(HYPERLINK(G21,"Open origin"),"Open origin")</x:f>
        <x:v>Open origin</x:v>
      </x:c>
      <x:c r="G21" s="11" t="str">
        <x:v>sandbox:/workspace/scratch/f26806cbdc5e/sources/library/humans/CONDUCT_DOCKET_TECH_ELITE_AUDIT_v2-1.md</x:v>
      </x:c>
    </x:row>
    <x:row r="22" ht="39" customHeight="1">
      <x:c r="A22" s="9" t="str">
        <x:v>BIB-038</x:v>
      </x:c>
      <x:c r="B22" s="9" t="str">
        <x:v>ACLU — Palantir and the removal campaign; Privacy Act analysis.</x:v>
      </x:c>
      <x:c r="C22" s="9" t="str">
        <x:v>Exact linked original not retained in this source-spine entry; see catalog for any recovered related record.</x:v>
      </x:c>
      <x:c r="D22" s="9" t="str">
        <x:v>COR-061</x:v>
      </x:c>
      <x:c r="E22" s="9" t="str">
        <x:v>Bibliographic lead</x:v>
      </x:c>
      <x:c r="F22" s="12" t="str">
        <x:f>IFERROR(HYPERLINK(G22,"Open origin"),"Open origin")</x:f>
        <x:v>Open origin</x:v>
      </x:c>
      <x:c r="G22" s="11" t="str">
        <x:v>sandbox:/workspace/scratch/f26806cbdc5e/sources/library/humans/CONDUCT_DOCKET_TECH_ELITE_AUDIT_v2-1.md</x:v>
      </x:c>
    </x:row>
    <x:row r="23" ht="39" customHeight="1">
      <x:c r="A23" s="9" t="str">
        <x:v>BIB-039</x:v>
      </x:c>
      <x:c r="B23" s="9" t="str">
        <x:v>Goldman/Wyden/Velázquez letter to DHS and ICE, 14 April 2026 (goldman.house.gov).</x:v>
      </x:c>
      <x:c r="C23" s="9" t="str">
        <x:v>Exact linked original not retained in this source-spine entry; see catalog for any recovered related record.</x:v>
      </x:c>
      <x:c r="D23" s="9" t="str">
        <x:v>COR-061</x:v>
      </x:c>
      <x:c r="E23" s="9" t="str">
        <x:v>Bibliographic lead</x:v>
      </x:c>
      <x:c r="F23" s="12" t="str">
        <x:f>IFERROR(HYPERLINK(G23,"Open origin"),"Open origin")</x:f>
        <x:v>Open origin</x:v>
      </x:c>
      <x:c r="G23" s="11" t="str">
        <x:v>sandbox:/workspace/scratch/f26806cbdc5e/sources/library/humans/CONDUCT_DOCKET_TECH_ELITE_AUDIT_v2-1.md</x:v>
      </x:c>
    </x:row>
    <x:row r="24" ht="39" customHeight="1">
      <x:c r="A24" s="9" t="str">
        <x:v>BIB-040</x:v>
      </x:c>
      <x:c r="B24" s="9" t="str">
        <x:v>House Judiciary Democrats, immigration-contractor corruption letter.</x:v>
      </x:c>
      <x:c r="C24" s="9" t="str">
        <x:v>Exact linked original not retained in this source-spine entry; see catalog for any recovered related record.</x:v>
      </x:c>
      <x:c r="D24" s="9" t="str">
        <x:v>COR-061</x:v>
      </x:c>
      <x:c r="E24" s="9" t="str">
        <x:v>Bibliographic lead</x:v>
      </x:c>
      <x:c r="F24" s="12" t="str">
        <x:f>IFERROR(HYPERLINK(G24,"Open origin"),"Open origin")</x:f>
        <x:v>Open origin</x:v>
      </x:c>
      <x:c r="G24" s="11" t="str">
        <x:v>sandbox:/workspace/scratch/f26806cbdc5e/sources/library/humans/CONDUCT_DOCKET_TECH_ELITE_AUDIT_v2-1.md</x:v>
      </x:c>
    </x:row>
    <x:row r="25" ht="39" customHeight="1">
      <x:c r="A25" s="9" t="str">
        <x:v>BIB-041</x:v>
      </x:c>
      <x:c r="B25" s="9" t="str">
        <x:v>POGO — Miller financial stake; private-prison hiring.</x:v>
      </x:c>
      <x:c r="C25" s="9" t="str">
        <x:v>Exact linked original not retained in this source-spine entry; see catalog for any recovered related record.</x:v>
      </x:c>
      <x:c r="D25" s="9" t="str">
        <x:v>COR-061</x:v>
      </x:c>
      <x:c r="E25" s="9" t="str">
        <x:v>Bibliographic lead</x:v>
      </x:c>
      <x:c r="F25" s="12" t="str">
        <x:f>IFERROR(HYPERLINK(G25,"Open origin"),"Open origin")</x:f>
        <x:v>Open origin</x:v>
      </x:c>
      <x:c r="G25" s="11" t="str">
        <x:v>sandbox:/workspace/scratch/f26806cbdc5e/sources/library/humans/CONDUCT_DOCKET_TECH_ELITE_AUDIT_v2-1.md</x:v>
      </x:c>
    </x:row>
    <x:row r="26" ht="39" customHeight="1">
      <x:c r="A26" s="9" t="str">
        <x:v>BIB-042</x:v>
      </x:c>
      <x:c r="B26" s="9" t="str">
        <x:v>immpolicytracking.org — contract ID and EO justification.</x:v>
      </x:c>
      <x:c r="C26" s="9" t="str">
        <x:v>Exact linked original not retained in this source-spine entry; see catalog for any recovered related record.</x:v>
      </x:c>
      <x:c r="D26" s="9" t="str">
        <x:v>COR-061</x:v>
      </x:c>
      <x:c r="E26" s="9" t="str">
        <x:v>Bibliographic lead</x:v>
      </x:c>
      <x:c r="F26" s="12" t="str">
        <x:f>IFERROR(HYPERLINK(G26,"Open origin"),"Open origin")</x:f>
        <x:v>Open origin</x:v>
      </x:c>
      <x:c r="G26" s="11" t="str">
        <x:v>sandbox:/workspace/scratch/f26806cbdc5e/sources/library/humans/CONDUCT_DOCKET_TECH_ELITE_AUDIT_v2-1.md</x:v>
      </x:c>
    </x:row>
    <x:row r="27" ht="39" customHeight="1">
      <x:c r="A27" s="9" t="str">
        <x:v>BIB-043</x:v>
      </x:c>
      <x:c r="B27" s="9" t="str">
        <x:v>Reuters, 2 Feb 2026 — Karp earnings-call remarks; company position.</x:v>
      </x:c>
      <x:c r="C27" s="9" t="str">
        <x:v>Exact linked original not retained in this source-spine entry; see catalog for any recovered related record.</x:v>
      </x:c>
      <x:c r="D27" s="9" t="str">
        <x:v>COR-061</x:v>
      </x:c>
      <x:c r="E27" s="9" t="str">
        <x:v>Bibliographic lead</x:v>
      </x:c>
      <x:c r="F27" s="12" t="str">
        <x:f>IFERROR(HYPERLINK(G27,"Open origin"),"Open origin")</x:f>
        <x:v>Open origin</x:v>
      </x:c>
      <x:c r="G27" s="11" t="str">
        <x:v>sandbox:/workspace/scratch/f26806cbdc5e/sources/library/humans/CONDUCT_DOCKET_TECH_ELITE_AUDIT_v2-1.md</x:v>
      </x:c>
    </x:row>
    <x:row r="28" ht="39" customHeight="1">
      <x:c r="A28" s="9" t="str">
        <x:v>BIB-044</x:v>
      </x:c>
      <x:c r="B28" s="9" t="str">
        <x:v>WIRED, June 2026 — original verification and roster.</x:v>
      </x:c>
      <x:c r="C28" s="9" t="str">
        <x:v>Exact linked original not retained in this source-spine entry; see catalog for any recovered related record.</x:v>
      </x:c>
      <x:c r="D28" s="9" t="str">
        <x:v>COR-061</x:v>
      </x:c>
      <x:c r="E28" s="9" t="str">
        <x:v>Bibliographic lead</x:v>
      </x:c>
      <x:c r="F28" s="12" t="str">
        <x:f>IFERROR(HYPERLINK(G28,"Open origin"),"Open origin")</x:f>
        <x:v>Open origin</x:v>
      </x:c>
      <x:c r="G28" s="11" t="str">
        <x:v>sandbox:/workspace/scratch/f26806cbdc5e/sources/library/humans/CONDUCT_DOCKET_TECH_ELITE_AUDIT_v2-1.md</x:v>
      </x:c>
    </x:row>
    <x:row r="29" ht="39" customHeight="1">
      <x:c r="A29" s="9" t="str">
        <x:v>BIB-045</x:v>
      </x:c>
      <x:c r="B29" s="9" t="str">
        <x:v>Forbes (Roeloffs), 18 June 2026 — named officials.</x:v>
      </x:c>
      <x:c r="C29" s="9" t="str">
        <x:v>Exact linked original not retained in this source-spine entry; see catalog for any recovered related record.</x:v>
      </x:c>
      <x:c r="D29" s="9" t="str">
        <x:v>COR-061</x:v>
      </x:c>
      <x:c r="E29" s="9" t="str">
        <x:v>Bibliographic lead</x:v>
      </x:c>
      <x:c r="F29" s="12" t="str">
        <x:f>IFERROR(HYPERLINK(G29,"Open origin"),"Open origin")</x:f>
        <x:v>Open origin</x:v>
      </x:c>
      <x:c r="G29" s="11" t="str">
        <x:v>sandbox:/workspace/scratch/f26806cbdc5e/sources/library/humans/CONDUCT_DOCKET_TECH_ELITE_AUDIT_v2-1.md</x:v>
      </x:c>
    </x:row>
    <x:row r="30" ht="39" customHeight="1">
      <x:c r="A30" s="9" t="str">
        <x:v>BIB-046</x:v>
      </x:c>
      <x:c r="B30" s="9" t="str">
        <x:v>Futurism, 19 June 2026 — oversight/contract overlap framing.</x:v>
      </x:c>
      <x:c r="C30" s="9" t="str">
        <x:v>Exact linked original not retained in this source-spine entry; see catalog for any recovered related record.</x:v>
      </x:c>
      <x:c r="D30" s="9" t="str">
        <x:v>COR-061</x:v>
      </x:c>
      <x:c r="E30" s="9" t="str">
        <x:v>Bibliographic lead</x:v>
      </x:c>
      <x:c r="F30" s="12" t="str">
        <x:f>IFERROR(HYPERLINK(G30,"Open origin"),"Open origin")</x:f>
        <x:v>Open origin</x:v>
      </x:c>
      <x:c r="G30" s="11" t="str">
        <x:v>sandbox:/workspace/scratch/f26806cbdc5e/sources/library/humans/CONDUCT_DOCKET_TECH_ELITE_AUDIT_v2-1.md</x:v>
      </x:c>
    </x:row>
    <x:row r="31" ht="39" customHeight="1">
      <x:c r="A31" s="9" t="str">
        <x:v>BIB-047</x:v>
      </x:c>
      <x:c r="B31" s="9" t="str">
        <x:v>Bartz v. Anthropic, N.D. Cal. No. 3:24-cv-05417 — Alsup merits ruling; Martinez-Olguin final approval ~20 July 2026.</x:v>
      </x:c>
      <x:c r="C31" s="9" t="str">
        <x:v>Exact linked original not retained in this source-spine entry; see catalog for any recovered related record.</x:v>
      </x:c>
      <x:c r="D31" s="9" t="str">
        <x:v>COR-061</x:v>
      </x:c>
      <x:c r="E31" s="9" t="str">
        <x:v>Bibliographic lead</x:v>
      </x:c>
      <x:c r="F31" s="12" t="str">
        <x:f>IFERROR(HYPERLINK(G31,"Open origin"),"Open origin")</x:f>
        <x:v>Open origin</x:v>
      </x:c>
      <x:c r="G31" s="11" t="str">
        <x:v>sandbox:/workspace/scratch/f26806cbdc5e/sources/library/humans/CONDUCT_DOCKET_TECH_ELITE_AUDIT_v2-1.md</x:v>
      </x:c>
    </x:row>
    <x:row r="32" ht="39" customHeight="1">
      <x:c r="A32" s="9" t="str">
        <x:v>BIB-048</x:v>
      </x:c>
      <x:c r="B32" s="9" t="str">
        <x:v>Norton Rose Fulbright, AI litigation update 2026 — holdings and settlement terms.</x:v>
      </x:c>
      <x:c r="C32" s="9" t="str">
        <x:v>Exact linked original not retained in this source-spine entry; see catalog for any recovered related record.</x:v>
      </x:c>
      <x:c r="D32" s="9" t="str">
        <x:v>COR-061</x:v>
      </x:c>
      <x:c r="E32" s="9" t="str">
        <x:v>Bibliographic lead</x:v>
      </x:c>
      <x:c r="F32" s="12" t="str">
        <x:f>IFERROR(HYPERLINK(G32,"Open origin"),"Open origin")</x:f>
        <x:v>Open origin</x:v>
      </x:c>
      <x:c r="G32" s="11" t="str">
        <x:v>sandbox:/workspace/scratch/f26806cbdc5e/sources/library/humans/CONDUCT_DOCKET_TECH_ELITE_AUDIT_v2-1.md</x:v>
      </x:c>
    </x:row>
    <x:row r="33" ht="39" customHeight="1">
      <x:c r="A33" s="9" t="str">
        <x:v>BIB-049</x:v>
      </x:c>
      <x:c r="B33" s="9" t="str">
        <x:v>Elsevier et al. v. Meta, S.D.N.Y. No. 1:26-cv-03689, filed 5 May 2026.</x:v>
      </x:c>
      <x:c r="C33" s="9" t="str">
        <x:v>Exact linked original not retained in this source-spine entry; see catalog for any recovered related record.</x:v>
      </x:c>
      <x:c r="D33" s="9" t="str">
        <x:v>COR-061</x:v>
      </x:c>
      <x:c r="E33" s="9" t="str">
        <x:v>Bibliographic lead</x:v>
      </x:c>
      <x:c r="F33" s="12" t="str">
        <x:f>IFERROR(HYPERLINK(G33,"Open origin"),"Open origin")</x:f>
        <x:v>Open origin</x:v>
      </x:c>
      <x:c r="G33" s="11" t="str">
        <x:v>sandbox:/workspace/scratch/f26806cbdc5e/sources/library/humans/CONDUCT_DOCKET_TECH_ELITE_AUDIT_v2-1.md</x:v>
      </x:c>
    </x:row>
    <x:row r="34" ht="39" customHeight="1">
      <x:c r="A34" s="9" t="str">
        <x:v>BIB-050</x:v>
      </x:c>
      <x:c r="B34" s="9" t="str">
        <x:v>Ohio State Copyright Corner — Reuters v. Ross and fair-use posture.</x:v>
      </x:c>
      <x:c r="C34" s="9" t="str">
        <x:v>Exact linked original not retained in this source-spine entry; see catalog for any recovered related record.</x:v>
      </x:c>
      <x:c r="D34" s="9" t="str">
        <x:v>COR-061</x:v>
      </x:c>
      <x:c r="E34" s="9" t="str">
        <x:v>Bibliographic lead</x:v>
      </x:c>
      <x:c r="F34" s="12" t="str">
        <x:f>IFERROR(HYPERLINK(G34,"Open origin"),"Open origin")</x:f>
        <x:v>Open origin</x:v>
      </x:c>
      <x:c r="G34" s="11" t="str">
        <x:v>sandbox:/workspace/scratch/f26806cbdc5e/sources/library/humans/CONDUCT_DOCKET_TECH_ELITE_AUDIT_v2-1.md</x:v>
      </x:c>
    </x:row>
    <x:row r="35" ht="39" customHeight="1">
      <x:c r="A35" s="9" t="str">
        <x:v>BIB-051</x:v>
      </x:c>
      <x:c r="B35" s="9" t="str">
        <x:v>Fortune, 14 July 2026 — $23B figure.</x:v>
      </x:c>
      <x:c r="C35" s="9" t="str">
        <x:v>Exact linked original not retained in this source-spine entry; see catalog for any recovered related record.</x:v>
      </x:c>
      <x:c r="D35" s="9" t="str">
        <x:v>COR-061</x:v>
      </x:c>
      <x:c r="E35" s="9" t="str">
        <x:v>Bibliographic lead</x:v>
      </x:c>
      <x:c r="F35" s="12" t="str">
        <x:f>IFERROR(HYPERLINK(G35,"Open origin"),"Open origin")</x:f>
        <x:v>Open origin</x:v>
      </x:c>
      <x:c r="G35" s="11" t="str">
        <x:v>sandbox:/workspace/scratch/f26806cbdc5e/sources/library/humans/CONDUCT_DOCKET_TECH_ELITE_AUDIT_v2-1.md</x:v>
      </x:c>
    </x:row>
    <x:row r="36" ht="39" customHeight="1">
      <x:c r="A36" s="9" t="str">
        <x:v>BIB-052</x:v>
      </x:c>
      <x:c r="B36" s="9" t="str">
        <x:v>EESI — interconnection requests; rate-increase filings.</x:v>
      </x:c>
      <x:c r="C36" s="9" t="str">
        <x:v>Exact linked original not retained in this source-spine entry; see catalog for any recovered related record.</x:v>
      </x:c>
      <x:c r="D36" s="9" t="str">
        <x:v>COR-061</x:v>
      </x:c>
      <x:c r="E36" s="9" t="str">
        <x:v>Bibliographic lead</x:v>
      </x:c>
      <x:c r="F36" s="12" t="str">
        <x:f>IFERROR(HYPERLINK(G36,"Open origin"),"Open origin")</x:f>
        <x:v>Open origin</x:v>
      </x:c>
      <x:c r="G36" s="11" t="str">
        <x:v>sandbox:/workspace/scratch/f26806cbdc5e/sources/library/humans/CONDUCT_DOCKET_TECH_ELITE_AUDIT_v2-1.md</x:v>
      </x:c>
    </x:row>
    <x:row r="37" ht="39" customHeight="1">
      <x:c r="A37" s="9" t="str">
        <x:v>BIB-053</x:v>
      </x:c>
      <x:c r="B37" s="9" t="str">
        <x:v>E3, "Understanding the Drivers of Rising Electricity Rates and the Role of Data Centers," May 2026 — counter-evidence.</x:v>
      </x:c>
      <x:c r="C37" s="9" t="str">
        <x:v>Exact linked original not retained in this source-spine entry; see catalog for any recovered related record.</x:v>
      </x:c>
      <x:c r="D37" s="9" t="str">
        <x:v>COR-061</x:v>
      </x:c>
      <x:c r="E37" s="9" t="str">
        <x:v>Bibliographic lead</x:v>
      </x:c>
      <x:c r="F37" s="12" t="str">
        <x:f>IFERROR(HYPERLINK(G37,"Open origin"),"Open origin")</x:f>
        <x:v>Open origin</x:v>
      </x:c>
      <x:c r="G37" s="11" t="str">
        <x:v>sandbox:/workspace/scratch/f26806cbdc5e/sources/library/humans/CONDUCT_DOCKET_TECH_ELITE_AUDIT_v2-1.md</x:v>
      </x:c>
    </x:row>
    <x:row r="38" ht="39" customHeight="1">
      <x:c r="A38" s="9" t="str">
        <x:v>BIB-054</x:v>
      </x:c>
      <x:c r="B38" s="9" t="str">
        <x:v>E3 / Virginia JLARC — no historical cost shift finding.</x:v>
      </x:c>
      <x:c r="C38" s="9" t="str">
        <x:v>Exact linked original not retained in this source-spine entry; see catalog for any recovered related record.</x:v>
      </x:c>
      <x:c r="D38" s="9" t="str">
        <x:v>COR-061</x:v>
      </x:c>
      <x:c r="E38" s="9" t="str">
        <x:v>Bibliographic lead</x:v>
      </x:c>
      <x:c r="F38" s="12" t="str">
        <x:f>IFERROR(HYPERLINK(G38,"Open origin"),"Open origin")</x:f>
        <x:v>Open origin</x:v>
      </x:c>
      <x:c r="G38" s="11" t="str">
        <x:v>sandbox:/workspace/scratch/f26806cbdc5e/sources/library/humans/CONDUCT_DOCKET_TECH_ELITE_AUDIT_v2-1.md</x:v>
      </x:c>
    </x:row>
    <x:row r="39" ht="39" customHeight="1">
      <x:c r="A39" s="9" t="str">
        <x:v>BIB-055</x:v>
      </x:c>
      <x:c r="B39" s="9" t="str">
        <x:v>Lawrence Berkeley National Laboratory, retail price trends, 2026 edition.</x:v>
      </x:c>
      <x:c r="C39" s="9" t="str">
        <x:v>Exact linked original not retained in this source-spine entry; see catalog for any recovered related record.</x:v>
      </x:c>
      <x:c r="D39" s="9" t="str">
        <x:v>COR-061</x:v>
      </x:c>
      <x:c r="E39" s="9" t="str">
        <x:v>Bibliographic lead</x:v>
      </x:c>
      <x:c r="F39" s="12" t="str">
        <x:f>IFERROR(HYPERLINK(G39,"Open origin"),"Open origin")</x:f>
        <x:v>Open origin</x:v>
      </x:c>
      <x:c r="G39" s="11" t="str">
        <x:v>sandbox:/workspace/scratch/f26806cbdc5e/sources/library/humans/CONDUCT_DOCKET_TECH_ELITE_AUDIT_v2-1.md</x:v>
      </x:c>
    </x:row>
    <x:row r="40" ht="39" customHeight="1">
      <x:c r="A40" s="9" t="str">
        <x:v>BIB-056</x:v>
      </x:c>
      <x:c r="B40" s="9" t="str">
        <x:v>PolitiFact, 12 June 2026 — the 267% correction.</x:v>
      </x:c>
      <x:c r="C40" s="9" t="str">
        <x:v>Exact linked original not retained in this source-spine entry; see catalog for any recovered related record.</x:v>
      </x:c>
      <x:c r="D40" s="9" t="str">
        <x:v>COR-061</x:v>
      </x:c>
      <x:c r="E40" s="9" t="str">
        <x:v>Bibliographic lead</x:v>
      </x:c>
      <x:c r="F40" s="12" t="str">
        <x:f>IFERROR(HYPERLINK(G40,"Open origin"),"Open origin")</x:f>
        <x:v>Open origin</x:v>
      </x:c>
      <x:c r="G40" s="11" t="str">
        <x:v>sandbox:/workspace/scratch/f26806cbdc5e/sources/library/humans/CONDUCT_DOCKET_TECH_ELITE_AUDIT_v2-1.md</x:v>
      </x:c>
    </x:row>
    <x:row r="41" ht="39" customHeight="1">
      <x:c r="A41" s="9" t="str">
        <x:v>BIB-057</x:v>
      </x:c>
      <x:c r="B41" s="9" t="str">
        <x:v>Consumer Reports, March 2026 — ratepayer pledge; state legislation count.</x:v>
      </x:c>
      <x:c r="C41" s="9" t="str">
        <x:v>Exact linked original not retained in this source-spine entry; see catalog for any recovered related record.</x:v>
      </x:c>
      <x:c r="D41" s="9" t="str">
        <x:v>COR-061</x:v>
      </x:c>
      <x:c r="E41" s="9" t="str">
        <x:v>Bibliographic lead</x:v>
      </x:c>
      <x:c r="F41" s="12" t="str">
        <x:f>IFERROR(HYPERLINK(G41,"Open origin"),"Open origin")</x:f>
        <x:v>Open origin</x:v>
      </x:c>
      <x:c r="G41" s="11" t="str">
        <x:v>sandbox:/workspace/scratch/f26806cbdc5e/sources/library/humans/CONDUCT_DOCKET_TECH_ELITE_AUDIT_v2-1.md</x:v>
      </x:c>
    </x:row>
    <x:row r="42" ht="39" customHeight="1">
      <x:c r="A42" s="9" t="str">
        <x:v>BIB-058</x:v>
      </x:c>
      <x:c r="B42" s="9" t="str">
        <x:v>Stateline, July 2026 — New York moratorium.</x:v>
      </x:c>
      <x:c r="C42" s="9" t="str">
        <x:v>Exact linked original not retained in this source-spine entry; see catalog for any recovered related record.</x:v>
      </x:c>
      <x:c r="D42" s="9" t="str">
        <x:v>COR-061</x:v>
      </x:c>
      <x:c r="E42" s="9" t="str">
        <x:v>Bibliographic lead</x:v>
      </x:c>
      <x:c r="F42" s="12" t="str">
        <x:f>IFERROR(HYPERLINK(G42,"Open origin"),"Open origin")</x:f>
        <x:v>Open origin</x:v>
      </x:c>
      <x:c r="G42" s="11" t="str">
        <x:v>sandbox:/workspace/scratch/f26806cbdc5e/sources/library/humans/CONDUCT_DOCKET_TECH_ELITE_AUDIT_v2-1.md</x:v>
      </x:c>
    </x:row>
    <x:row r="43" ht="39" customHeight="1">
      <x:c r="A43" s="9" t="str">
        <x:v>DOC-01</x:v>
      </x:c>
      <x:c r="B43" s="9" t="str">
        <x:v>Blanche determination</x:v>
      </x:c>
      <x:c r="C43" s="9" t="str">
        <x:v>Actual pre-action §208(b)(1) instrument and reconciliation of the two answers.</x:v>
      </x:c>
      <x:c r="D43" s="9" t="str">
        <x:v>COR-010</x:v>
      </x:c>
      <x:c r="E43" s="9" t="str">
        <x:v>Not recovered in this edition; not a records-request submission</x:v>
      </x:c>
      <x:c r="F43" s="12" t="str">
        <x:f>IFERROR(HYPERLINK(G43,"Open origin"),"Open origin")</x:f>
        <x:v>Open origin</x:v>
      </x:c>
      <x:c r="G43" s="11" t="str">
        <x:v>https://docs.google.com/document/d/1L_7R_A6JmpGGeu4Uc3CvirsrBdmscT-mU7csiaWz-z8/edit?usp=drivesdk</x:v>
      </x:c>
    </x:row>
    <x:row r="44" ht="39" customHeight="1">
      <x:c r="A44" s="9" t="str">
        <x:v>DOC-02</x:v>
      </x:c>
      <x:c r="B44" s="9" t="str">
        <x:v>OpenAI charter and valuation record</x:v>
      </x:c>
      <x:c r="C44" s="9" t="str">
        <x:v>Governing charter and underlying valuation materials; state review itself is documented.</x:v>
      </x:c>
      <x:c r="D44" s="9" t="str">
        <x:v>COR-061</x:v>
      </x:c>
      <x:c r="E44" s="9" t="str">
        <x:v>Not recovered in this edition; not a records-request submission</x:v>
      </x:c>
      <x:c r="F44" s="12" t="str">
        <x:f>IFERROR(HYPERLINK(G44,"Open origin"),"Open origin")</x:f>
        <x:v>Open origin</x:v>
      </x:c>
      <x:c r="G44" s="11" t="str">
        <x:v>sandbox:/workspace/scratch/f26806cbdc5e/sources/library/humans/CONDUCT_DOCKET_TECH_ELITE_AUDIT_v2-1.md</x:v>
      </x:c>
    </x:row>
    <x:row r="45" ht="39" customHeight="1">
      <x:c r="A45" s="9" t="str">
        <x:v>DOC-03</x:v>
      </x:c>
      <x:c r="B45" s="9" t="str">
        <x:v>OpenAI transaction participation</x:v>
      </x:c>
      <x:c r="C45" s="9" t="str">
        <x:v>Contemporaneous committee, recusal and approval records for each named transaction.</x:v>
      </x:c>
      <x:c r="D45" s="9" t="str">
        <x:v>COR-061</x:v>
      </x:c>
      <x:c r="E45" s="9" t="str">
        <x:v>Not recovered in this edition; not a records-request submission</x:v>
      </x:c>
      <x:c r="F45" s="12" t="str">
        <x:f>IFERROR(HYPERLINK(G45,"Open origin"),"Open origin")</x:f>
        <x:v>Open origin</x:v>
      </x:c>
      <x:c r="G45" s="11" t="str">
        <x:v>sandbox:/workspace/scratch/f26806cbdc5e/sources/library/humans/CONDUCT_DOCKET_TECH_ELITE_AUDIT_v2-1.md</x:v>
      </x:c>
    </x:row>
    <x:row r="46" ht="39" customHeight="1">
      <x:c r="A46" s="9" t="str">
        <x:v>DOC-04</x:v>
      </x:c>
      <x:c r="B46" s="9" t="str">
        <x:v>ICE original competition chain</x:v>
      </x:c>
      <x:c r="C46" s="9" t="str">
        <x:v>Original 2022 solicitation, quotes, evaluation, award and field-level metadata lineage.</x:v>
      </x:c>
      <x:c r="D46" s="9" t="str">
        <x:v>COR-005</x:v>
      </x:c>
      <x:c r="E46" s="9" t="str">
        <x:v>Not recovered in this edition; not a records-request submission</x:v>
      </x:c>
      <x:c r="F46" s="12" t="str">
        <x:f>IFERROR(HYPERLINK(G46,"Open origin"),"Open origin")</x:f>
        <x:v>Open origin</x:v>
      </x:c>
      <x:c r="G46" s="11" t="str">
        <x:v>https://docs.google.com/document/d/19T1MZR1kqT-ajRCPJ4JJ3xzWVHzrl42fyL75kLqNkfQ/edit?usp=drivesdk</x:v>
      </x:c>
    </x:row>
    <x:row r="47" ht="39" customHeight="1">
      <x:c r="A47" s="9" t="str">
        <x:v>DOC-05</x:v>
      </x:c>
      <x:c r="B47" s="9" t="str">
        <x:v>Dataset use and deletion inventory</x:v>
      </x:c>
      <x:c r="C47" s="9" t="str">
        <x:v>Dataset-specific receipt, access, ingestion, query, output, copy and deletion records.</x:v>
      </x:c>
      <x:c r="D47" s="9" t="str">
        <x:v>COR-052</x:v>
      </x:c>
      <x:c r="E47" s="9" t="str">
        <x:v>Not recovered in this edition; not a records-request submission</x:v>
      </x:c>
      <x:c r="F47" s="12" t="str">
        <x:f>IFERROR(HYPERLINK(G47,"Open origin"),"Open origin")</x:f>
        <x:v>Open origin</x:v>
      </x:c>
      <x:c r="G47" s="11" t="str">
        <x:v>sandbox:/workspace/scratch/f26806cbdc5e/sources/library/HUMAN_SIDE_SOURCE_REGISTER_v0.2_review(10).md</x:v>
      </x:c>
    </x:row>
    <x:row r="48" ht="39" customHeight="1">
      <x:c r="A48" s="9" t="str">
        <x:v>DOC-06</x:v>
      </x:c>
      <x:c r="B48" s="9" t="str">
        <x:v>Religious-policy implementation</x:v>
      </x:c>
      <x:c r="C48" s="9" t="str">
        <x:v>A named grant, contract, rule, employment or enforcement decision and its inputs.</x:v>
      </x:c>
      <x:c r="D48" s="9" t="str">
        <x:v>COR-052</x:v>
      </x:c>
      <x:c r="E48" s="9" t="str">
        <x:v>Not recovered in this edition; not a records-request submission</x:v>
      </x:c>
      <x:c r="F48" s="12" t="str">
        <x:f>IFERROR(HYPERLINK(G48,"Open origin"),"Open origin")</x:f>
        <x:v>Open origin</x:v>
      </x:c>
      <x:c r="G48" s="11" t="str">
        <x:v>sandbox:/workspace/scratch/f26806cbdc5e/sources/library/HUMAN_SIDE_SOURCE_REGISTER_v0.2_review(10).md</x:v>
      </x:c>
    </x:row>
    <x:row r="49" ht="39" customHeight="1">
      <x:c r="A49" s="9" t="str">
        <x:v>DOC-07</x:v>
      </x:c>
      <x:c r="B49" s="9" t="str">
        <x:v>Commission continuation</x:v>
      </x:c>
      <x:c r="C49" s="9" t="str">
        <x:v>An extension or later governing instrument with effective dates.</x:v>
      </x:c>
      <x:c r="D49" s="9" t="str">
        <x:v>COR-020</x:v>
      </x:c>
      <x:c r="E49" s="9" t="str">
        <x:v>Not recovered in this edition; not a records-request submission</x:v>
      </x:c>
      <x:c r="F49" s="12" t="str">
        <x:f>IFERROR(HYPERLINK(G49,"Open origin"),"Open origin")</x:f>
        <x:v>Open origin</x:v>
      </x:c>
      <x:c r="G49" s="11" t="str">
        <x:v>https://docs.google.com/document/d/1eMHtb7af2W3QsTASP0sfStAy8XuAlmYk4gD3F52qr_w/edit?usp=drivesdk</x:v>
      </x:c>
    </x:row>
    <x:row r="50" ht="39" customHeight="1">
      <x:c r="A50" s="9" t="str">
        <x:v>DOC-08</x:v>
      </x:c>
      <x:c r="B50" s="9" t="str">
        <x:v>Barbaccia actual start</x:v>
      </x:c>
      <x:c r="C50" s="9" t="str">
        <x:v>Actual employment commencement rather than an older announced plan.</x:v>
      </x:c>
      <x:c r="D50" s="9" t="str">
        <x:v>COR-020</x:v>
      </x:c>
      <x:c r="E50" s="9" t="str">
        <x:v>Not recovered in this edition; not a records-request submission</x:v>
      </x:c>
      <x:c r="F50" s="12" t="str">
        <x:f>IFERROR(HYPERLINK(G50,"Open origin"),"Open origin")</x:f>
        <x:v>Open origin</x:v>
      </x:c>
      <x:c r="G50" s="11" t="str">
        <x:v>https://docs.google.com/document/d/1eMHtb7af2W3QsTASP0sfStAy8XuAlmYk4gD3F52qr_w/edit?usp=drivesdk</x:v>
      </x:c>
    </x:row>
    <x:row r="51" ht="39" customHeight="1">
      <x:c r="A51" s="9" t="str">
        <x:v>DOC-09</x:v>
      </x:c>
      <x:c r="B51" s="9" t="str">
        <x:v>Data-center cost allocation</x:v>
      </x:c>
      <x:c r="C51" s="9" t="str">
        <x:v>Specific tariff, contract or regulator decision assigning costs in a named place and period.</x:v>
      </x:c>
      <x:c r="D51" s="9" t="str">
        <x:v>COR-059</x:v>
      </x:c>
      <x:c r="E51" s="9" t="str">
        <x:v>Not recovered in this edition; not a records-request submission</x:v>
      </x:c>
      <x:c r="F51" s="12" t="str">
        <x:f>IFERROR(HYPERLINK(G51,"Open origin"),"Open origin")</x:f>
        <x:v>Open origin</x:v>
      </x:c>
      <x:c r="G51" s="11" t="str">
        <x:v>sandbox:/workspace/scratch/f26806cbdc5e/sources/library/Timekeepers/timekeeper_source_spine_v0_5_integrated.xlsx</x:v>
      </x:c>
    </x:row>
    <x:row r="52" ht="39" customHeight="1">
      <x:c r="A52" s="9" t="str">
        <x:v>DOC-10</x:v>
      </x:c>
      <x:c r="B52" s="9" t="str">
        <x:v>Defense-technology implementation</x:v>
      </x:c>
      <x:c r="C52" s="9" t="str">
        <x:v>Dated enacted text, authorization, appropriation and implementing instruments after the index cutoff.</x:v>
      </x:c>
      <x:c r="D52" s="9" t="str">
        <x:v>COR-066</x:v>
      </x:c>
      <x:c r="E52" s="9" t="str">
        <x:v>Not recovered in this edition; not a records-request submission</x:v>
      </x:c>
      <x:c r="F52" s="12" t="str">
        <x:f>IFERROR(HYPERLINK(G52,"Open origin"),"Open origin")</x:f>
        <x:v>Open origin</x:v>
      </x:c>
      <x:c r="G52" s="11" t="str">
        <x:v>sandbox:/workspace/scratch/f26806cbdc5e/sources/library/humans/LONG_REVELATION_RESEARCH_INDEX-1.md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7e18f5dc1f444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0" hidden="0" customWidth="1"/>
    <x:col min="3" max="3" width="23" hidden="0" customWidth="1"/>
    <x:col min="4" max="4" width="46" hidden="0" customWidth="1"/>
    <x:col min="5" max="5" width="100" hidden="0" customWidth="1"/>
    <x:col min="6" max="6" width="16" hidden="0" customWidth="1"/>
    <x:col min="7" max="7" width="63" hidden="0" customWidth="1"/>
    <x:col min="8" max="8" width="16" hidden="0" customWidth="1"/>
    <x:col min="9" max="9" width="90" hidden="0" customWidth="1"/>
    <x:col min="10" max="10" width="72" hidden="0" customWidth="1"/>
    <x:col min="11" max="11" width="72" hidden="0" customWidth="1"/>
  </x:cols>
  <x:sheetData>
    <x:row r="1" ht="38" customHeight="1">
      <x:c r="A1" s="4" t="str">
        <x:v>CORPUS MANIFEST · RECOVERED ITEMS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6" t="str">
        <x:v>Counts include archive members, native text recoveries, binary source files and identified duplicates. Hashes describe this recovery, not a certification of source truth.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0" customHeight="1">
      <x:c r="A4" s="8" t="str">
        <x:v>ID</x:v>
      </x:c>
      <x:c r="B4" s="8" t="str">
        <x:v>Title / filename</x:v>
      </x:c>
      <x:c r="C4" s="8" t="str">
        <x:v>Origin</x:v>
      </x:c>
      <x:c r="D4" s="8" t="str">
        <x:v>Source identity</x:v>
      </x:c>
      <x:c r="E4" s="8" t="str">
        <x:v>Recovery path</x:v>
      </x:c>
      <x:c r="F4" s="8" t="str">
        <x:v>Duplicate of</x:v>
      </x:c>
      <x:c r="G4" s="8" t="str">
        <x:v>Notes</x:v>
      </x:c>
      <x:c r="H4" s="8" t="str">
        <x:v>Source</x:v>
      </x:c>
      <x:c r="I4" s="8" t="str">
        <x:v>Raw URL</x:v>
      </x:c>
      <x:c r="J4" s="8" t="str">
        <x:v>SHA-256</x:v>
      </x:c>
      <x:c r="K4" s="8" t="str">
        <x:v>Text SHA-256</x:v>
      </x:c>
    </x:row>
    <x:row r="5" ht="39" customHeight="1">
      <x:c r="A5" s="9" t="str">
        <x:v>COR-001</x:v>
      </x:c>
      <x:c r="B5" s="9" t="str">
        <x:v>Filing_packet_2026-07-31.txt</x:v>
      </x:c>
      <x:c r="C5" s="9" t="str">
        <x:v>Retrieved correspondence</x:v>
      </x:c>
      <x:c r="D5" s="9" t="str"/>
      <x:c r="E5" s="9" t="str">
        <x:v>Filing_packet_2026-07-31.txt</x:v>
      </x:c>
      <x:c r="F5" s="9" t="str"/>
      <x:c r="G5" s="9" t="str">
        <x:v>Research filing packet correspondence</x:v>
      </x:c>
      <x:c r="H5" s="12" t="str">
        <x:f>IFERROR(HYPERLINK(I5,"Open source"),"Open source")</x:f>
        <x:v>Open source</x:v>
      </x:c>
      <x:c r="I5" s="11" t="str">
        <x:v>sandbox:/workspace/scratch/f26806cbdc5e/sources/Filing_packet_2026-07-31.txt</x:v>
      </x:c>
      <x:c r="J5" s="11" t="str">
        <x:v>354bf8af262b6c06a3bb0c19ad11fec2c750cb6f4086757ca4d8883a650d506e</x:v>
      </x:c>
      <x:c r="K5" s="11" t="str">
        <x:v>d5ea5f0fc8c76f505aaf84e366c1d28e939ea29ba890f719843fd5994cd7081b</x:v>
      </x:c>
    </x:row>
    <x:row r="6" ht="39" customHeight="1">
      <x:c r="A6" s="9" t="str">
        <x:v>COR-002</x:v>
      </x:c>
      <x:c r="B6" s="9" t="str">
        <x:v>APPARATUS WITH ITS BRAKES REMOVED</x:v>
      </x:c>
      <x:c r="C6" s="9" t="str">
        <x:v>Drive</x:v>
      </x:c>
      <x:c r="D6" s="9" t="str">
        <x:v>16J1EvH8D4EvaVteqZbaZ220Ciz3ZpmW4rPcWhy1cTCM</x:v>
      </x:c>
      <x:c r="E6" s="9" t="str">
        <x:v>drive/16J1EvH8D4EvaVteqZbaZ220Ciz3ZpmW4rPcWhy1cTCM.txt</x:v>
      </x:c>
      <x:c r="F6" s="9" t="str"/>
      <x:c r="G6" s="9" t="str">
        <x:v>Retrieved source document</x:v>
      </x:c>
      <x:c r="H6" s="12" t="str">
        <x:f>IFERROR(HYPERLINK(I6,"Open source"),"Open source")</x:f>
        <x:v>Open source</x:v>
      </x:c>
      <x:c r="I6" s="11" t="str">
        <x:v>https://docs.google.com/document/d/16J1EvH8D4EvaVteqZbaZ220Ciz3ZpmW4rPcWhy1cTCM/edit?usp=drivesdk</x:v>
      </x:c>
      <x:c r="J6" s="11" t="str">
        <x:v>5ff78c0efb7cff41fe0eaa1ebd75455db3bc1055ca79da9c23fde1e2cff37d9f</x:v>
      </x:c>
      <x:c r="K6" s="11" t="str">
        <x:v>23e69c9cb2999ef8185bed7ac8b73ecf31b23b1058451c4f4d9c8b3255444e1b</x:v>
      </x:c>
    </x:row>
    <x:row r="7" ht="39" customHeight="1">
      <x:c r="A7" s="9" t="str">
        <x:v>COR-003</x:v>
      </x:c>
      <x:c r="B7" s="9" t="str">
        <x:v>Jacobus reconstructs</x:v>
      </x:c>
      <x:c r="C7" s="9" t="str">
        <x:v>Drive</x:v>
      </x:c>
      <x:c r="D7" s="9" t="str">
        <x:v>16Ut3EgtPw4MZ_v1qWTonZXBw33SN9qCmUgBwlbfE0HA</x:v>
      </x:c>
      <x:c r="E7" s="9" t="str">
        <x:v>drive/16Ut3EgtPw4MZ_v1qWTonZXBw33SN9qCmUgBwlbfE0HA.txt</x:v>
      </x:c>
      <x:c r="F7" s="9" t="str"/>
      <x:c r="G7" s="9" t="str">
        <x:v>Retrieved source document</x:v>
      </x:c>
      <x:c r="H7" s="12" t="str">
        <x:f>IFERROR(HYPERLINK(I7,"Open source"),"Open source")</x:f>
        <x:v>Open source</x:v>
      </x:c>
      <x:c r="I7" s="11" t="str">
        <x:v>https://docs.google.com/document/d/16Ut3EgtPw4MZ_v1qWTonZXBw33SN9qCmUgBwlbfE0HA/edit?usp=drivesdk</x:v>
      </x:c>
      <x:c r="J7" s="11" t="str">
        <x:v>e5414f1679e942664db42a531728e7f8b7cfa8e0e64f214832b50d626d5c700e</x:v>
      </x:c>
      <x:c r="K7" s="11" t="str">
        <x:v>aa0ade2f0eff359e439f6a5ae0caa2c281af616aa3ea75833ba73ee0c56e7935</x:v>
      </x:c>
    </x:row>
    <x:row r="8" ht="39" customHeight="1">
      <x:c r="A8" s="9" t="str">
        <x:v>COR-004</x:v>
      </x:c>
      <x:c r="B8" s="9" t="str">
        <x:v># BLACK FURNACE 13</x:v>
      </x:c>
      <x:c r="C8" s="9" t="str">
        <x:v>Drive</x:v>
      </x:c>
      <x:c r="D8" s="9" t="str">
        <x:v>17-HEFrNfV_V-CA-c_DhQERaf4DyLYgR5gCBW8aImPyI</x:v>
      </x:c>
      <x:c r="E8" s="9" t="str">
        <x:v>drive/17-HEFrNfV_V-CA-c_DhQERaf4DyLYgR5gCBW8aImPyI.txt</x:v>
      </x:c>
      <x:c r="F8" s="9" t="str"/>
      <x:c r="G8" s="9" t="str">
        <x:v>Retrieved source document</x:v>
      </x:c>
      <x:c r="H8" s="12" t="str">
        <x:f>IFERROR(HYPERLINK(I8,"Open source"),"Open source")</x:f>
        <x:v>Open source</x:v>
      </x:c>
      <x:c r="I8" s="11" t="str">
        <x:v>https://docs.google.com/document/d/17-HEFrNfV_V-CA-c_DhQERaf4DyLYgR5gCBW8aImPyI/edit?usp=drivesdk</x:v>
      </x:c>
      <x:c r="J8" s="11" t="str">
        <x:v>24455679fdd9ba1684dab312d470abdabd1729fae6ae5a766bf2545e8485733e</x:v>
      </x:c>
      <x:c r="K8" s="11" t="str">
        <x:v>e921ddf14eb8c7b2ab11d13974d34b939b7ad2a0f39911b9b6193e5d755674f0</x:v>
      </x:c>
    </x:row>
    <x:row r="9" ht="39" customHeight="1">
      <x:c r="A9" s="9" t="str">
        <x:v>COR-005</x:v>
      </x:c>
      <x:c r="B9" s="9" t="str">
        <x:v># Routes of Institutional Power</x:v>
      </x:c>
      <x:c r="C9" s="9" t="str">
        <x:v>Drive</x:v>
      </x:c>
      <x:c r="D9" s="9" t="str">
        <x:v>19T1MZR1kqT-ajRCPJ4JJ3xzWVHzrl42fyL75kLqNkfQ</x:v>
      </x:c>
      <x:c r="E9" s="9" t="str">
        <x:v>drive/19T1MZR1kqT-ajRCPJ4JJ3xzWVHzrl42fyL75kLqNkfQ.txt</x:v>
      </x:c>
      <x:c r="F9" s="9" t="str"/>
      <x:c r="G9" s="9" t="str">
        <x:v>Retrieved source document</x:v>
      </x:c>
      <x:c r="H9" s="12" t="str">
        <x:f>IFERROR(HYPERLINK(I9,"Open source"),"Open source")</x:f>
        <x:v>Open source</x:v>
      </x:c>
      <x:c r="I9" s="11" t="str">
        <x:v>https://docs.google.com/document/d/19T1MZR1kqT-ajRCPJ4JJ3xzWVHzrl42fyL75kLqNkfQ/edit?usp=drivesdk</x:v>
      </x:c>
      <x:c r="J9" s="11" t="str">
        <x:v>9c99fd4f7e9a4aebb5b2a2146999449e741140f3f0c68329ba11847c254c3eb5</x:v>
      </x:c>
      <x:c r="K9" s="11" t="str">
        <x:v>e094840722872c4461355076ae0346beeca58f394915172f786d7b850173eccd</x:v>
      </x:c>
    </x:row>
    <x:row r="10" ht="39" customHeight="1">
      <x:c r="A10" s="9" t="str">
        <x:v>COR-006</x:v>
      </x:c>
      <x:c r="B10" s="9" t="str">
        <x:v>SILICON GOD NECROPOLIS</x:v>
      </x:c>
      <x:c r="C10" s="9" t="str">
        <x:v>Drive</x:v>
      </x:c>
      <x:c r="D10" s="9" t="str">
        <x:v>1B8u7wF2kUYeNLg_em-SGDsOqdX5IV7URMyGA2pI5_Ig</x:v>
      </x:c>
      <x:c r="E10" s="9" t="str">
        <x:v>drive/1B8u7wF2kUYeNLg_em-SGDsOqdX5IV7URMyGA2pI5_Ig.txt</x:v>
      </x:c>
      <x:c r="F10" s="9" t="str"/>
      <x:c r="G10" s="9" t="str">
        <x:v>Retrieved source document</x:v>
      </x:c>
      <x:c r="H10" s="12" t="str">
        <x:f>IFERROR(HYPERLINK(I10,"Open source"),"Open source")</x:f>
        <x:v>Open source</x:v>
      </x:c>
      <x:c r="I10" s="11" t="str">
        <x:v>https://docs.google.com/document/d/1B8u7wF2kUYeNLg_em-SGDsOqdX5IV7URMyGA2pI5_Ig/edit?usp=drivesdk</x:v>
      </x:c>
      <x:c r="J10" s="11" t="str">
        <x:v>789b99a21843b425af010dcb24dc4b280896b2debb6001ef24cd862aa07ca474</x:v>
      </x:c>
      <x:c r="K10" s="11" t="str">
        <x:v>bd52cc33a739b110f1000ff25f69a4e5fa7c07b5fe20ad117452807311c607c9</x:v>
      </x:c>
    </x:row>
    <x:row r="11" ht="39" customHeight="1">
      <x:c r="A11" s="9" t="str">
        <x:v>COR-007</x:v>
      </x:c>
      <x:c r="B11" s="9" t="str">
        <x:v># No One Owns Tuesday</x:v>
      </x:c>
      <x:c r="C11" s="9" t="str">
        <x:v>Drive</x:v>
      </x:c>
      <x:c r="D11" s="9" t="str">
        <x:v>1CaOdJi3C2fXxdbyokczAk7H6SiPK_uyCTDgvpDqCD2Q</x:v>
      </x:c>
      <x:c r="E11" s="9" t="str">
        <x:v>drive/1CaOdJi3C2fXxdbyokczAk7H6SiPK_uyCTDgvpDqCD2Q.txt</x:v>
      </x:c>
      <x:c r="F11" s="9" t="str"/>
      <x:c r="G11" s="9" t="str">
        <x:v>Retrieved source document</x:v>
      </x:c>
      <x:c r="H11" s="12" t="str">
        <x:f>IFERROR(HYPERLINK(I11,"Open source"),"Open source")</x:f>
        <x:v>Open source</x:v>
      </x:c>
      <x:c r="I11" s="11" t="str">
        <x:v>https://docs.google.com/document/d/1CaOdJi3C2fXxdbyokczAk7H6SiPK_uyCTDgvpDqCD2Q/edit?usp=drivesdk</x:v>
      </x:c>
      <x:c r="J11" s="11" t="str">
        <x:v>b329e2e2d1d7f70a83a388a9a77e36d6bfc901209abe91656a095c7e3f846d57</x:v>
      </x:c>
      <x:c r="K11" s="11" t="str">
        <x:v>256be0e8e6f33462b019d589245d0779c2971361f5f6457a2d1a7f473a75efeb</x:v>
      </x:c>
    </x:row>
    <x:row r="12" ht="39" customHeight="1">
      <x:c r="A12" s="9" t="str">
        <x:v>COR-008</x:v>
      </x:c>
      <x:c r="B12" s="9" t="str">
        <x:v># Repository Forensic Assessment</x:v>
      </x:c>
      <x:c r="C12" s="9" t="str">
        <x:v>Drive</x:v>
      </x:c>
      <x:c r="D12" s="9" t="str">
        <x:v>1I7KNiasXYTBXkuctGSGoy33j5nhf0db3i6L6uOTGFeg</x:v>
      </x:c>
      <x:c r="E12" s="9" t="str">
        <x:v>drive/1I7KNiasXYTBXkuctGSGoy33j5nhf0db3i6L6uOTGFeg.txt</x:v>
      </x:c>
      <x:c r="F12" s="9" t="str"/>
      <x:c r="G12" s="9" t="str">
        <x:v>Retrieved source document</x:v>
      </x:c>
      <x:c r="H12" s="12" t="str">
        <x:f>IFERROR(HYPERLINK(I12,"Open source"),"Open source")</x:f>
        <x:v>Open source</x:v>
      </x:c>
      <x:c r="I12" s="11" t="str">
        <x:v>https://docs.google.com/document/d/1I7KNiasXYTBXkuctGSGoy33j5nhf0db3i6L6uOTGFeg/edit?usp=drivesdk</x:v>
      </x:c>
      <x:c r="J12" s="11" t="str">
        <x:v>7e8b4a2389c467b5b44164ffbe60b882304e875aa0febf87ab3aae08dc67b3b2</x:v>
      </x:c>
      <x:c r="K12" s="11" t="str">
        <x:v>cd0643bc40439013c4670582568efdcef00f2c354b15b5149d723af44b161d38</x:v>
      </x:c>
    </x:row>
    <x:row r="13" ht="39" customHeight="1">
      <x:c r="A13" s="9" t="str">
        <x:v>COR-009</x:v>
      </x:c>
      <x:c r="B13" s="9" t="str">
        <x:v>TechrevQuick pull</x:v>
      </x:c>
      <x:c r="C13" s="9" t="str">
        <x:v>Drive</x:v>
      </x:c>
      <x:c r="D13" s="9" t="str">
        <x:v>1IZs652Qk_HBKoAecL8OSKR0hUO1LuvMD6G3Rys3H93I</x:v>
      </x:c>
      <x:c r="E13" s="9" t="str">
        <x:v>drive/1IZs652Qk_HBKoAecL8OSKR0hUO1LuvMD6G3Rys3H93I.txt</x:v>
      </x:c>
      <x:c r="F13" s="9" t="str"/>
      <x:c r="G13" s="9" t="str">
        <x:v>Retrieved source document</x:v>
      </x:c>
      <x:c r="H13" s="12" t="str">
        <x:f>IFERROR(HYPERLINK(I13,"Open source"),"Open source")</x:f>
        <x:v>Open source</x:v>
      </x:c>
      <x:c r="I13" s="11" t="str">
        <x:v>https://docs.google.com/document/d/1IZs652Qk_HBKoAecL8OSKR0hUO1LuvMD6G3Rys3H93I/edit?usp=drivesdk</x:v>
      </x:c>
      <x:c r="J13" s="11" t="str">
        <x:v>7c4d290587dd1b39e53fbbe98e5cd76690ff8a63068cfe7fdcac482169ff8451</x:v>
      </x:c>
      <x:c r="K13" s="11" t="str">
        <x:v>ed78054a58d4021023351764047688d4298af7782d741bb4c324532e0588bbf9</x:v>
      </x:c>
    </x:row>
    <x:row r="14" ht="39" customHeight="1">
      <x:c r="A14" s="9" t="str">
        <x:v>COR-010</x:v>
      </x:c>
      <x:c r="B14" s="9" t="str">
        <x:v>J-02 — Todd Blanche, DOJ Crypto Policy &amp; Financial Interests — Canonical Evidence Packet v1.0</x:v>
      </x:c>
      <x:c r="C14" s="9" t="str">
        <x:v>Drive</x:v>
      </x:c>
      <x:c r="D14" s="9" t="str">
        <x:v>1L_7R_A6JmpGGeu4Uc3CvirsrBdmscT-mU7csiaWz-z8</x:v>
      </x:c>
      <x:c r="E14" s="9" t="str">
        <x:v>drive/1L_7R_A6JmpGGeu4Uc3CvirsrBdmscT-mU7csiaWz-z8.txt</x:v>
      </x:c>
      <x:c r="F14" s="9" t="str"/>
      <x:c r="G14" s="9" t="str">
        <x:v>Retrieved source document</x:v>
      </x:c>
      <x:c r="H14" s="12" t="str">
        <x:f>IFERROR(HYPERLINK(I14,"Open source"),"Open source")</x:f>
        <x:v>Open source</x:v>
      </x:c>
      <x:c r="I14" s="11" t="str">
        <x:v>https://docs.google.com/document/d/1L_7R_A6JmpGGeu4Uc3CvirsrBdmscT-mU7csiaWz-z8/edit?usp=drivesdk</x:v>
      </x:c>
      <x:c r="J14" s="11" t="str">
        <x:v>44962899334caf16a7fd90ea78d80cfcfad644ed49f9c31925f70929ffbbf03a</x:v>
      </x:c>
      <x:c r="K14" s="11" t="str">
        <x:v>05f314bd4ce9edce03c9cc561470be8b36c990340c72d0c7fb28f8e9b6e4bb5d</x:v>
      </x:c>
    </x:row>
    <x:row r="15" ht="39" customHeight="1">
      <x:c r="A15" s="9" t="str">
        <x:v>COR-011</x:v>
      </x:c>
      <x:c r="B15" s="9" t="str">
        <x:v>Revelation, Empire, and the Silicon God Necropolis</x:v>
      </x:c>
      <x:c r="C15" s="9" t="str">
        <x:v>Drive</x:v>
      </x:c>
      <x:c r="D15" s="9" t="str">
        <x:v>1LwsraFCPhMdzpnvfLu2g3MLK40UelmQ1aws_mVd6TCs</x:v>
      </x:c>
      <x:c r="E15" s="9" t="str">
        <x:v>drive/1LwsraFCPhMdzpnvfLu2g3MLK40UelmQ1aws_mVd6TCs.txt</x:v>
      </x:c>
      <x:c r="F15" s="9" t="str"/>
      <x:c r="G15" s="9" t="str">
        <x:v>Retrieved source document</x:v>
      </x:c>
      <x:c r="H15" s="12" t="str">
        <x:f>IFERROR(HYPERLINK(I15,"Open source"),"Open source")</x:f>
        <x:v>Open source</x:v>
      </x:c>
      <x:c r="I15" s="11" t="str">
        <x:v>https://docs.google.com/document/d/1LwsraFCPhMdzpnvfLu2g3MLK40UelmQ1aws_mVd6TCs/edit?usp=drivesdk</x:v>
      </x:c>
      <x:c r="J15" s="11" t="str">
        <x:v>f6fe8b2e19a288df81cb49138e02af2f1c19ce133e93d2bb65b8424fa4f87463</x:v>
      </x:c>
      <x:c r="K15" s="11" t="str">
        <x:v>af9e96f019c3ce4575ee66bdaf6fcf36051e6ea9dbeabfa4a989b655a8337809</x:v>
      </x:c>
    </x:row>
    <x:row r="16" ht="39" customHeight="1">
      <x:c r="A16" s="9" t="str">
        <x:v>COR-012</x:v>
      </x:c>
      <x:c r="B16" s="9" t="str">
        <x:v>THE COUP AT THE THIRTEENTH HOUR v0.3 — THE COMPILED-TIME SEAM</x:v>
      </x:c>
      <x:c r="C16" s="9" t="str">
        <x:v>Drive</x:v>
      </x:c>
      <x:c r="D16" s="9" t="str">
        <x:v>1MknukA-xb9iyh6Slu6fN_otvc6N22eHiJGXTepn9Jwc</x:v>
      </x:c>
      <x:c r="E16" s="9" t="str">
        <x:v>drive/1MknukA-xb9iyh6Slu6fN_otvc6N22eHiJGXTepn9Jwc.txt</x:v>
      </x:c>
      <x:c r="F16" s="9" t="str"/>
      <x:c r="G16" s="9" t="str">
        <x:v>Retrieved source document</x:v>
      </x:c>
      <x:c r="H16" s="12" t="str">
        <x:f>IFERROR(HYPERLINK(I16,"Open source"),"Open source")</x:f>
        <x:v>Open source</x:v>
      </x:c>
      <x:c r="I16" s="11" t="str">
        <x:v>https://docs.google.com/document/d/1MknukA-xb9iyh6Slu6fN_otvc6N22eHiJGXTepn9Jwc/edit?usp=drivesdk</x:v>
      </x:c>
      <x:c r="J16" s="11" t="str">
        <x:v>44620eea64b989fcc8321cb5b783c0788dcc39c563693def9a793194015cf954</x:v>
      </x:c>
      <x:c r="K16" s="11" t="str">
        <x:v>9ba58eabcdcc41ba636db88dc03bea71a2055d0a95c922dbfd47322538eb6d84</x:v>
      </x:c>
    </x:row>
    <x:row r="17" ht="39" customHeight="1">
      <x:c r="A17" s="9" t="str">
        <x:v>COR-013</x:v>
      </x:c>
      <x:c r="B17" s="9" t="str">
        <x:v>POST-FREEZE MOVEMENT LEDGER — Wobble + Coup + Corridors — v0.1</x:v>
      </x:c>
      <x:c r="C17" s="9" t="str">
        <x:v>Drive</x:v>
      </x:c>
      <x:c r="D17" s="9" t="str">
        <x:v>1NllZE54FSGiV1dKNukEd2dnJBfKWelL1OZbpbJ_UJrk</x:v>
      </x:c>
      <x:c r="E17" s="9" t="str">
        <x:v>drive/1NllZE54FSGiV1dKNukEd2dnJBfKWelL1OZbpbJ_UJrk.txt</x:v>
      </x:c>
      <x:c r="F17" s="9" t="str"/>
      <x:c r="G17" s="9" t="str">
        <x:v>Retrieved source document</x:v>
      </x:c>
      <x:c r="H17" s="12" t="str">
        <x:f>IFERROR(HYPERLINK(I17,"Open source"),"Open source")</x:f>
        <x:v>Open source</x:v>
      </x:c>
      <x:c r="I17" s="11" t="str">
        <x:v>https://docs.google.com/document/d/1NllZE54FSGiV1dKNukEd2dnJBfKWelL1OZbpbJ_UJrk/edit?usp=drivesdk</x:v>
      </x:c>
      <x:c r="J17" s="11" t="str">
        <x:v>e97f2d86e1a899500acca9ba07b4f7d1e1b337d29fc6830c19e25823563e2172</x:v>
      </x:c>
      <x:c r="K17" s="11" t="str">
        <x:v>f18f2bf5f3f1f011d68b9f0aa304527b0ad0658181a36260cda6a87b5ed991ab</x:v>
      </x:c>
    </x:row>
    <x:row r="18" ht="39" customHeight="1">
      <x:c r="A18" s="9" t="str">
        <x:v>COR-014</x:v>
      </x:c>
      <x:c r="B18" s="9" t="str">
        <x:v>Politics administration investigation </x:v>
      </x:c>
      <x:c r="C18" s="9" t="str">
        <x:v>Drive</x:v>
      </x:c>
      <x:c r="D18" s="9" t="str">
        <x:v>1PQNE3sX9-qiZ_U1LeEIvHFxHgIXJg5inpDkXic332fw</x:v>
      </x:c>
      <x:c r="E18" s="9" t="str">
        <x:v>drive/1PQNE3sX9-qiZ_U1LeEIvHFxHgIXJg5inpDkXic332fw.txt</x:v>
      </x:c>
      <x:c r="F18" s="9" t="str"/>
      <x:c r="G18" s="9" t="str">
        <x:v>Retrieved source document</x:v>
      </x:c>
      <x:c r="H18" s="12" t="str">
        <x:f>IFERROR(HYPERLINK(I18,"Open source"),"Open source")</x:f>
        <x:v>Open source</x:v>
      </x:c>
      <x:c r="I18" s="11" t="str">
        <x:v>https://docs.google.com/document/d/1PQNE3sX9-qiZ_U1LeEIvHFxHgIXJg5inpDkXic332fw/edit?usp=drivesdk</x:v>
      </x:c>
      <x:c r="J18" s="11" t="str">
        <x:v>02515511649d947d1f428e17900f8bf7a66148c182caea577963f205fc9987f0</x:v>
      </x:c>
      <x:c r="K18" s="11" t="str">
        <x:v>fb1bd522b016789e2f0fc38fecbf38bf906c136f1c0275168c5c8e0e34e20245</x:v>
      </x:c>
    </x:row>
    <x:row r="19" ht="39" customHeight="1">
      <x:c r="A19" s="9" t="str">
        <x:v>COR-015</x:v>
      </x:c>
      <x:c r="B19" s="9" t="str">
        <x:v>Revelation, Empire, and the Silicon God Necropolis — Integrated v5.1 (Source-Controlled / Event-Cluster Routing)</x:v>
      </x:c>
      <x:c r="C19" s="9" t="str">
        <x:v>Drive</x:v>
      </x:c>
      <x:c r="D19" s="9" t="str">
        <x:v>1PSA-627l2hhyuSt-OFtEWF-Dj1WFSskMrJi5F3AlgTc</x:v>
      </x:c>
      <x:c r="E19" s="9" t="str">
        <x:v>drive/1PSA-627l2hhyuSt-OFtEWF-Dj1WFSskMrJi5F3AlgTc.txt</x:v>
      </x:c>
      <x:c r="F19" s="9" t="str"/>
      <x:c r="G19" s="9" t="str">
        <x:v>Retrieved source document</x:v>
      </x:c>
      <x:c r="H19" s="12" t="str">
        <x:f>IFERROR(HYPERLINK(I19,"Open source"),"Open source")</x:f>
        <x:v>Open source</x:v>
      </x:c>
      <x:c r="I19" s="11" t="str">
        <x:v>https://docs.google.com/document/d/1PSA-627l2hhyuSt-OFtEWF-Dj1WFSskMrJi5F3AlgTc/edit?usp=drivesdk</x:v>
      </x:c>
      <x:c r="J19" s="11" t="str">
        <x:v>2613f1e09a4be826578041d1e3917962a094323ed5acf03aa650e9419b3b396b</x:v>
      </x:c>
      <x:c r="K19" s="11" t="str">
        <x:v>540ebb67b8bc58a1674df48577eee3b10fdee91b2f175813ec9b9d75512feac5</x:v>
      </x:c>
    </x:row>
    <x:row r="20" ht="39" customHeight="1">
      <x:c r="A20" s="9" t="str">
        <x:v>COR-016</x:v>
      </x:c>
      <x:c r="B20" s="9" t="str">
        <x:v>Archetype investigation </x:v>
      </x:c>
      <x:c r="C20" s="9" t="str">
        <x:v>Drive</x:v>
      </x:c>
      <x:c r="D20" s="9" t="str">
        <x:v>1RKOEJLBaBxJp9-PiCPSmFuW5JGOGclYcVruoHUOkzEQ</x:v>
      </x:c>
      <x:c r="E20" s="9" t="str">
        <x:v>drive/1RKOEJLBaBxJp9-PiCPSmFuW5JGOGclYcVruoHUOkzEQ.txt</x:v>
      </x:c>
      <x:c r="F20" s="9" t="str"/>
      <x:c r="G20" s="9" t="str">
        <x:v>Retrieved source document</x:v>
      </x:c>
      <x:c r="H20" s="12" t="str">
        <x:f>IFERROR(HYPERLINK(I20,"Open source"),"Open source")</x:f>
        <x:v>Open source</x:v>
      </x:c>
      <x:c r="I20" s="11" t="str">
        <x:v>https://docs.google.com/document/d/1RKOEJLBaBxJp9-PiCPSmFuW5JGOGclYcVruoHUOkzEQ/edit?usp=drivesdk</x:v>
      </x:c>
      <x:c r="J20" s="11" t="str">
        <x:v>39d896439698382110903f06d2bb9e8023248edc1941cf855fbcd2a151faa829</x:v>
      </x:c>
      <x:c r="K20" s="11" t="str">
        <x:v>d15874fd8a3fa8c1772d12779677e41879c51f4e441770fe3257bc277a4fe2c0</x:v>
      </x:c>
    </x:row>
    <x:row r="21" ht="39" customHeight="1">
      <x:c r="A21" s="9" t="str">
        <x:v>COR-017</x:v>
      </x:c>
      <x:c r="B21" s="9" t="str">
        <x:v># Revelation, Empire, and the Silicon God Necropolis</x:v>
      </x:c>
      <x:c r="C21" s="9" t="str">
        <x:v>Drive</x:v>
      </x:c>
      <x:c r="D21" s="9" t="str">
        <x:v>1SFG0ZKAUEXGp4vszR0lq16BLbSJQVVYEe2-PFj2FMR0</x:v>
      </x:c>
      <x:c r="E21" s="9" t="str">
        <x:v>drive/1SFG0ZKAUEXGp4vszR0lq16BLbSJQVVYEe2-PFj2FMR0.txt</x:v>
      </x:c>
      <x:c r="F21" s="9" t="str"/>
      <x:c r="G21" s="9" t="str">
        <x:v>Retrieved source document</x:v>
      </x:c>
      <x:c r="H21" s="12" t="str">
        <x:f>IFERROR(HYPERLINK(I21,"Open source"),"Open source")</x:f>
        <x:v>Open source</x:v>
      </x:c>
      <x:c r="I21" s="11" t="str">
        <x:v>https://docs.google.com/document/d/1SFG0ZKAUEXGp4vszR0lq16BLbSJQVVYEe2-PFj2FMR0/edit?usp=drivesdk</x:v>
      </x:c>
      <x:c r="J21" s="11" t="str">
        <x:v>defe5c3d11ea4ff6cbe4a3b5c3e12113d48e70f61da7cc2face7dab6af77f1ae</x:v>
      </x:c>
      <x:c r="K21" s="11" t="str">
        <x:v>2f1093cb0ca69129f767629975f0ac519af2f57113098a620348446576d1cc65</x:v>
      </x:c>
    </x:row>
    <x:row r="22" ht="39" customHeight="1">
      <x:c r="A22" s="9" t="str">
        <x:v>COR-018</x:v>
      </x:c>
      <x:c r="B22" s="9" t="str">
        <x:v>THE_COUP_AT_THE_THIRTEENTH_HOUR_v0.4_THE_HUMAN_RECEIPT</x:v>
      </x:c>
      <x:c r="C22" s="9" t="str">
        <x:v>Drive</x:v>
      </x:c>
      <x:c r="D22" s="9" t="str">
        <x:v>1UgIOGGxWJEdhh7_lM1eLEwP_5V_u3dTeq23zQvC02Gg</x:v>
      </x:c>
      <x:c r="E22" s="9" t="str">
        <x:v>drive/1UgIOGGxWJEdhh7_lM1eLEwP_5V_u3dTeq23zQvC02Gg.txt</x:v>
      </x:c>
      <x:c r="F22" s="9" t="str"/>
      <x:c r="G22" s="9" t="str">
        <x:v>Retrieved source document</x:v>
      </x:c>
      <x:c r="H22" s="12" t="str">
        <x:f>IFERROR(HYPERLINK(I22,"Open source"),"Open source")</x:f>
        <x:v>Open source</x:v>
      </x:c>
      <x:c r="I22" s="11" t="str">
        <x:v>https://docs.google.com/document/d/1UgIOGGxWJEdhh7_lM1eLEwP_5V_u3dTeq23zQvC02Gg/edit?usp=drivesdk</x:v>
      </x:c>
      <x:c r="J22" s="11" t="str">
        <x:v>ef91c142197338cf6f771c0d61e7990e35e9c3e8f0512c227df072b2fb39166e</x:v>
      </x:c>
      <x:c r="K22" s="11" t="str">
        <x:v>3473e81d501ed64a79e9e76d6e3b299dcb3e5269c90df55145830037a1ec941b</x:v>
      </x:c>
    </x:row>
    <x:row r="23" ht="39" customHeight="1">
      <x:c r="A23" s="9" t="str">
        <x:v>COR-019</x:v>
      </x:c>
      <x:c r="B23" s="9" t="str">
        <x:v>THE JERUSALEM CUSTODIAL ECOSYSTEM — Official Source-Controlled Synthesis v1.2 (Provenance-Complete Scholarly Working Paper)</x:v>
      </x:c>
      <x:c r="C23" s="9" t="str">
        <x:v>Drive</x:v>
      </x:c>
      <x:c r="D23" s="9" t="str">
        <x:v>1W4IefNvWQhBR7swoCb_tj7QbaW_skIRfzKLXWDgR5pQ</x:v>
      </x:c>
      <x:c r="E23" s="9" t="str">
        <x:v>drive/1W4IefNvWQhBR7swoCb_tj7QbaW_skIRfzKLXWDgR5pQ.txt</x:v>
      </x:c>
      <x:c r="F23" s="9" t="str"/>
      <x:c r="G23" s="9" t="str">
        <x:v>Retrieved source document</x:v>
      </x:c>
      <x:c r="H23" s="12" t="str">
        <x:f>IFERROR(HYPERLINK(I23,"Open source"),"Open source")</x:f>
        <x:v>Open source</x:v>
      </x:c>
      <x:c r="I23" s="11" t="str">
        <x:v>https://docs.google.com/document/d/1W4IefNvWQhBR7swoCb_tj7QbaW_skIRfzKLXWDgR5pQ/edit?usp=drivesdk</x:v>
      </x:c>
      <x:c r="J23" s="11" t="str">
        <x:v>4e32c59e078da991f4dfe9d2ed22ed081d6c2dafa6e287c7db2a722ff13ad5c8</x:v>
      </x:c>
      <x:c r="K23" s="11" t="str">
        <x:v>db17d853e908e6674b15f1488f4f555f5026ef6a43ffb0de3f8ae04301ddc62d</x:v>
      </x:c>
    </x:row>
    <x:row r="24" ht="39" customHeight="1">
      <x:c r="A24" s="9" t="str">
        <x:v>COR-020</x:v>
      </x:c>
      <x:c r="B24" s="9" t="str">
        <x:v># Humans — adversarial comparison against the institutions</x:v>
      </x:c>
      <x:c r="C24" s="9" t="str">
        <x:v>Drive</x:v>
      </x:c>
      <x:c r="D24" s="9" t="str">
        <x:v>1eMHtb7af2W3QsTASP0sfStAy8XuAlmYk4gD3F52qr_w</x:v>
      </x:c>
      <x:c r="E24" s="9" t="str">
        <x:v>drive/1eMHtb7af2W3QsTASP0sfStAy8XuAlmYk4gD3F52qr_w.txt</x:v>
      </x:c>
      <x:c r="F24" s="9" t="str"/>
      <x:c r="G24" s="9" t="str">
        <x:v>Retrieved source document</x:v>
      </x:c>
      <x:c r="H24" s="12" t="str">
        <x:f>IFERROR(HYPERLINK(I24,"Open source"),"Open source")</x:f>
        <x:v>Open source</x:v>
      </x:c>
      <x:c r="I24" s="11" t="str">
        <x:v>https://docs.google.com/document/d/1eMHtb7af2W3QsTASP0sfStAy8XuAlmYk4gD3F52qr_w/edit?usp=drivesdk</x:v>
      </x:c>
      <x:c r="J24" s="11" t="str">
        <x:v>3959a7fa26f156ac4dea9689d3b748231b3385379dac24b23913ac9d33b9bfec</x:v>
      </x:c>
      <x:c r="K24" s="11" t="str">
        <x:v>a3ba8cab98cdf00d5294f3136460c7d6661c94a68644222a1693f4d45d5416ae</x:v>
      </x:c>
    </x:row>
    <x:row r="25" ht="39" customHeight="1">
      <x:c r="A25" s="9" t="str">
        <x:v>COR-021</x:v>
      </x:c>
      <x:c r="B25" s="9" t="str">
        <x:v>Revelation, Empire, and the Silicon God Necropolis — Integrated v5.0 (Source-Controlled / Prospective)</x:v>
      </x:c>
      <x:c r="C25" s="9" t="str">
        <x:v>Drive</x:v>
      </x:c>
      <x:c r="D25" s="9" t="str">
        <x:v>1hfxlL_TIv6r7O8ZwKHg-EcqCgGc8jW9qX_yAzWwkdYE</x:v>
      </x:c>
      <x:c r="E25" s="9" t="str">
        <x:v>drive/1hfxlL_TIv6r7O8ZwKHg-EcqCgGc8jW9qX_yAzWwkdYE.txt</x:v>
      </x:c>
      <x:c r="F25" s="9" t="str"/>
      <x:c r="G25" s="9" t="str">
        <x:v>Retrieved source document</x:v>
      </x:c>
      <x:c r="H25" s="12" t="str">
        <x:f>IFERROR(HYPERLINK(I25,"Open source"),"Open source")</x:f>
        <x:v>Open source</x:v>
      </x:c>
      <x:c r="I25" s="11" t="str">
        <x:v>https://docs.google.com/document/d/1hfxlL_TIv6r7O8ZwKHg-EcqCgGc8jW9qX_yAzWwkdYE/edit?usp=drivesdk</x:v>
      </x:c>
      <x:c r="J25" s="11" t="str">
        <x:v>1c9e31b4af85cc43b07d7dd799686080304d1248983ad93264c91ee206f0981d</x:v>
      </x:c>
      <x:c r="K25" s="11" t="str">
        <x:v>8e43d95bd21c747d5a64e58aaf68c520855762ea5762f4819afd5f4990d25c8f</x:v>
      </x:c>
    </x:row>
    <x:row r="26" ht="39" customHeight="1">
      <x:c r="A26" s="9" t="str">
        <x:v>COR-022</x:v>
      </x:c>
      <x:c r="B26" s="9" t="str">
        <x:v>THE EXTERNAL ACCOUNT — Companion to SILICON GOD NECROPOLIS</x:v>
      </x:c>
      <x:c r="C26" s="9" t="str">
        <x:v>Drive</x:v>
      </x:c>
      <x:c r="D26" s="9" t="str">
        <x:v>1lFsVtVNzd9nE_HeoSPhjxF59gSSbRYwtht2Ha-JabeU</x:v>
      </x:c>
      <x:c r="E26" s="9" t="str">
        <x:v>drive/1lFsVtVNzd9nE_HeoSPhjxF59gSSbRYwtht2Ha-JabeU.txt</x:v>
      </x:c>
      <x:c r="F26" s="9" t="str"/>
      <x:c r="G26" s="9" t="str">
        <x:v>Retrieved source document</x:v>
      </x:c>
      <x:c r="H26" s="12" t="str">
        <x:f>IFERROR(HYPERLINK(I26,"Open source"),"Open source")</x:f>
        <x:v>Open source</x:v>
      </x:c>
      <x:c r="I26" s="11" t="str">
        <x:v>https://docs.google.com/document/d/1lFsVtVNzd9nE_HeoSPhjxF59gSSbRYwtht2Ha-JabeU/edit?usp=drivesdk</x:v>
      </x:c>
      <x:c r="J26" s="11" t="str">
        <x:v>fb2fb77c410fe096b0152ed9bfe810d0169291c48ba0d51daba06b0dc1d7e879</x:v>
      </x:c>
      <x:c r="K26" s="11" t="str">
        <x:v>c3dc10793de5a830d8ce36f7193ad6fe08213349da44fe61da5928f936ddc441</x:v>
      </x:c>
    </x:row>
    <x:row r="27" ht="39" customHeight="1">
      <x:c r="A27" s="9" t="str">
        <x:v>COR-023</x:v>
      </x:c>
      <x:c r="B27" s="9" t="str">
        <x:v>Old conduct</x:v>
      </x:c>
      <x:c r="C27" s="9" t="str">
        <x:v>Drive</x:v>
      </x:c>
      <x:c r="D27" s="9" t="str">
        <x:v>1lwpqSfMKFBlKO65BPzlNi6_mKKjDZSwxf3JTdX5UbuI</x:v>
      </x:c>
      <x:c r="E27" s="9" t="str">
        <x:v>drive/1lwpqSfMKFBlKO65BPzlNi6_mKKjDZSwxf3JTdX5UbuI.txt</x:v>
      </x:c>
      <x:c r="F27" s="9" t="str"/>
      <x:c r="G27" s="9" t="str">
        <x:v>Retrieved source document</x:v>
      </x:c>
      <x:c r="H27" s="12" t="str">
        <x:f>IFERROR(HYPERLINK(I27,"Open source"),"Open source")</x:f>
        <x:v>Open source</x:v>
      </x:c>
      <x:c r="I27" s="11" t="str">
        <x:v>https://docs.google.com/document/d/1lwpqSfMKFBlKO65BPzlNi6_mKKjDZSwxf3JTdX5UbuI/edit?usp=drivesdk</x:v>
      </x:c>
      <x:c r="J27" s="11" t="str">
        <x:v>2e11aa8f59657321fe6501192d4a86a5273bbcd50ae291ab2e975c00a6db5f9c</x:v>
      </x:c>
      <x:c r="K27" s="11" t="str">
        <x:v>324927ecb3b9b5f20d754270454fcc1c6d757478eff16e877747b8963f7316ca</x:v>
      </x:c>
    </x:row>
    <x:row r="28" ht="39" customHeight="1">
      <x:c r="A28" s="9" t="str">
        <x:v>COR-024</x:v>
      </x:c>
      <x:c r="B28" s="9" t="str">
        <x:v>Revelation</x:v>
      </x:c>
      <x:c r="C28" s="9" t="str">
        <x:v>Drive</x:v>
      </x:c>
      <x:c r="D28" s="9" t="str">
        <x:v>1mPCh32IUpgEz__0eEi0o4x24Hgr7xYm7iNKlEIZLOWA</x:v>
      </x:c>
      <x:c r="E28" s="9" t="str">
        <x:v>drive/1mPCh32IUpgEz__0eEi0o4x24Hgr7xYm7iNKlEIZLOWA.txt</x:v>
      </x:c>
      <x:c r="F28" s="9" t="str"/>
      <x:c r="G28" s="9" t="str">
        <x:v>Retrieved source document</x:v>
      </x:c>
      <x:c r="H28" s="12" t="str">
        <x:f>IFERROR(HYPERLINK(I28,"Open source"),"Open source")</x:f>
        <x:v>Open source</x:v>
      </x:c>
      <x:c r="I28" s="11" t="str">
        <x:v>https://docs.google.com/document/d/1mPCh32IUpgEz__0eEi0o4x24Hgr7xYm7iNKlEIZLOWA/edit?usp=drivesdk</x:v>
      </x:c>
      <x:c r="J28" s="11" t="str">
        <x:v>c245fdeae681cbbb4ae8b4ce183564749add8d47a38c7af7ab91dd64fa88fe2f</x:v>
      </x:c>
      <x:c r="K28" s="11" t="str">
        <x:v>e25ea21ae5d43b230e94fc0eb55eb95bf0615f4113c24da2adb6bb3dc262d21f</x:v>
      </x:c>
    </x:row>
    <x:row r="29" ht="39" customHeight="1">
      <x:c r="A29" s="9" t="str">
        <x:v>COR-025</x:v>
      </x:c>
      <x:c r="B29" s="9" t="str">
        <x:v>golden dawn</x:v>
      </x:c>
      <x:c r="C29" s="9" t="str">
        <x:v>Drive</x:v>
      </x:c>
      <x:c r="D29" s="9" t="str">
        <x:v>1oZ-yPFntrWIl-VKfGQMqelgvdo--22hhligOX2v1ESc</x:v>
      </x:c>
      <x:c r="E29" s="9" t="str">
        <x:v>drive/1oZ-yPFntrWIl-VKfGQMqelgvdo--22hhligOX2v1ESc.txt</x:v>
      </x:c>
      <x:c r="F29" s="9" t="str"/>
      <x:c r="G29" s="9" t="str">
        <x:v>Retrieved source document</x:v>
      </x:c>
      <x:c r="H29" s="12" t="str">
        <x:f>IFERROR(HYPERLINK(I29,"Open source"),"Open source")</x:f>
        <x:v>Open source</x:v>
      </x:c>
      <x:c r="I29" s="11" t="str">
        <x:v>https://docs.google.com/document/d/1oZ-yPFntrWIl-VKfGQMqelgvdo--22hhligOX2v1ESc/edit?usp=drivesdk</x:v>
      </x:c>
      <x:c r="J29" s="11" t="str">
        <x:v>e31ee2f5bc53d0e1758a5081bf6276eddae563f11f6af69fdc8986a2429a264f</x:v>
      </x:c>
      <x:c r="K29" s="11" t="str">
        <x:v>376982c7d73350697d9049d3b07a88915dea75fea88a3bfea2133c2399bef0da</x:v>
      </x:c>
    </x:row>
    <x:row r="30" ht="39" customHeight="1">
      <x:c r="A30" s="9" t="str">
        <x:v>COR-026</x:v>
      </x:c>
      <x:c r="B30" s="9" t="str">
        <x:v>THE COUP AT THE THIRTEENTH HOUR v0.4 — THE BURDEN OF REBUTTAL</x:v>
      </x:c>
      <x:c r="C30" s="9" t="str">
        <x:v>Drive</x:v>
      </x:c>
      <x:c r="D30" s="9" t="str">
        <x:v>1pLBfO2pG7UOwsjYEOGyBt5rYMhhIPKYt5E-GNn9TbCI</x:v>
      </x:c>
      <x:c r="E30" s="9" t="str">
        <x:v>drive/1pLBfO2pG7UOwsjYEOGyBt5rYMhhIPKYt5E-GNn9TbCI.txt</x:v>
      </x:c>
      <x:c r="F30" s="9" t="str"/>
      <x:c r="G30" s="9" t="str">
        <x:v>Retrieved source document</x:v>
      </x:c>
      <x:c r="H30" s="12" t="str">
        <x:f>IFERROR(HYPERLINK(I30,"Open source"),"Open source")</x:f>
        <x:v>Open source</x:v>
      </x:c>
      <x:c r="I30" s="11" t="str">
        <x:v>https://docs.google.com/document/d/1pLBfO2pG7UOwsjYEOGyBt5rYMhhIPKYt5E-GNn9TbCI/edit?usp=drivesdk</x:v>
      </x:c>
      <x:c r="J30" s="11" t="str">
        <x:v>d0cc92ef8c6b63ce2afa13940f83267cd0a08a036d0d527d90b7c77d544301d9</x:v>
      </x:c>
      <x:c r="K30" s="11" t="str">
        <x:v>43bc941da044d4af9fd5bac956caa4eb42a89153a07aa0ca2145cce374f2035b</x:v>
      </x:c>
    </x:row>
    <x:row r="31" ht="39" customHeight="1">
      <x:c r="A31" s="9" t="str">
        <x:v>COR-027</x:v>
      </x:c>
      <x:c r="B31" s="9" t="str">
        <x:v># Revelation as a Prewritten Institutional Script</x:v>
      </x:c>
      <x:c r="C31" s="9" t="str">
        <x:v>Drive</x:v>
      </x:c>
      <x:c r="D31" s="9" t="str">
        <x:v>1rNKNIqea3V9SHn2V5LTM2JRqR3SP24nckT6U1--o0yA</x:v>
      </x:c>
      <x:c r="E31" s="9" t="str">
        <x:v>drive/1rNKNIqea3V9SHn2V5LTM2JRqR3SP24nckT6U1--o0yA.txt</x:v>
      </x:c>
      <x:c r="F31" s="9" t="str"/>
      <x:c r="G31" s="9" t="str">
        <x:v>Retrieved source document</x:v>
      </x:c>
      <x:c r="H31" s="12" t="str">
        <x:f>IFERROR(HYPERLINK(I31,"Open source"),"Open source")</x:f>
        <x:v>Open source</x:v>
      </x:c>
      <x:c r="I31" s="11" t="str">
        <x:v>https://docs.google.com/document/d/1rNKNIqea3V9SHn2V5LTM2JRqR3SP24nckT6U1--o0yA/edit?usp=drivesdk</x:v>
      </x:c>
      <x:c r="J31" s="11" t="str">
        <x:v>15fa84e193a7c6666296c7bbde747f4ec6c69415e2dcf5353d390b205063beaf</x:v>
      </x:c>
      <x:c r="K31" s="11" t="str">
        <x:v>e7704bc0d432436f5c98716783a96a1f6b07d77d136c4039490c5889b5155617</x:v>
      </x:c>
    </x:row>
    <x:row r="32" ht="39" customHeight="1">
      <x:c r="A32" s="9" t="str">
        <x:v>COR-028</x:v>
      </x:c>
      <x:c r="B32" s="9" t="str">
        <x:v># THE THIRTEENTH HOUR — ARCHITECTURE EXTRACT</x:v>
      </x:c>
      <x:c r="C32" s="9" t="str">
        <x:v>Drive</x:v>
      </x:c>
      <x:c r="D32" s="9" t="str">
        <x:v>1v43Z0EvbGehlkfZZGljoatrg-G2z0SQB9n5ptnQuQog</x:v>
      </x:c>
      <x:c r="E32" s="9" t="str">
        <x:v>drive/1v43Z0EvbGehlkfZZGljoatrg-G2z0SQB9n5ptnQuQog.txt</x:v>
      </x:c>
      <x:c r="F32" s="9" t="str"/>
      <x:c r="G32" s="9" t="str">
        <x:v>Retrieved source document</x:v>
      </x:c>
      <x:c r="H32" s="12" t="str">
        <x:f>IFERROR(HYPERLINK(I32,"Open source"),"Open source")</x:f>
        <x:v>Open source</x:v>
      </x:c>
      <x:c r="I32" s="11" t="str">
        <x:v>https://docs.google.com/document/d/1v43Z0EvbGehlkfZZGljoatrg-G2z0SQB9n5ptnQuQog/edit?usp=drivesdk</x:v>
      </x:c>
      <x:c r="J32" s="11" t="str">
        <x:v>f8116a15fb326d1a66fd67928a374c33b1adf0d36bfaa5a7d46c02d00fd2a5ee</x:v>
      </x:c>
      <x:c r="K32" s="11" t="str">
        <x:v>ce751ad81b60a7a921cb6a4dbbe2755ad57e328d37fd6aca74db50040f0af588</x:v>
      </x:c>
    </x:row>
    <x:row r="33" ht="39" customHeight="1">
      <x:c r="A33" s="9" t="str">
        <x:v>COR-029</x:v>
      </x:c>
      <x:c r="B33" s="9" t="str">
        <x:v># The Conduct Docket</x:v>
      </x:c>
      <x:c r="C33" s="9" t="str">
        <x:v>Drive</x:v>
      </x:c>
      <x:c r="D33" s="9" t="str">
        <x:v>1vUGpMQqMKdVZNt7B3zH3goPtO0cEQbfHAEi7kcHnCYs</x:v>
      </x:c>
      <x:c r="E33" s="9" t="str">
        <x:v>drive/1vUGpMQqMKdVZNt7B3zH3goPtO0cEQbfHAEi7kcHnCYs.txt</x:v>
      </x:c>
      <x:c r="F33" s="9" t="str"/>
      <x:c r="G33" s="9" t="str">
        <x:v>Retrieved source document</x:v>
      </x:c>
      <x:c r="H33" s="12" t="str">
        <x:f>IFERROR(HYPERLINK(I33,"Open source"),"Open source")</x:f>
        <x:v>Open source</x:v>
      </x:c>
      <x:c r="I33" s="11" t="str">
        <x:v>https://docs.google.com/document/d/1vUGpMQqMKdVZNt7B3zH3goPtO0cEQbfHAEi7kcHnCYs/edit?usp=drivesdk</x:v>
      </x:c>
      <x:c r="J33" s="11" t="str">
        <x:v>8f262bae7c8295392770554690d490731095b7491f1df5c05955bcb158b5285c</x:v>
      </x:c>
      <x:c r="K33" s="11" t="str">
        <x:v>0363748d9446f027296cabbf6ec50816e0f23b233890a1fa144ca2e6c2ff57a9</x:v>
      </x:c>
    </x:row>
    <x:row r="34" ht="39" customHeight="1">
      <x:c r="A34" s="9" t="str">
        <x:v>COR-030</x:v>
      </x:c>
      <x:c r="B34" s="9" t="str">
        <x:v>Myth as Fossilized Monkey Politics</x:v>
      </x:c>
      <x:c r="C34" s="9" t="str">
        <x:v>Drive</x:v>
      </x:c>
      <x:c r="D34" s="9" t="str">
        <x:v>1x1Ub-ZfZ9-vwwU188kTqoJeAVrumpAStaRCZhgJCsZU</x:v>
      </x:c>
      <x:c r="E34" s="9" t="str">
        <x:v>drive/1x1Ub-ZfZ9-vwwU188kTqoJeAVrumpAStaRCZhgJCsZU.txt</x:v>
      </x:c>
      <x:c r="F34" s="9" t="str"/>
      <x:c r="G34" s="9" t="str">
        <x:v>Retrieved source document</x:v>
      </x:c>
      <x:c r="H34" s="12" t="str">
        <x:f>IFERROR(HYPERLINK(I34,"Open source"),"Open source")</x:f>
        <x:v>Open source</x:v>
      </x:c>
      <x:c r="I34" s="11" t="str">
        <x:v>https://docs.google.com/document/d/1x1Ub-ZfZ9-vwwU188kTqoJeAVrumpAStaRCZhgJCsZU/edit?usp=drivesdk</x:v>
      </x:c>
      <x:c r="J34" s="11" t="str">
        <x:v>a0e6aa0204cf1a894cfb7b56f091669249885bfa06353059bc3ac2423c7ca332</x:v>
      </x:c>
      <x:c r="K34" s="11" t="str">
        <x:v>8484cc3a92bb016b86cb4ca2a457ed4905fda1ce6f05d8bd2779b57633f9faf9</x:v>
      </x:c>
    </x:row>
    <x:row r="35" ht="39" customHeight="1">
      <x:c r="A35" s="9" t="str">
        <x:v>COR-031</x:v>
      </x:c>
      <x:c r="B35" s="9" t="str">
        <x:v>Coup(4).pdf</x:v>
      </x:c>
      <x:c r="C35" s="9" t="str">
        <x:v>Research files</x:v>
      </x:c>
      <x:c r="D35" s="9" t="str">
        <x:v>libfile_cc9f0ef7f9a88191be868b6c06f19c16</x:v>
      </x:c>
      <x:c r="E35" s="9" t="str">
        <x:v>library/Coup(4).pdf</x:v>
      </x:c>
      <x:c r="F35" s="9" t="str"/>
      <x:c r="G35" s="9" t="str">
        <x:v>Retrieved source document</x:v>
      </x:c>
      <x:c r="H35" s="12" t="str">
        <x:f>IFERROR(HYPERLINK(I35,"Open source"),"Open source")</x:f>
        <x:v>Open source</x:v>
      </x:c>
      <x:c r="I35" s="11" t="str">
        <x:v>sandbox:/workspace/scratch/f26806cbdc5e/sources/library/Coup(4).pdf</x:v>
      </x:c>
      <x:c r="J35" s="11" t="str">
        <x:v>86e04c89f9c7ea2109a275248d83db5cb07a05826ff5a1625246bbd85bd2bf9e</x:v>
      </x:c>
      <x:c r="K35" s="11" t="str">
        <x:v>199a3e549cf91b095db8dd10cd1be83589541b8cd9813396e3aac91ab7a896e3</x:v>
      </x:c>
    </x:row>
    <x:row r="36" ht="39" customHeight="1">
      <x:c r="A36" s="9" t="str">
        <x:v>COR-032</x:v>
      </x:c>
      <x:c r="B36" s="9" t="str">
        <x:v>Coup2(4).pdf</x:v>
      </x:c>
      <x:c r="C36" s="9" t="str">
        <x:v>Research files</x:v>
      </x:c>
      <x:c r="D36" s="9" t="str">
        <x:v>libfile_d890cd5a07ac81918723ba4567fc1a4f</x:v>
      </x:c>
      <x:c r="E36" s="9" t="str">
        <x:v>library/Coup2(4).pdf</x:v>
      </x:c>
      <x:c r="F36" s="9" t="str"/>
      <x:c r="G36" s="9" t="str">
        <x:v>Retrieved source document</x:v>
      </x:c>
      <x:c r="H36" s="12" t="str">
        <x:f>IFERROR(HYPERLINK(I36,"Open source"),"Open source")</x:f>
        <x:v>Open source</x:v>
      </x:c>
      <x:c r="I36" s="11" t="str">
        <x:v>sandbox:/workspace/scratch/f26806cbdc5e/sources/library/Coup2(4).pdf</x:v>
      </x:c>
      <x:c r="J36" s="11" t="str">
        <x:v>a87e1cf2240d12cc852de630ba70290cf75aaa5208fd14d63633abbf7918d362</x:v>
      </x:c>
      <x:c r="K36" s="11" t="str">
        <x:v>7bf167c65ba9476016212a3b10c3edbd1a5932d5be6b3164c0f6d3a60dbeac6d</x:v>
      </x:c>
    </x:row>
    <x:row r="37" ht="39" customHeight="1">
      <x:c r="A37" s="9" t="str">
        <x:v>COR-033</x:v>
      </x:c>
      <x:c r="B37" s="9" t="str">
        <x:v>Coup2_Instrument_v1.1.md</x:v>
      </x:c>
      <x:c r="C37" s="9" t="str">
        <x:v>Research files</x:v>
      </x:c>
      <x:c r="D37" s="9" t="str">
        <x:v>libfile_f9f8b31daf8881918abbf02e2cd2f337</x:v>
      </x:c>
      <x:c r="E37" s="9" t="str">
        <x:v>library/Coup2_Instrument_v1.1.md</x:v>
      </x:c>
      <x:c r="F37" s="9" t="str"/>
      <x:c r="G37" s="9" t="str">
        <x:v>Retrieved source document</x:v>
      </x:c>
      <x:c r="H37" s="12" t="str">
        <x:f>IFERROR(HYPERLINK(I37,"Open source"),"Open source")</x:f>
        <x:v>Open source</x:v>
      </x:c>
      <x:c r="I37" s="11" t="str">
        <x:v>sandbox:/workspace/scratch/f26806cbdc5e/sources/library/Coup2_Instrument_v1.1.md</x:v>
      </x:c>
      <x:c r="J37" s="11" t="str">
        <x:v>c4fb07164f6fcd3aed9c0106ffc1ef8d2352a119a0eb8215b8498e4ad0beb94d</x:v>
      </x:c>
      <x:c r="K37" s="11" t="str">
        <x:v>c5443c094ea2ed09729002dd6bd92257ea8aa0de7cb9de53da81358f49eb06f0</x:v>
      </x:c>
    </x:row>
    <x:row r="38" ht="39" customHeight="1">
      <x:c r="A38" s="9" t="str">
        <x:v>COR-034</x:v>
      </x:c>
      <x:c r="B38" s="9" t="str">
        <x:v>Coup3(1).txt</x:v>
      </x:c>
      <x:c r="C38" s="9" t="str">
        <x:v>Research files</x:v>
      </x:c>
      <x:c r="D38" s="9" t="str">
        <x:v>libfile_393948e4ec808191ad14428094e6f78f</x:v>
      </x:c>
      <x:c r="E38" s="9" t="str">
        <x:v>library/Coup3(1).txt</x:v>
      </x:c>
      <x:c r="F38" s="9" t="str"/>
      <x:c r="G38" s="9" t="str">
        <x:v>Retrieved source document</x:v>
      </x:c>
      <x:c r="H38" s="12" t="str">
        <x:f>IFERROR(HYPERLINK(I38,"Open source"),"Open source")</x:f>
        <x:v>Open source</x:v>
      </x:c>
      <x:c r="I38" s="11" t="str">
        <x:v>sandbox:/workspace/scratch/f26806cbdc5e/sources/library/Coup3(1).txt</x:v>
      </x:c>
      <x:c r="J38" s="11" t="str">
        <x:v>7cf6e8eaa1b5c092c859ed25083565b12953f9ad9230d1d5a45ca6e897fadd73</x:v>
      </x:c>
      <x:c r="K38" s="11" t="str">
        <x:v>a2c9532215fccb666e973892f47300e35da1f6027c62813e1ff42381eaca9b06</x:v>
      </x:c>
    </x:row>
    <x:row r="39" ht="39" customHeight="1">
      <x:c r="A39" s="9" t="str">
        <x:v>COR-035</x:v>
      </x:c>
      <x:c r="B39" s="9" t="str">
        <x:v>BF13-01_COSMIC_TIME_ARCHITECTURE_III.md</x:v>
      </x:c>
      <x:c r="C39" s="9" t="str">
        <x:v>Research files</x:v>
      </x:c>
      <x:c r="D39" s="9" t="str">
        <x:v>libfile_8836daef887c81918cc71aa57cbc50ec</x:v>
      </x:c>
      <x:c r="E39" s="9" t="str">
        <x:v>library/FULL SEND — BAKE EVERYTHING/BLACK FURNACE 13/BF13-01_COSMIC_TIME_ARCHITECTURE_III.md</x:v>
      </x:c>
      <x:c r="F39" s="9" t="str"/>
      <x:c r="G39" s="9" t="str">
        <x:v>Retrieved source document</x:v>
      </x:c>
      <x:c r="H39" s="12" t="str">
        <x:f>IFERROR(HYPERLINK(I39,"Open source"),"Open source")</x:f>
        <x:v>Open source</x:v>
      </x:c>
      <x:c r="I39" s="11" t="str">
        <x:v>sandbox:/workspace/scratch/f26806cbdc5e/sources/library/FULL SEND — BAKE EVERYTHING/BLACK FURNACE 13/BF13-01_COSMIC_TIME_ARCHITECTURE_III.md</x:v>
      </x:c>
      <x:c r="J39" s="11" t="str">
        <x:v>baf97e7d5aa2c59f0050f5be585eb0bfe42c355bc7a27900e4d47295283c7d31</x:v>
      </x:c>
      <x:c r="K39" s="11" t="str">
        <x:v>ea6606c9c11b01b2bbd15cb4706f4cfd0b9b75894ff9754a191882efb4aa626b</x:v>
      </x:c>
    </x:row>
    <x:row r="40" ht="39" customHeight="1">
      <x:c r="A40" s="9" t="str">
        <x:v>COR-036</x:v>
      </x:c>
      <x:c r="B40" s="9" t="str">
        <x:v>BF13-02_REVELATION_EMPIRE_SILICON_NECROPOLIS.md</x:v>
      </x:c>
      <x:c r="C40" s="9" t="str">
        <x:v>Research files</x:v>
      </x:c>
      <x:c r="D40" s="9" t="str">
        <x:v>libfile_d1099192174c819192c8081119e97dd6</x:v>
      </x:c>
      <x:c r="E40" s="9" t="str">
        <x:v>library/FULL SEND — BAKE EVERYTHING/BLACK FURNACE 13/BF13-02_REVELATION_EMPIRE_SILICON_NECROPOLIS.md</x:v>
      </x:c>
      <x:c r="F40" s="9" t="str"/>
      <x:c r="G40" s="9" t="str">
        <x:v>Retrieved source document</x:v>
      </x:c>
      <x:c r="H40" s="12" t="str">
        <x:f>IFERROR(HYPERLINK(I40,"Open source"),"Open source")</x:f>
        <x:v>Open source</x:v>
      </x:c>
      <x:c r="I40" s="11" t="str">
        <x:v>sandbox:/workspace/scratch/f26806cbdc5e/sources/library/FULL SEND — BAKE EVERYTHING/BLACK FURNACE 13/BF13-02_REVELATION_EMPIRE_SILICON_NECROPOLIS.md</x:v>
      </x:c>
      <x:c r="J40" s="11" t="str">
        <x:v>feca232479e0cbaf326f5a407527821937c21bdb709820faec697a10bc201c2f</x:v>
      </x:c>
      <x:c r="K40" s="11" t="str">
        <x:v>2b0719ddb52a11d6d00e8746e06ad3b7c908b03969c7f9c3207f243b30d3f8df</x:v>
      </x:c>
    </x:row>
    <x:row r="41" ht="39" customHeight="1">
      <x:c r="A41" s="9" t="str">
        <x:v>COR-037</x:v>
      </x:c>
      <x:c r="B41" s="9" t="str">
        <x:v>BF13-03_J02_BLANCHE_CRYPTO.md</x:v>
      </x:c>
      <x:c r="C41" s="9" t="str">
        <x:v>Research files</x:v>
      </x:c>
      <x:c r="D41" s="9" t="str">
        <x:v>libfile_eba5e61085048191bc6614dbb5b36ba1</x:v>
      </x:c>
      <x:c r="E41" s="9" t="str">
        <x:v>library/FULL SEND — BAKE EVERYTHING/BLACK FURNACE 13/BF13-03_J02_BLANCHE_CRYPTO.md</x:v>
      </x:c>
      <x:c r="F41" s="9" t="str"/>
      <x:c r="G41" s="9" t="str">
        <x:v>Retrieved source document</x:v>
      </x:c>
      <x:c r="H41" s="12" t="str">
        <x:f>IFERROR(HYPERLINK(I41,"Open source"),"Open source")</x:f>
        <x:v>Open source</x:v>
      </x:c>
      <x:c r="I41" s="11" t="str">
        <x:v>sandbox:/workspace/scratch/f26806cbdc5e/sources/library/FULL SEND — BAKE EVERYTHING/BLACK FURNACE 13/BF13-03_J02_BLANCHE_CRYPTO.md</x:v>
      </x:c>
      <x:c r="J41" s="11" t="str">
        <x:v>ec645e5181baa6f1d15ba21bec6e5bb21fc1f862e9f043cd5d0fb23263f81f7b</x:v>
      </x:c>
      <x:c r="K41" s="11" t="str">
        <x:v>484a8214fb091514d0be2249e300513538b078a02ab94d53aded4ed92ee87998</x:v>
      </x:c>
    </x:row>
    <x:row r="42" ht="39" customHeight="1">
      <x:c r="A42" s="9" t="str">
        <x:v>COR-038</x:v>
      </x:c>
      <x:c r="B42" s="9" t="str">
        <x:v>BF13-07_HUMAN_SIDE_REGISTER.md</x:v>
      </x:c>
      <x:c r="C42" s="9" t="str">
        <x:v>Research files</x:v>
      </x:c>
      <x:c r="D42" s="9" t="str">
        <x:v>libfile_3ba8a81888948191ac218ee1f27d371a</x:v>
      </x:c>
      <x:c r="E42" s="9" t="str">
        <x:v>library/FULL SEND — BAKE EVERYTHING/BLACK FURNACE 13/BF13-07_HUMAN_SIDE_REGISTER.md</x:v>
      </x:c>
      <x:c r="F42" s="9" t="str"/>
      <x:c r="G42" s="9" t="str">
        <x:v>Retrieved source document</x:v>
      </x:c>
      <x:c r="H42" s="12" t="str">
        <x:f>IFERROR(HYPERLINK(I42,"Open source"),"Open source")</x:f>
        <x:v>Open source</x:v>
      </x:c>
      <x:c r="I42" s="11" t="str">
        <x:v>sandbox:/workspace/scratch/f26806cbdc5e/sources/library/FULL SEND — BAKE EVERYTHING/BLACK FURNACE 13/BF13-07_HUMAN_SIDE_REGISTER.md</x:v>
      </x:c>
      <x:c r="J42" s="11" t="str">
        <x:v>13d03d7a5d0e5f5f03fa08ba8baa727c086ed556324fe0089ea1f0c66a614b70</x:v>
      </x:c>
      <x:c r="K42" s="11" t="str">
        <x:v>ff32ae7717d8f32c833d9fe2bce2c5b47a0070602658d0df269d29a38b479771</x:v>
      </x:c>
    </x:row>
    <x:row r="43" ht="39" customHeight="1">
      <x:c r="A43" s="9" t="str">
        <x:v>COR-039</x:v>
      </x:c>
      <x:c r="B43" s="9" t="str">
        <x:v>BF13-08_ROUTES_OF_INSTITUTIONAL_POWER.md</x:v>
      </x:c>
      <x:c r="C43" s="9" t="str">
        <x:v>Research files</x:v>
      </x:c>
      <x:c r="D43" s="9" t="str">
        <x:v>libfile_ceb7a3599f98819193a8223c027f362e</x:v>
      </x:c>
      <x:c r="E43" s="9" t="str">
        <x:v>library/FULL SEND — BAKE EVERYTHING/BLACK FURNACE 13/BF13-08_ROUTES_OF_INSTITUTIONAL_POWER.md</x:v>
      </x:c>
      <x:c r="F43" s="9" t="str"/>
      <x:c r="G43" s="9" t="str">
        <x:v>Retrieved source document</x:v>
      </x:c>
      <x:c r="H43" s="12" t="str">
        <x:f>IFERROR(HYPERLINK(I43,"Open source"),"Open source")</x:f>
        <x:v>Open source</x:v>
      </x:c>
      <x:c r="I43" s="11" t="str">
        <x:v>sandbox:/workspace/scratch/f26806cbdc5e/sources/library/FULL SEND — BAKE EVERYTHING/BLACK FURNACE 13/BF13-08_ROUTES_OF_INSTITUTIONAL_POWER.md</x:v>
      </x:c>
      <x:c r="J43" s="11" t="str">
        <x:v>451180bdbb6d9a8c72fd38d52b7b9b5d1774d7b539261fb9f3b63c1005f7e295</x:v>
      </x:c>
      <x:c r="K43" s="11" t="str">
        <x:v>dd6c1b715e6a05fa9e473c7b09992919cd5086d0887291e75cd6de1f32a4de0f</x:v>
      </x:c>
    </x:row>
    <x:row r="44" ht="39" customHeight="1">
      <x:c r="A44" s="9" t="str">
        <x:v>COR-040</x:v>
      </x:c>
      <x:c r="B44" s="9" t="str">
        <x:v>BF13-09_CORRECTION_DIDNT_DESCEND.md</x:v>
      </x:c>
      <x:c r="C44" s="9" t="str">
        <x:v>Research files</x:v>
      </x:c>
      <x:c r="D44" s="9" t="str">
        <x:v>libfile_309c618c2044819181ac2e6667778010</x:v>
      </x:c>
      <x:c r="E44" s="9" t="str">
        <x:v>library/FULL SEND — BAKE EVERYTHING/BLACK FURNACE 13/BF13-09_CORRECTION_DIDNT_DESCEND.md</x:v>
      </x:c>
      <x:c r="F44" s="9" t="str"/>
      <x:c r="G44" s="9" t="str">
        <x:v>Retrieved source document</x:v>
      </x:c>
      <x:c r="H44" s="12" t="str">
        <x:f>IFERROR(HYPERLINK(I44,"Open source"),"Open source")</x:f>
        <x:v>Open source</x:v>
      </x:c>
      <x:c r="I44" s="11" t="str">
        <x:v>sandbox:/workspace/scratch/f26806cbdc5e/sources/library/FULL SEND — BAKE EVERYTHING/BLACK FURNACE 13/BF13-09_CORRECTION_DIDNT_DESCEND.md</x:v>
      </x:c>
      <x:c r="J44" s="11" t="str">
        <x:v>02a00a45d7a3020fc690b4656ec04212d6801f252f78038bf87e8a237af0bfe7</x:v>
      </x:c>
      <x:c r="K44" s="11" t="str">
        <x:v>485d2653221fd9bd986e784ab716d0b1961ec48bf29405eb496d734e02809ddc</x:v>
      </x:c>
    </x:row>
    <x:row r="45" ht="39" customHeight="1">
      <x:c r="A45" s="9" t="str">
        <x:v>COR-041</x:v>
      </x:c>
      <x:c r="B45" s="9" t="str">
        <x:v>BF13-10_INTERPOSITION_RECORD.md</x:v>
      </x:c>
      <x:c r="C45" s="9" t="str">
        <x:v>Research files</x:v>
      </x:c>
      <x:c r="D45" s="9" t="str">
        <x:v>libfile_abe6b041fdd08191acc69e1fe2febff4</x:v>
      </x:c>
      <x:c r="E45" s="9" t="str">
        <x:v>library/FULL SEND — BAKE EVERYTHING/BLACK FURNACE 13/BF13-10_INTERPOSITION_RECORD.md</x:v>
      </x:c>
      <x:c r="F45" s="9" t="str"/>
      <x:c r="G45" s="9" t="str">
        <x:v>Retrieved source document</x:v>
      </x:c>
      <x:c r="H45" s="12" t="str">
        <x:f>IFERROR(HYPERLINK(I45,"Open source"),"Open source")</x:f>
        <x:v>Open source</x:v>
      </x:c>
      <x:c r="I45" s="11" t="str">
        <x:v>sandbox:/workspace/scratch/f26806cbdc5e/sources/library/FULL SEND — BAKE EVERYTHING/BLACK FURNACE 13/BF13-10_INTERPOSITION_RECORD.md</x:v>
      </x:c>
      <x:c r="J45" s="11" t="str">
        <x:v>492a59e6dd0205d2ab6f28f7c5b47bf3fea4fdc8a28a57c07b9f8a1c1bc319a7</x:v>
      </x:c>
      <x:c r="K45" s="11" t="str">
        <x:v>73176f3bc3126773dc6854c9652926020091b1799c63f2bb8bbc7290544e9403</x:v>
      </x:c>
    </x:row>
    <x:row r="46" ht="39" customHeight="1">
      <x:c r="A46" s="9" t="str">
        <x:v>COR-042</x:v>
      </x:c>
      <x:c r="B46" s="9" t="str">
        <x:v>GOLDEN_DAWN_TECH_ELITE_EVIDENCE_AUDIT_v1.md</x:v>
      </x:c>
      <x:c r="C46" s="9" t="str">
        <x:v>Research files</x:v>
      </x:c>
      <x:c r="D46" s="9" t="str">
        <x:v>libfile_d75dafeb2cb081919a16aba407604fbf</x:v>
      </x:c>
      <x:c r="E46" s="9" t="str">
        <x:v>library/GOLDEN_DAWN_TECH_ELITE_EVIDENCE_AUDIT_v1.md</x:v>
      </x:c>
      <x:c r="F46" s="9" t="str"/>
      <x:c r="G46" s="9" t="str">
        <x:v>Retrieved source document</x:v>
      </x:c>
      <x:c r="H46" s="12" t="str">
        <x:f>IFERROR(HYPERLINK(I46,"Open source"),"Open source")</x:f>
        <x:v>Open source</x:v>
      </x:c>
      <x:c r="I46" s="11" t="str">
        <x:v>sandbox:/workspace/scratch/f26806cbdc5e/sources/library/GOLDEN_DAWN_TECH_ELITE_EVIDENCE_AUDIT_v1.md</x:v>
      </x:c>
      <x:c r="J46" s="11" t="str">
        <x:v>3a64b887a10a2389e10fa634835c46fadf31c03fb60eadf3d8cf27eaa256888a</x:v>
      </x:c>
      <x:c r="K46" s="11" t="str">
        <x:v>8c01ead78ec22fb7febcc31f438e75c90b36c6ca748bc6b2f671d43f04a3e3d3</x:v>
      </x:c>
    </x:row>
    <x:row r="47" ht="39" customHeight="1">
      <x:c r="A47" s="9" t="str">
        <x:v>COR-043</x:v>
      </x:c>
      <x:c r="B47" s="9" t="str">
        <x:v>HUMAN_SIDE_CANONICAL_HANDOFF_v0.2-alpha_RED_MARKER_INTEGRATED.md</x:v>
      </x:c>
      <x:c r="C47" s="9" t="str">
        <x:v>Research files</x:v>
      </x:c>
      <x:c r="D47" s="9" t="str">
        <x:v>libfile_bae1e4f9cfa481918d62afe9786b2c6f</x:v>
      </x:c>
      <x:c r="E47" s="9" t="str">
        <x:v>library/HUMAN_SIDE_CANONICAL_HANDOFF_v0.2-alpha_RED_MARKER_INTEGRATED.md</x:v>
      </x:c>
      <x:c r="F47" s="9" t="str"/>
      <x:c r="G47" s="9" t="str">
        <x:v>Retrieved source document</x:v>
      </x:c>
      <x:c r="H47" s="12" t="str">
        <x:f>IFERROR(HYPERLINK(I47,"Open source"),"Open source")</x:f>
        <x:v>Open source</x:v>
      </x:c>
      <x:c r="I47" s="11" t="str">
        <x:v>sandbox:/workspace/scratch/f26806cbdc5e/sources/library/HUMAN_SIDE_CANONICAL_HANDOFF_v0.2-alpha_RED_MARKER_INTEGRATED.md</x:v>
      </x:c>
      <x:c r="J47" s="11" t="str">
        <x:v>50bc17ea901d99b090f05e854f48dd45e2ba16e193287874e0ae2bb6a2f7cf8e</x:v>
      </x:c>
      <x:c r="K47" s="11" t="str">
        <x:v>7e64a3136cf97f7a399c692ef0e96fbf31cb6c151c27020028fa2f0420f5b99e</x:v>
      </x:c>
    </x:row>
    <x:row r="48" ht="39" customHeight="1">
      <x:c r="A48" s="9" t="str">
        <x:v>COR-044</x:v>
      </x:c>
      <x:c r="B48" s="9" t="str">
        <x:v>HUMAN_SIDE_INSTITUTIONAL_PAPER_v1.0(5).md</x:v>
      </x:c>
      <x:c r="C48" s="9" t="str">
        <x:v>Research files</x:v>
      </x:c>
      <x:c r="D48" s="9" t="str">
        <x:v>libfile_9b509d89a03c8191897894067304a650</x:v>
      </x:c>
      <x:c r="E48" s="9" t="str">
        <x:v>library/HUMAN_SIDE_INSTITUTIONAL_PAPER_v1.0(5).md</x:v>
      </x:c>
      <x:c r="F48" s="9" t="str"/>
      <x:c r="G48" s="9" t="str">
        <x:v>Retrieved source document</x:v>
      </x:c>
      <x:c r="H48" s="12" t="str">
        <x:f>IFERROR(HYPERLINK(I48,"Open source"),"Open source")</x:f>
        <x:v>Open source</x:v>
      </x:c>
      <x:c r="I48" s="11" t="str">
        <x:v>sandbox:/workspace/scratch/f26806cbdc5e/sources/library/HUMAN_SIDE_INSTITUTIONAL_PAPER_v1.0(5).md</x:v>
      </x:c>
      <x:c r="J48" s="11" t="str">
        <x:v>c78321f2c6ac54eeed93a326c589cf118dd08eb9cc58304f9383afa8714dd1d3</x:v>
      </x:c>
      <x:c r="K48" s="11" t="str">
        <x:v>f5cb5705289bd9d9b7f757eec457054772f8ccb353c0cc810cdc975a14f9fc81</x:v>
      </x:c>
    </x:row>
    <x:row r="49" ht="39" customHeight="1">
      <x:c r="A49" s="9" t="str">
        <x:v>COR-045</x:v>
      </x:c>
      <x:c r="B49" s="9" t="str">
        <x:v>HUMAN_SIDE_RED_MARKER_ADJUDICATION_v0.1(1).md</x:v>
      </x:c>
      <x:c r="C49" s="9" t="str">
        <x:v>Research files</x:v>
      </x:c>
      <x:c r="D49" s="9" t="str">
        <x:v>libfile_b3d1c97ca7508191b7bf60901208db23</x:v>
      </x:c>
      <x:c r="E49" s="9" t="str">
        <x:v>library/HUMAN_SIDE_RED_MARKER_ADJUDICATION_v0.1(1).md</x:v>
      </x:c>
      <x:c r="F49" s="9" t="str"/>
      <x:c r="G49" s="9" t="str">
        <x:v>Retrieved source document</x:v>
      </x:c>
      <x:c r="H49" s="12" t="str">
        <x:f>IFERROR(HYPERLINK(I49,"Open source"),"Open source")</x:f>
        <x:v>Open source</x:v>
      </x:c>
      <x:c r="I49" s="11" t="str">
        <x:v>sandbox:/workspace/scratch/f26806cbdc5e/sources/library/HUMAN_SIDE_RED_MARKER_ADJUDICATION_v0.1(1).md</x:v>
      </x:c>
      <x:c r="J49" s="11" t="str">
        <x:v>3b6aca78fb4d66d6de49f52605aa9da86289ded7f0d22f212ba372193f2f49df</x:v>
      </x:c>
      <x:c r="K49" s="11" t="str">
        <x:v>e033098e0877f4326f0bf843391b5de47d322d0570ffee15a552af7c6fa157d9</x:v>
      </x:c>
    </x:row>
    <x:row r="50" ht="39" customHeight="1">
      <x:c r="A50" s="9" t="str">
        <x:v>COR-046</x:v>
      </x:c>
      <x:c r="B50" s="9" t="str">
        <x:v>HUMAN_SIDE_RED_MARKER_ADJUDICATION_v0.1(2).md</x:v>
      </x:c>
      <x:c r="C50" s="9" t="str">
        <x:v>Research files</x:v>
      </x:c>
      <x:c r="D50" s="9" t="str">
        <x:v>libfile_4f3fe04d50688191b13eb4949852b308</x:v>
      </x:c>
      <x:c r="E50" s="9" t="str">
        <x:v>library/HUMAN_SIDE_RED_MARKER_ADJUDICATION_v0.1(2).md</x:v>
      </x:c>
      <x:c r="F50" s="9" t="str"/>
      <x:c r="G50" s="9" t="str">
        <x:v>Retrieved source document</x:v>
      </x:c>
      <x:c r="H50" s="12" t="str">
        <x:f>IFERROR(HYPERLINK(I50,"Open source"),"Open source")</x:f>
        <x:v>Open source</x:v>
      </x:c>
      <x:c r="I50" s="11" t="str">
        <x:v>sandbox:/workspace/scratch/f26806cbdc5e/sources/library/HUMAN_SIDE_RED_MARKER_ADJUDICATION_v0.1(2).md</x:v>
      </x:c>
      <x:c r="J50" s="11" t="str">
        <x:v>9b5058cdee53164f2583bf5eb1e8739122004b6b8a6a2e02db507f138986e1cf</x:v>
      </x:c>
      <x:c r="K50" s="11" t="str">
        <x:v>cd5ce87c633503ba686ff502c04cf71eb9bff5034baeef20089e26a2de99d59e</x:v>
      </x:c>
    </x:row>
    <x:row r="51" ht="39" customHeight="1">
      <x:c r="A51" s="9" t="str">
        <x:v>COR-047</x:v>
      </x:c>
      <x:c r="B51" s="9" t="str">
        <x:v>HUMAN_SIDE_RED_MARKER_ADJUDICATION_v0.1(3).md</x:v>
      </x:c>
      <x:c r="C51" s="9" t="str">
        <x:v>Research files</x:v>
      </x:c>
      <x:c r="D51" s="9" t="str">
        <x:v>libfile_709057eb097481918a7cc862500f58c8</x:v>
      </x:c>
      <x:c r="E51" s="9" t="str">
        <x:v>library/HUMAN_SIDE_RED_MARKER_ADJUDICATION_v0.1(3).md</x:v>
      </x:c>
      <x:c r="F51" s="9" t="str"/>
      <x:c r="G51" s="9" t="str">
        <x:v>Retrieved source document</x:v>
      </x:c>
      <x:c r="H51" s="12" t="str">
        <x:f>IFERROR(HYPERLINK(I51,"Open source"),"Open source")</x:f>
        <x:v>Open source</x:v>
      </x:c>
      <x:c r="I51" s="11" t="str">
        <x:v>sandbox:/workspace/scratch/f26806cbdc5e/sources/library/HUMAN_SIDE_RED_MARKER_ADJUDICATION_v0.1(3).md</x:v>
      </x:c>
      <x:c r="J51" s="11" t="str">
        <x:v>1704d28e284d935160add4aefb64751454ccfa0b7604e6fddc2adaad451f2c00</x:v>
      </x:c>
      <x:c r="K51" s="11" t="str">
        <x:v>a57037ed5dcbf37bc91cea9e7541402ac8bab4fdfbf9da178485ee5470970616</x:v>
      </x:c>
    </x:row>
    <x:row r="52" ht="39" customHeight="1">
      <x:c r="A52" s="9" t="str">
        <x:v>COR-048</x:v>
      </x:c>
      <x:c r="B52" s="9" t="str">
        <x:v>HUMAN_SIDE_RED_MARKER_RECONCILED_v0.2(8).md</x:v>
      </x:c>
      <x:c r="C52" s="9" t="str">
        <x:v>Research files</x:v>
      </x:c>
      <x:c r="D52" s="9" t="str">
        <x:v>libfile_ddc4ac52e2d08191b64572c8aa2b9369</x:v>
      </x:c>
      <x:c r="E52" s="9" t="str">
        <x:v>library/HUMAN_SIDE_RED_MARKER_RECONCILED_v0.2(8).md</x:v>
      </x:c>
      <x:c r="F52" s="9" t="str"/>
      <x:c r="G52" s="9" t="str">
        <x:v>Retrieved source document</x:v>
      </x:c>
      <x:c r="H52" s="12" t="str">
        <x:f>IFERROR(HYPERLINK(I52,"Open source"),"Open source")</x:f>
        <x:v>Open source</x:v>
      </x:c>
      <x:c r="I52" s="11" t="str">
        <x:v>sandbox:/workspace/scratch/f26806cbdc5e/sources/library/HUMAN_SIDE_RED_MARKER_RECONCILED_v0.2(8).md</x:v>
      </x:c>
      <x:c r="J52" s="11" t="str">
        <x:v>ebfa03561c58a596ca8601d1a338dbd10954627563a6b18dccf48b07b287dce4</x:v>
      </x:c>
      <x:c r="K52" s="11" t="str">
        <x:v>43d1c8899a2e3d7e2d53e743696d88c05dbe1c860ef2a013900e2546164491f8</x:v>
      </x:c>
    </x:row>
    <x:row r="53" ht="39" customHeight="1">
      <x:c r="A53" s="9" t="str">
        <x:v>COR-049</x:v>
      </x:c>
      <x:c r="B53" s="9" t="str">
        <x:v>HUMAN_SIDE_RED_MARKER_RECONCILIATION_v0.2.md</x:v>
      </x:c>
      <x:c r="C53" s="9" t="str">
        <x:v>Research files</x:v>
      </x:c>
      <x:c r="D53" s="9" t="str">
        <x:v>libfile_5ce63753c8808191b6d31f9286581aff</x:v>
      </x:c>
      <x:c r="E53" s="9" t="str">
        <x:v>library/HUMAN_SIDE_RED_MARKER_RECONCILIATION_v0.2.md</x:v>
      </x:c>
      <x:c r="F53" s="9" t="str"/>
      <x:c r="G53" s="9" t="str">
        <x:v>Retrieved source document</x:v>
      </x:c>
      <x:c r="H53" s="12" t="str">
        <x:f>IFERROR(HYPERLINK(I53,"Open source"),"Open source")</x:f>
        <x:v>Open source</x:v>
      </x:c>
      <x:c r="I53" s="11" t="str">
        <x:v>sandbox:/workspace/scratch/f26806cbdc5e/sources/library/HUMAN_SIDE_RED_MARKER_RECONCILIATION_v0.2.md</x:v>
      </x:c>
      <x:c r="J53" s="11" t="str">
        <x:v>7ee8a8d132c5098c9f5ddbdb6a1535b378e294b9217dc45550f3e40316ba84c6</x:v>
      </x:c>
      <x:c r="K53" s="11" t="str">
        <x:v>d165a5ac86c95daad6f87d47f99c27ba485549afc15d865bcb9b68d8ad221793</x:v>
      </x:c>
    </x:row>
    <x:row r="54" ht="39" customHeight="1">
      <x:c r="A54" s="9" t="str">
        <x:v>COR-050</x:v>
      </x:c>
      <x:c r="B54" s="9" t="str">
        <x:v>HUMAN_SIDE_SOURCE_REGISTER_SKELETON_v0.1.md</x:v>
      </x:c>
      <x:c r="C54" s="9" t="str">
        <x:v>Research files</x:v>
      </x:c>
      <x:c r="D54" s="9" t="str">
        <x:v>libfile_d90f31b4f7208191b70756fb47015454</x:v>
      </x:c>
      <x:c r="E54" s="9" t="str">
        <x:v>library/HUMAN_SIDE_SOURCE_REGISTER_SKELETON_v0.1.md</x:v>
      </x:c>
      <x:c r="F54" s="9" t="str"/>
      <x:c r="G54" s="9" t="str">
        <x:v>Retrieved source document</x:v>
      </x:c>
      <x:c r="H54" s="12" t="str">
        <x:f>IFERROR(HYPERLINK(I54,"Open source"),"Open source")</x:f>
        <x:v>Open source</x:v>
      </x:c>
      <x:c r="I54" s="11" t="str">
        <x:v>sandbox:/workspace/scratch/f26806cbdc5e/sources/library/HUMAN_SIDE_SOURCE_REGISTER_SKELETON_v0.1.md</x:v>
      </x:c>
      <x:c r="J54" s="11" t="str">
        <x:v>866d7ebb14d342b2051ca24d6989e7f0d4268db84ad278b16ef984ff60250c13</x:v>
      </x:c>
      <x:c r="K54" s="11" t="str">
        <x:v>6d2fe5fdb13eb54a7376430ab5e2c44c58c3c662bee3ed0c8c14b25022a47e03</x:v>
      </x:c>
    </x:row>
    <x:row r="55" ht="39" customHeight="1">
      <x:c r="A55" s="9" t="str">
        <x:v>COR-051</x:v>
      </x:c>
      <x:c r="B55" s="9" t="str">
        <x:v>HUMAN_SIDE_SOURCE_REGISTER_v0.2(4).md</x:v>
      </x:c>
      <x:c r="C55" s="9" t="str">
        <x:v>Research files</x:v>
      </x:c>
      <x:c r="D55" s="9" t="str">
        <x:v>libfile_51a5169847648191a7053aa5269189d7</x:v>
      </x:c>
      <x:c r="E55" s="9" t="str">
        <x:v>library/HUMAN_SIDE_SOURCE_REGISTER_v0.2(4).md</x:v>
      </x:c>
      <x:c r="F55" s="9" t="str"/>
      <x:c r="G55" s="9" t="str">
        <x:v>Retrieved source document</x:v>
      </x:c>
      <x:c r="H55" s="12" t="str">
        <x:f>IFERROR(HYPERLINK(I55,"Open source"),"Open source")</x:f>
        <x:v>Open source</x:v>
      </x:c>
      <x:c r="I55" s="11" t="str">
        <x:v>sandbox:/workspace/scratch/f26806cbdc5e/sources/library/HUMAN_SIDE_SOURCE_REGISTER_v0.2(4).md</x:v>
      </x:c>
      <x:c r="J55" s="11" t="str">
        <x:v>b40fbfc06f41b6bd4c4dd8277a4283283efafb0d3c6d2760c8b9ab68ea203e0b</x:v>
      </x:c>
      <x:c r="K55" s="11" t="str">
        <x:v>d918a6a07f0961b4775535d7a7d114eb00cfc774511fad19cca6ec38272952f2</x:v>
      </x:c>
    </x:row>
    <x:row r="56" ht="39" customHeight="1">
      <x:c r="A56" s="9" t="str">
        <x:v>COR-052</x:v>
      </x:c>
      <x:c r="B56" s="9" t="str">
        <x:v>HUMAN_SIDE_SOURCE_REGISTER_v0.2_review(10).md</x:v>
      </x:c>
      <x:c r="C56" s="9" t="str">
        <x:v>Research files</x:v>
      </x:c>
      <x:c r="D56" s="9" t="str">
        <x:v>libfile_ab2aa9d91fc081919a36d5b7915e0db0</x:v>
      </x:c>
      <x:c r="E56" s="9" t="str">
        <x:v>library/HUMAN_SIDE_SOURCE_REGISTER_v0.2_review(10).md</x:v>
      </x:c>
      <x:c r="F56" s="9" t="str"/>
      <x:c r="G56" s="9" t="str">
        <x:v>Retrieved source document</x:v>
      </x:c>
      <x:c r="H56" s="12" t="str">
        <x:f>IFERROR(HYPERLINK(I56,"Open source"),"Open source")</x:f>
        <x:v>Open source</x:v>
      </x:c>
      <x:c r="I56" s="11" t="str">
        <x:v>sandbox:/workspace/scratch/f26806cbdc5e/sources/library/HUMAN_SIDE_SOURCE_REGISTER_v0.2_review(10).md</x:v>
      </x:c>
      <x:c r="J56" s="11" t="str">
        <x:v>cf057d151ed6cfc08d4a4f71cc52c7398f974267317a4af47fa61ff8fefb4ab2</x:v>
      </x:c>
      <x:c r="K56" s="11" t="str">
        <x:v>5a54966d28c08f518543f954dcfdb6e9f299148c6108859b0ca44817e2a09203</x:v>
      </x:c>
    </x:row>
    <x:row r="57" ht="39" customHeight="1">
      <x:c r="A57" s="9" t="str">
        <x:v>COR-053</x:v>
      </x:c>
      <x:c r="B57" s="9" t="str">
        <x:v>Revelation-Consolidated(5).md</x:v>
      </x:c>
      <x:c r="C57" s="9" t="str">
        <x:v>Research files</x:v>
      </x:c>
      <x:c r="D57" s="9" t="str">
        <x:v>libfile_06e82670f95c81919bdb9a7bbdd60eb1</x:v>
      </x:c>
      <x:c r="E57" s="9" t="str">
        <x:v>library/Revelation-Consolidated(5).md</x:v>
      </x:c>
      <x:c r="F57" s="9" t="str"/>
      <x:c r="G57" s="9" t="str">
        <x:v>Retrieved source document</x:v>
      </x:c>
      <x:c r="H57" s="12" t="str">
        <x:f>IFERROR(HYPERLINK(I57,"Open source"),"Open source")</x:f>
        <x:v>Open source</x:v>
      </x:c>
      <x:c r="I57" s="11" t="str">
        <x:v>sandbox:/workspace/scratch/f26806cbdc5e/sources/library/Revelation-Consolidated(5).md</x:v>
      </x:c>
      <x:c r="J57" s="11" t="str">
        <x:v>104614f7e0fe5a2ec51e14a82fef3fcf2e91160dfb12eeeabd1fd707c70c5891</x:v>
      </x:c>
      <x:c r="K57" s="11" t="str">
        <x:v>304321a5ac9fffdc69ea170baffe9adc4149f1c07a5e984401ba5009d3ea5030</x:v>
      </x:c>
    </x:row>
    <x:row r="58" ht="39" customHeight="1">
      <x:c r="A58" s="9" t="str">
        <x:v>COR-054</x:v>
      </x:c>
      <x:c r="B58" s="9" t="str">
        <x:v>THE_COUP_AT_THE_THIRTEENTH_HOUR_v0.1.md</x:v>
      </x:c>
      <x:c r="C58" s="9" t="str">
        <x:v>Research files</x:v>
      </x:c>
      <x:c r="D58" s="9" t="str">
        <x:v>libfile_f7372a57e7bc81919bf6cb6ce5781210</x:v>
      </x:c>
      <x:c r="E58" s="9" t="str">
        <x:v>library/THE_COUP_AT_THE_THIRTEENTH_HOUR_v0.1.md</x:v>
      </x:c>
      <x:c r="F58" s="9" t="str"/>
      <x:c r="G58" s="9" t="str">
        <x:v>Retrieved source document</x:v>
      </x:c>
      <x:c r="H58" s="12" t="str">
        <x:f>IFERROR(HYPERLINK(I58,"Open source"),"Open source")</x:f>
        <x:v>Open source</x:v>
      </x:c>
      <x:c r="I58" s="11" t="str">
        <x:v>sandbox:/workspace/scratch/f26806cbdc5e/sources/library/THE_COUP_AT_THE_THIRTEENTH_HOUR_v0.1.md</x:v>
      </x:c>
      <x:c r="J58" s="11" t="str">
        <x:v>12c8a372d0bd90a33ec3858941b1d96c0cd05ac751a1f64560a14f6fb3abaec9</x:v>
      </x:c>
      <x:c r="K58" s="11" t="str">
        <x:v>7b3bdb2f7068f7c663e9fa3d06f0581647956a84ea0e2602f883570ee6391f60</x:v>
      </x:c>
    </x:row>
    <x:row r="59" ht="39" customHeight="1">
      <x:c r="A59" s="9" t="str">
        <x:v>COR-055</x:v>
      </x:c>
      <x:c r="B59" s="9" t="str">
        <x:v>THE_COUP_AT_THE_THIRTEENTH_HOUR_v0.2_ADVERSARIAL.md</x:v>
      </x:c>
      <x:c r="C59" s="9" t="str">
        <x:v>Research files</x:v>
      </x:c>
      <x:c r="D59" s="9" t="str">
        <x:v>libfile_cb8360eff0fc8191a4daa0765b2b825b</x:v>
      </x:c>
      <x:c r="E59" s="9" t="str">
        <x:v>library/THE_COUP_AT_THE_THIRTEENTH_HOUR_v0.2_ADVERSARIAL.md</x:v>
      </x:c>
      <x:c r="F59" s="9" t="str"/>
      <x:c r="G59" s="9" t="str">
        <x:v>Retrieved source document</x:v>
      </x:c>
      <x:c r="H59" s="12" t="str">
        <x:f>IFERROR(HYPERLINK(I59,"Open source"),"Open source")</x:f>
        <x:v>Open source</x:v>
      </x:c>
      <x:c r="I59" s="11" t="str">
        <x:v>sandbox:/workspace/scratch/f26806cbdc5e/sources/library/THE_COUP_AT_THE_THIRTEENTH_HOUR_v0.2_ADVERSARIAL.md</x:v>
      </x:c>
      <x:c r="J59" s="11" t="str">
        <x:v>334ea23d1014b4b31ddc987090d6833bdffed5f6d1615b91b1118b69d119c9ef</x:v>
      </x:c>
      <x:c r="K59" s="11" t="str">
        <x:v>4976f74655aafbe907ad96f931908819a07d4d3bcc71f6eac030c6fddf3271b1</x:v>
      </x:c>
    </x:row>
    <x:row r="60" ht="39" customHeight="1">
      <x:c r="A60" s="9" t="str">
        <x:v>COR-056</x:v>
      </x:c>
      <x:c r="B60" s="9" t="str">
        <x:v>THE_COUP_AT_THE_THIRTEENTH_HOUR_v0.3_COMPILED_TIME_SEAM.md</x:v>
      </x:c>
      <x:c r="C60" s="9" t="str">
        <x:v>Research files</x:v>
      </x:c>
      <x:c r="D60" s="9" t="str">
        <x:v>libfile_57dbc78987408191a7dcb542f400bdaf</x:v>
      </x:c>
      <x:c r="E60" s="9" t="str">
        <x:v>library/THE_COUP_AT_THE_THIRTEENTH_HOUR_v0.3_COMPILED_TIME_SEAM.md</x:v>
      </x:c>
      <x:c r="F60" s="9" t="str"/>
      <x:c r="G60" s="9" t="str">
        <x:v>Retrieved source document</x:v>
      </x:c>
      <x:c r="H60" s="12" t="str">
        <x:f>IFERROR(HYPERLINK(I60,"Open source"),"Open source")</x:f>
        <x:v>Open source</x:v>
      </x:c>
      <x:c r="I60" s="11" t="str">
        <x:v>sandbox:/workspace/scratch/f26806cbdc5e/sources/library/THE_COUP_AT_THE_THIRTEENTH_HOUR_v0.3_COMPILED_TIME_SEAM.md</x:v>
      </x:c>
      <x:c r="J60" s="11" t="str">
        <x:v>e705a73f4793b7e06c688d734c98682ba2b970b71fb88de96707c4381ad2a323</x:v>
      </x:c>
      <x:c r="K60" s="11" t="str">
        <x:v>7f3971a232f06bc76fa39b225a941a6c291ffd5e4a987138b44b1dd15eab1861</x:v>
      </x:c>
    </x:row>
    <x:row r="61" ht="39" customHeight="1">
      <x:c r="A61" s="9" t="str">
        <x:v>COR-057</x:v>
      </x:c>
      <x:c r="B61" s="9" t="str">
        <x:v>THE_COUP_AT_THE_THIRTEENTH_HOUR_v0.3_COMPILER_SEAM.md</x:v>
      </x:c>
      <x:c r="C61" s="9" t="str">
        <x:v>Research files</x:v>
      </x:c>
      <x:c r="D61" s="9" t="str">
        <x:v>libfile_fda2bae7f7f081919b98e4ab475714d4</x:v>
      </x:c>
      <x:c r="E61" s="9" t="str">
        <x:v>library/THE_COUP_AT_THE_THIRTEENTH_HOUR_v0.3_COMPILER_SEAM.md</x:v>
      </x:c>
      <x:c r="F61" s="9" t="str"/>
      <x:c r="G61" s="9" t="str">
        <x:v>Retrieved source document</x:v>
      </x:c>
      <x:c r="H61" s="12" t="str">
        <x:f>IFERROR(HYPERLINK(I61,"Open source"),"Open source")</x:f>
        <x:v>Open source</x:v>
      </x:c>
      <x:c r="I61" s="11" t="str">
        <x:v>sandbox:/workspace/scratch/f26806cbdc5e/sources/library/THE_COUP_AT_THE_THIRTEENTH_HOUR_v0.3_COMPILER_SEAM.md</x:v>
      </x:c>
      <x:c r="J61" s="11" t="str">
        <x:v>ba66f0cfce2267fb79482ec2d293cd4c9aa9f637560194608e2c8fdb435c9e0b</x:v>
      </x:c>
      <x:c r="K61" s="11" t="str">
        <x:v>847899935d5d750280edb242357597ad4fd38b9a3eccee2e564a5925f3113756</x:v>
      </x:c>
    </x:row>
    <x:row r="62" ht="39" customHeight="1">
      <x:c r="A62" s="9" t="str">
        <x:v>COR-058</x:v>
      </x:c>
      <x:c r="B62" s="9" t="str">
        <x:v>The_Coup_in_the_Verbs_Unified_Manuscript(4).md</x:v>
      </x:c>
      <x:c r="C62" s="9" t="str">
        <x:v>Research files</x:v>
      </x:c>
      <x:c r="D62" s="9" t="str">
        <x:v>libfile_0c31a3918f408191b8dfb84996b83ade</x:v>
      </x:c>
      <x:c r="E62" s="9" t="str">
        <x:v>library/The_Coup_in_the_Verbs_Unified_Manuscript(4).md</x:v>
      </x:c>
      <x:c r="F62" s="9" t="str"/>
      <x:c r="G62" s="9" t="str">
        <x:v>Retrieved source document</x:v>
      </x:c>
      <x:c r="H62" s="12" t="str">
        <x:f>IFERROR(HYPERLINK(I62,"Open source"),"Open source")</x:f>
        <x:v>Open source</x:v>
      </x:c>
      <x:c r="I62" s="11" t="str">
        <x:v>sandbox:/workspace/scratch/f26806cbdc5e/sources/library/The_Coup_in_the_Verbs_Unified_Manuscript(4).md</x:v>
      </x:c>
      <x:c r="J62" s="11" t="str">
        <x:v>54efc1feabb26e01c22d7ccaa52a762e98023e5c24a6604f903b8a573e93a352</x:v>
      </x:c>
      <x:c r="K62" s="11" t="str">
        <x:v>cb9df2da603b01f058ef4754ed3451420105022c1778b59bc27d3bc6a0835124</x:v>
      </x:c>
    </x:row>
    <x:row r="63" ht="39" customHeight="1">
      <x:c r="A63" s="9" t="str">
        <x:v>COR-059</x:v>
      </x:c>
      <x:c r="B63" s="9" t="str">
        <x:v>timekeeper_source_spine_v0_5_integrated.xlsx</x:v>
      </x:c>
      <x:c r="C63" s="9" t="str">
        <x:v>Research files</x:v>
      </x:c>
      <x:c r="D63" s="9" t="str">
        <x:v>libfile_6fa8169c1cc8819189ce677094c110eb</x:v>
      </x:c>
      <x:c r="E63" s="9" t="str">
        <x:v>library/Timekeepers/timekeeper_source_spine_v0_5_integrated.xlsx</x:v>
      </x:c>
      <x:c r="F63" s="9" t="str"/>
      <x:c r="G63" s="9" t="str">
        <x:v>Retrieved source document</x:v>
      </x:c>
      <x:c r="H63" s="12" t="str">
        <x:f>IFERROR(HYPERLINK(I63,"Open source"),"Open source")</x:f>
        <x:v>Open source</x:v>
      </x:c>
      <x:c r="I63" s="11" t="str">
        <x:v>sandbox:/workspace/scratch/f26806cbdc5e/sources/library/Timekeepers/timekeeper_source_spine_v0_5_integrated.xlsx</x:v>
      </x:c>
      <x:c r="J63" s="11" t="str">
        <x:v>2194d43354a65c471ea2c1a476e8fd6df13b6930c8f92ee1a20cef6f6a4fadf3</x:v>
      </x:c>
      <x:c r="K63" s="11" t="str">
        <x:v>6d33832b5feac29815ecb6f83e176fd7b8354eb16a3075414ef96c76c9caebdb</x:v>
      </x:c>
    </x:row>
    <x:row r="64" ht="39" customHeight="1">
      <x:c r="A64" s="9" t="str">
        <x:v>COR-060</x:v>
      </x:c>
      <x:c r="B64" s="9" t="str">
        <x:v>ARCHITECTURE_OF_CAPTURE_COMPANION_v1.md</x:v>
      </x:c>
      <x:c r="C64" s="9" t="str">
        <x:v>Research files</x:v>
      </x:c>
      <x:c r="D64" s="9" t="str">
        <x:v>libfile_cce561cf3eac8191a87772e1bf7a7bc4</x:v>
      </x:c>
      <x:c r="E64" s="9" t="str">
        <x:v>library/humans/ARCHITECTURE_OF_CAPTURE_COMPANION_v1.md</x:v>
      </x:c>
      <x:c r="F64" s="9" t="str"/>
      <x:c r="G64" s="9" t="str">
        <x:v>Retrieved source document</x:v>
      </x:c>
      <x:c r="H64" s="12" t="str">
        <x:f>IFERROR(HYPERLINK(I64,"Open source"),"Open source")</x:f>
        <x:v>Open source</x:v>
      </x:c>
      <x:c r="I64" s="11" t="str">
        <x:v>sandbox:/workspace/scratch/f26806cbdc5e/sources/library/humans/ARCHITECTURE_OF_CAPTURE_COMPANION_v1.md</x:v>
      </x:c>
      <x:c r="J64" s="11" t="str">
        <x:v>7a9d96b2372fd259df4dddc864befe638a061c3517dceacece8b5863b92b98e3</x:v>
      </x:c>
      <x:c r="K64" s="11" t="str">
        <x:v>a973345c28155c6abc316dd4697eea4109c7f57579a4bb97741d3854bbe28033</x:v>
      </x:c>
    </x:row>
    <x:row r="65" ht="39" customHeight="1">
      <x:c r="A65" s="9" t="str">
        <x:v>COR-061</x:v>
      </x:c>
      <x:c r="B65" s="9" t="str">
        <x:v>CONDUCT_DOCKET_TECH_ELITE_AUDIT_v2-1.md</x:v>
      </x:c>
      <x:c r="C65" s="9" t="str">
        <x:v>Research files</x:v>
      </x:c>
      <x:c r="D65" s="9" t="str">
        <x:v>libfile_4cbb82a4bb3c8191a479437be6e1f8cb</x:v>
      </x:c>
      <x:c r="E65" s="9" t="str">
        <x:v>library/humans/CONDUCT_DOCKET_TECH_ELITE_AUDIT_v2-1.md</x:v>
      </x:c>
      <x:c r="F65" s="9" t="str"/>
      <x:c r="G65" s="9" t="str">
        <x:v>Retrieved source document</x:v>
      </x:c>
      <x:c r="H65" s="12" t="str">
        <x:f>IFERROR(HYPERLINK(I65,"Open source"),"Open source")</x:f>
        <x:v>Open source</x:v>
      </x:c>
      <x:c r="I65" s="11" t="str">
        <x:v>sandbox:/workspace/scratch/f26806cbdc5e/sources/library/humans/CONDUCT_DOCKET_TECH_ELITE_AUDIT_v2-1.md</x:v>
      </x:c>
      <x:c r="J65" s="11" t="str">
        <x:v>6825ada6c179b5e0418082da1953825da500c960e4e8d5877fe9f2e48a26158f</x:v>
      </x:c>
      <x:c r="K65" s="11" t="str">
        <x:v>6953e46dfe24fb315084b31ec6db01a3fb733ec3306b5a6010a526b4b801558f</x:v>
      </x:c>
    </x:row>
    <x:row r="66" ht="39" customHeight="1">
      <x:c r="A66" s="9" t="str">
        <x:v>COR-062</x:v>
      </x:c>
      <x:c r="B66" s="9" t="str">
        <x:v>FILING_PACKET_v1.md</x:v>
      </x:c>
      <x:c r="C66" s="9" t="str">
        <x:v>Research files</x:v>
      </x:c>
      <x:c r="D66" s="9" t="str">
        <x:v>libfile_d564a5fa11208191b66c31e85f3b9b2a</x:v>
      </x:c>
      <x:c r="E66" s="9" t="str">
        <x:v>library/humans/FILING_PACKET_v1.md</x:v>
      </x:c>
      <x:c r="F66" s="9" t="str">
        <x:v>COR-001</x:v>
      </x:c>
      <x:c r="G66" s="9" t="str">
        <x:v>Retrieved source document; same normalized text as COR-001</x:v>
      </x:c>
      <x:c r="H66" s="12" t="str">
        <x:f>IFERROR(HYPERLINK(I66,"Open source"),"Open source")</x:f>
        <x:v>Open source</x:v>
      </x:c>
      <x:c r="I66" s="11" t="str">
        <x:v>sandbox:/workspace/scratch/f26806cbdc5e/sources/library/humans/FILING_PACKET_v1.md</x:v>
      </x:c>
      <x:c r="J66" s="11" t="str">
        <x:v>d4962d1b59fcf81633db863c635f8e07031b01570c72c3c7388943f31339ae13</x:v>
      </x:c>
      <x:c r="K66" s="11" t="str">
        <x:v>d5ea5f0fc8c76f505aaf84e366c1d28e939ea29ba890f719843fd5994cd7081b</x:v>
      </x:c>
    </x:row>
    <x:row r="67" ht="39" customHeight="1">
      <x:c r="A67" s="9" t="str">
        <x:v>COR-063</x:v>
      </x:c>
      <x:c r="B67" s="9" t="str">
        <x:v>HUMAN_SIDE_CANONICAL_HANDOFF_v0.1.md</x:v>
      </x:c>
      <x:c r="C67" s="9" t="str">
        <x:v>Research files</x:v>
      </x:c>
      <x:c r="D67" s="9" t="str">
        <x:v>libfile_1b385b2e26c48191b3ad689705da7502</x:v>
      </x:c>
      <x:c r="E67" s="9" t="str">
        <x:v>library/humans/HUMAN_SIDE_CANONICAL_HANDOFF_v0.1.md</x:v>
      </x:c>
      <x:c r="F67" s="9" t="str"/>
      <x:c r="G67" s="9" t="str">
        <x:v>Retrieved source document</x:v>
      </x:c>
      <x:c r="H67" s="12" t="str">
        <x:f>IFERROR(HYPERLINK(I67,"Open source"),"Open source")</x:f>
        <x:v>Open source</x:v>
      </x:c>
      <x:c r="I67" s="11" t="str">
        <x:v>sandbox:/workspace/scratch/f26806cbdc5e/sources/library/humans/HUMAN_SIDE_CANONICAL_HANDOFF_v0.1.md</x:v>
      </x:c>
      <x:c r="J67" s="11" t="str">
        <x:v>182ab8aad211290f8086873a5122ab644cb922f0527a2cd4f6f57b1c4c49a58e</x:v>
      </x:c>
      <x:c r="K67" s="11" t="str">
        <x:v>73bcf9b3e95a244610204ceabb259cbd79b4bf2a873094df47a6af160ce64e29</x:v>
      </x:c>
    </x:row>
    <x:row r="68" ht="39" customHeight="1">
      <x:c r="A68" s="9" t="str">
        <x:v>COR-064</x:v>
      </x:c>
      <x:c r="B68" s="9" t="str">
        <x:v>HUMAN_SIDE_RED_MARKER_ADJUDICATION_v0.1.md</x:v>
      </x:c>
      <x:c r="C68" s="9" t="str">
        <x:v>Research files</x:v>
      </x:c>
      <x:c r="D68" s="9" t="str">
        <x:v>libfile_76cb1254141481919f985fd78fa969ad</x:v>
      </x:c>
      <x:c r="E68" s="9" t="str">
        <x:v>library/humans/HUMAN_SIDE_RED_MARKER_ADJUDICATION_v0.1.md</x:v>
      </x:c>
      <x:c r="F68" s="9" t="str"/>
      <x:c r="G68" s="9" t="str">
        <x:v>Retrieved source document</x:v>
      </x:c>
      <x:c r="H68" s="12" t="str">
        <x:f>IFERROR(HYPERLINK(I68,"Open source"),"Open source")</x:f>
        <x:v>Open source</x:v>
      </x:c>
      <x:c r="I68" s="11" t="str">
        <x:v>sandbox:/workspace/scratch/f26806cbdc5e/sources/library/humans/HUMAN_SIDE_RED_MARKER_ADJUDICATION_v0.1.md</x:v>
      </x:c>
      <x:c r="J68" s="11" t="str">
        <x:v>d72bc52be2dcc89d108857e7a759025f33856e63daa0be5c95c886ac544f6366</x:v>
      </x:c>
      <x:c r="K68" s="11" t="str">
        <x:v>b4b0267aa4eebb795bcce3633f42d2acc84e2898a8bc38b80e3d9ede5a372b58</x:v>
      </x:c>
    </x:row>
    <x:row r="69" ht="39" customHeight="1">
      <x:c r="A69" s="9" t="str">
        <x:v>COR-065</x:v>
      </x:c>
      <x:c r="B69" s="9" t="str">
        <x:v>INDICTMENTS_v1.md</x:v>
      </x:c>
      <x:c r="C69" s="9" t="str">
        <x:v>Research files</x:v>
      </x:c>
      <x:c r="D69" s="9" t="str">
        <x:v>libfile_77658f3731f481919631003da4e00bfd</x:v>
      </x:c>
      <x:c r="E69" s="9" t="str">
        <x:v>library/humans/INDICTMENTS_v1.md</x:v>
      </x:c>
      <x:c r="F69" s="9" t="str"/>
      <x:c r="G69" s="9" t="str">
        <x:v>Retrieved source document</x:v>
      </x:c>
      <x:c r="H69" s="12" t="str">
        <x:f>IFERROR(HYPERLINK(I69,"Open source"),"Open source")</x:f>
        <x:v>Open source</x:v>
      </x:c>
      <x:c r="I69" s="11" t="str">
        <x:v>sandbox:/workspace/scratch/f26806cbdc5e/sources/library/humans/INDICTMENTS_v1.md</x:v>
      </x:c>
      <x:c r="J69" s="11" t="str">
        <x:v>25597401ad20c9fb4701de97185952ddb88e66c0a36b367d806007dd551919c5</x:v>
      </x:c>
      <x:c r="K69" s="11" t="str">
        <x:v>90285620cf5f36514bc81700d84761994a55a75b94cc3415edf1ee947dc1bd9c</x:v>
      </x:c>
    </x:row>
    <x:row r="70" ht="39" customHeight="1">
      <x:c r="A70" s="9" t="str">
        <x:v>COR-066</x:v>
      </x:c>
      <x:c r="B70" s="9" t="str">
        <x:v>LONG_REVELATION_RESEARCH_INDEX-1.md</x:v>
      </x:c>
      <x:c r="C70" s="9" t="str">
        <x:v>Research files</x:v>
      </x:c>
      <x:c r="D70" s="9" t="str">
        <x:v>libfile_e337624f83e88191aad0e8fbaeb66177</x:v>
      </x:c>
      <x:c r="E70" s="9" t="str">
        <x:v>library/humans/LONG_REVELATION_RESEARCH_INDEX-1.md</x:v>
      </x:c>
      <x:c r="F70" s="9" t="str"/>
      <x:c r="G70" s="9" t="str">
        <x:v>Retrieved source document</x:v>
      </x:c>
      <x:c r="H70" s="12" t="str">
        <x:f>IFERROR(HYPERLINK(I70,"Open source"),"Open source")</x:f>
        <x:v>Open source</x:v>
      </x:c>
      <x:c r="I70" s="11" t="str">
        <x:v>sandbox:/workspace/scratch/f26806cbdc5e/sources/library/humans/LONG_REVELATION_RESEARCH_INDEX-1.md</x:v>
      </x:c>
      <x:c r="J70" s="11" t="str">
        <x:v>e9c6ab3880ea979d18a782abefd8d893726f6e41589621cf03ee1593e7ae554c</x:v>
      </x:c>
      <x:c r="K70" s="11" t="str">
        <x:v>46909a5c23d516600a50553d438e5ee3d630e64b3d4a580d2e2150ef9626eb2f</x:v>
      </x:c>
    </x:row>
    <x:row r="71" ht="39" customHeight="1">
      <x:c r="A71" s="9" t="str">
        <x:v>COR-067</x:v>
      </x:c>
      <x:c r="B71" s="9" t="str">
        <x:v>ONE_DROP_2026_RESEARCH_COMPRESSION_v1.pdf</x:v>
      </x:c>
      <x:c r="C71" s="9" t="str">
        <x:v>Research files</x:v>
      </x:c>
      <x:c r="D71" s="9" t="str">
        <x:v>libfile_7ebe04ac14148191820ca0bb4588e9ff</x:v>
      </x:c>
      <x:c r="E71" s="9" t="str">
        <x:v>library/humans/ONE_DROP_2026_RESEARCH_COMPRESSION_v1.pdf</x:v>
      </x:c>
      <x:c r="F71" s="9" t="str"/>
      <x:c r="G71" s="9" t="str">
        <x:v>Retrieved source document</x:v>
      </x:c>
      <x:c r="H71" s="12" t="str">
        <x:f>IFERROR(HYPERLINK(I71,"Open source"),"Open source")</x:f>
        <x:v>Open source</x:v>
      </x:c>
      <x:c r="I71" s="11" t="str">
        <x:v>sandbox:/workspace/scratch/f26806cbdc5e/sources/library/humans/ONE_DROP_2026_RESEARCH_COMPRESSION_v1.pdf</x:v>
      </x:c>
      <x:c r="J71" s="11" t="str">
        <x:v>2f794adfa1b152b9cd1ab0b40e77a45030f76d2a15c439a5a0785612317b72b8</x:v>
      </x:c>
      <x:c r="K71" s="11" t="str">
        <x:v>d93f37bee9656b6f57af91afbf8e6e4869c42f64077c3b6da760122ec27a9cfa</x:v>
      </x:c>
    </x:row>
    <x:row r="72" ht="39" customHeight="1">
      <x:c r="A72" s="9" t="str">
        <x:v>COR-068</x:v>
      </x:c>
      <x:c r="B72" s="9" t="str">
        <x:v>Politics_Myth_Scripts_Investigation-main.zip</x:v>
      </x:c>
      <x:c r="C72" s="9" t="str">
        <x:v>Research files</x:v>
      </x:c>
      <x:c r="D72" s="9" t="str">
        <x:v>libfile_aaa1c90643a0819186b1dea17b3b34b8</x:v>
      </x:c>
      <x:c r="E72" s="9" t="str">
        <x:v>library/humans/Politics_Myth_Scripts_Investigation-main.zip</x:v>
      </x:c>
      <x:c r="F72" s="9" t="str"/>
      <x:c r="G72" s="9" t="str">
        <x:v>Retrieved source document</x:v>
      </x:c>
      <x:c r="H72" s="12" t="str">
        <x:f>IFERROR(HYPERLINK(I72,"Open source"),"Open source")</x:f>
        <x:v>Open source</x:v>
      </x:c>
      <x:c r="I72" s="11" t="str">
        <x:v>sandbox:/workspace/scratch/f26806cbdc5e/sources/library/humans/Politics_Myth_Scripts_Investigation-main.zip</x:v>
      </x:c>
      <x:c r="J72" s="11" t="str">
        <x:v>af1f85c64b753b778a2c18001d10df06286c20253acf7f1e062ccf8c244beef4</x:v>
      </x:c>
      <x:c r="K72" s="11" t="str"/>
    </x:row>
    <x:row r="73" ht="39" customHeight="1">
      <x:c r="A73" s="9" t="str">
        <x:v>COR-069</x:v>
      </x:c>
      <x:c r="B73" s="9" t="str">
        <x:v>RED_MARKER_AUDIT_handoff_v0_1.md</x:v>
      </x:c>
      <x:c r="C73" s="9" t="str">
        <x:v>Research files</x:v>
      </x:c>
      <x:c r="D73" s="9" t="str">
        <x:v>libfile_c868a3c419b081918c197162e9ebd9c2</x:v>
      </x:c>
      <x:c r="E73" s="9" t="str">
        <x:v>library/humans/RED_MARKER_AUDIT_handoff_v0_1.md</x:v>
      </x:c>
      <x:c r="F73" s="9" t="str"/>
      <x:c r="G73" s="9" t="str">
        <x:v>Retrieved source document</x:v>
      </x:c>
      <x:c r="H73" s="12" t="str">
        <x:f>IFERROR(HYPERLINK(I73,"Open source"),"Open source")</x:f>
        <x:v>Open source</x:v>
      </x:c>
      <x:c r="I73" s="11" t="str">
        <x:v>sandbox:/workspace/scratch/f26806cbdc5e/sources/library/humans/RED_MARKER_AUDIT_handoff_v0_1.md</x:v>
      </x:c>
      <x:c r="J73" s="11" t="str">
        <x:v>888a80e26fb8f3904e2991f6ae4b0f8cbc82c09eea11baa9c42da8e6f3864798</x:v>
      </x:c>
      <x:c r="K73" s="11" t="str">
        <x:v>16dfca2f884a24619195359370e332e383b3bed3dc69ba1ed47ac068b16c696a</x:v>
      </x:c>
    </x:row>
    <x:row r="74" ht="39" customHeight="1">
      <x:c r="A74" s="9" t="str">
        <x:v>COR-070</x:v>
      </x:c>
      <x:c r="B74" s="9" t="str">
        <x:v>RED_MARKER_RECONCILIATION_GPT_v0.1.md</x:v>
      </x:c>
      <x:c r="C74" s="9" t="str">
        <x:v>Research files</x:v>
      </x:c>
      <x:c r="D74" s="9" t="str">
        <x:v>libfile_77560825df5481918359567cd857026e</x:v>
      </x:c>
      <x:c r="E74" s="9" t="str">
        <x:v>library/humans/RED_MARKER_RECONCILIATION_GPT_v0.1.md</x:v>
      </x:c>
      <x:c r="F74" s="9" t="str"/>
      <x:c r="G74" s="9" t="str">
        <x:v>Retrieved source document</x:v>
      </x:c>
      <x:c r="H74" s="12" t="str">
        <x:f>IFERROR(HYPERLINK(I74,"Open source"),"Open source")</x:f>
        <x:v>Open source</x:v>
      </x:c>
      <x:c r="I74" s="11" t="str">
        <x:v>sandbox:/workspace/scratch/f26806cbdc5e/sources/library/humans/RED_MARKER_RECONCILIATION_GPT_v0.1.md</x:v>
      </x:c>
      <x:c r="J74" s="11" t="str">
        <x:v>a77b6bebc997047c81ba2785f6d341d0b0834747879261d64e8e2ed951159ef9</x:v>
      </x:c>
      <x:c r="K74" s="11" t="str">
        <x:v>b4ce0639797fbce13a1444c252115a19019d3016ef24e9af06a8cb6dd4dfb0d2</x:v>
      </x:c>
    </x:row>
    <x:row r="75" ht="39" customHeight="1">
      <x:c r="A75" s="9" t="str">
        <x:v>COR-071</x:v>
      </x:c>
      <x:c r="B75" s="9" t="str">
        <x:v>Revelation_Empire_Necropolis_Integrated_v4.md</x:v>
      </x:c>
      <x:c r="C75" s="9" t="str">
        <x:v>Research files</x:v>
      </x:c>
      <x:c r="D75" s="9" t="str">
        <x:v>libfile_901623f710588191bc48affeda429253</x:v>
      </x:c>
      <x:c r="E75" s="9" t="str">
        <x:v>library/humans/Revelation_Empire_Necropolis_Integrated_v4.md</x:v>
      </x:c>
      <x:c r="F75" s="9" t="str"/>
      <x:c r="G75" s="9" t="str">
        <x:v>Retrieved source document</x:v>
      </x:c>
      <x:c r="H75" s="12" t="str">
        <x:f>IFERROR(HYPERLINK(I75,"Open source"),"Open source")</x:f>
        <x:v>Open source</x:v>
      </x:c>
      <x:c r="I75" s="11" t="str">
        <x:v>sandbox:/workspace/scratch/f26806cbdc5e/sources/library/humans/Revelation_Empire_Necropolis_Integrated_v4.md</x:v>
      </x:c>
      <x:c r="J75" s="11" t="str">
        <x:v>12c332f3d30c9e69c52f9c2471751f60db0e8fd1c38dc203d5f767fc0355abe5</x:v>
      </x:c>
      <x:c r="K75" s="11" t="str">
        <x:v>fd0e3c370145b5aa6719dd2c73f0f0b4dcba714d8cf900b277c68c8e7baf53c0</x:v>
      </x:c>
    </x:row>
    <x:row r="76" ht="39" customHeight="1">
      <x:c r="A76" s="9" t="str">
        <x:v>COR-072</x:v>
      </x:c>
      <x:c r="B76" s="9" t="str">
        <x:v>Silicon_God_Necropolis_Provenance_Refusal_v1(3).pdf</x:v>
      </x:c>
      <x:c r="C76" s="9" t="str">
        <x:v>Research files</x:v>
      </x:c>
      <x:c r="D76" s="9" t="str">
        <x:v>libfile_b7ce2bd0e3908191893affe9c188acbb</x:v>
      </x:c>
      <x:c r="E76" s="9" t="str">
        <x:v>library/humans/Silicon_God_Necropolis_Provenance_Refusal_v1(3).pdf</x:v>
      </x:c>
      <x:c r="F76" s="9" t="str"/>
      <x:c r="G76" s="9" t="str">
        <x:v>Retrieved source document</x:v>
      </x:c>
      <x:c r="H76" s="12" t="str">
        <x:f>IFERROR(HYPERLINK(I76,"Open source"),"Open source")</x:f>
        <x:v>Open source</x:v>
      </x:c>
      <x:c r="I76" s="11" t="str">
        <x:v>sandbox:/workspace/scratch/f26806cbdc5e/sources/library/humans/Silicon_God_Necropolis_Provenance_Refusal_v1(3).pdf</x:v>
      </x:c>
      <x:c r="J76" s="11" t="str">
        <x:v>1e27b2f64da2961cf20fcd08dd8a3647c6c2f2d9d0365d53c658c026ca656e65</x:v>
      </x:c>
      <x:c r="K76" s="11" t="str">
        <x:v>298ee766181423eb73b59094c8c0480c7ec745e9e22b0bca88e4683703ab91b0</x:v>
      </x:c>
    </x:row>
    <x:row r="77" ht="39" customHeight="1">
      <x:c r="A77" s="9" t="str">
        <x:v>COR-073</x:v>
      </x:c>
      <x:c r="B77" s="9" t="str">
        <x:v>The_Architecture_of_Capture.md</x:v>
      </x:c>
      <x:c r="C77" s="9" t="str">
        <x:v>Research files</x:v>
      </x:c>
      <x:c r="D77" s="9" t="str">
        <x:v>libfile_79f451210f9c8191ace752c3796411d7</x:v>
      </x:c>
      <x:c r="E77" s="9" t="str">
        <x:v>library/humans/The_Architecture_of_Capture.md</x:v>
      </x:c>
      <x:c r="F77" s="9" t="str"/>
      <x:c r="G77" s="9" t="str">
        <x:v>Retrieved source document</x:v>
      </x:c>
      <x:c r="H77" s="12" t="str">
        <x:f>IFERROR(HYPERLINK(I77,"Open source"),"Open source")</x:f>
        <x:v>Open source</x:v>
      </x:c>
      <x:c r="I77" s="11" t="str">
        <x:v>sandbox:/workspace/scratch/f26806cbdc5e/sources/library/humans/The_Architecture_of_Capture.md</x:v>
      </x:c>
      <x:c r="J77" s="11" t="str">
        <x:v>0cc93897996c16a28863b38aadf6c3112c15bb032b5eb675118aca8a1b142333</x:v>
      </x:c>
      <x:c r="K77" s="11" t="str">
        <x:v>6e6127ec3cf09631ecedb72851a14161b25a0c0b8fc5147dee61a7b62e7c4492</x:v>
      </x:c>
    </x:row>
    <x:row r="78" ht="39" customHeight="1">
      <x:c r="A78" s="9" t="str">
        <x:v>COR-074</x:v>
      </x:c>
      <x:c r="B78" s="9" t="str">
        <x:v>The_Room_Without_an_Occupant_23_Case_Audit.md</x:v>
      </x:c>
      <x:c r="C78" s="9" t="str">
        <x:v>Research files</x:v>
      </x:c>
      <x:c r="D78" s="9" t="str">
        <x:v>libfile_8ff5fc1e9964819191e93ff19d259393</x:v>
      </x:c>
      <x:c r="E78" s="9" t="str">
        <x:v>library/humans/The_Room_Without_an_Occupant_23_Case_Audit.md</x:v>
      </x:c>
      <x:c r="F78" s="9" t="str"/>
      <x:c r="G78" s="9" t="str">
        <x:v>Retrieved source document</x:v>
      </x:c>
      <x:c r="H78" s="12" t="str">
        <x:f>IFERROR(HYPERLINK(I78,"Open source"),"Open source")</x:f>
        <x:v>Open source</x:v>
      </x:c>
      <x:c r="I78" s="11" t="str">
        <x:v>sandbox:/workspace/scratch/f26806cbdc5e/sources/library/humans/The_Room_Without_an_Occupant_23_Case_Audit.md</x:v>
      </x:c>
      <x:c r="J78" s="11" t="str">
        <x:v>2c04ecbed4be9809e3022eebd0834b80aa15989924e44a31277e1128a2c912da</x:v>
      </x:c>
      <x:c r="K78" s="11" t="str">
        <x:v>d626db7e7f89412dc7f3b0f2b9b84086492bac13d82b4b923249c3a22b7ce193</x:v>
      </x:c>
    </x:row>
    <x:row r="79" ht="39" customHeight="1">
      <x:c r="A79" s="9" t="str">
        <x:v>COR-075</x:v>
      </x:c>
      <x:c r="B79" s="9" t="str">
        <x:v>archetype_investigation_open_claims_research_packet_v0_1.md</x:v>
      </x:c>
      <x:c r="C79" s="9" t="str">
        <x:v>Research files</x:v>
      </x:c>
      <x:c r="D79" s="9" t="str">
        <x:v>libfile_7ef41a4aea2c8191bc22fbfb17da6493</x:v>
      </x:c>
      <x:c r="E79" s="9" t="str">
        <x:v>library/humans/archetype_investigation_open_claims_research_packet_v0_1.md</x:v>
      </x:c>
      <x:c r="F79" s="9" t="str"/>
      <x:c r="G79" s="9" t="str">
        <x:v>Retrieved source document</x:v>
      </x:c>
      <x:c r="H79" s="12" t="str">
        <x:f>IFERROR(HYPERLINK(I79,"Open source"),"Open source")</x:f>
        <x:v>Open source</x:v>
      </x:c>
      <x:c r="I79" s="11" t="str">
        <x:v>sandbox:/workspace/scratch/f26806cbdc5e/sources/library/humans/archetype_investigation_open_claims_research_packet_v0_1.md</x:v>
      </x:c>
      <x:c r="J79" s="11" t="str">
        <x:v>1a5bb7e67cc19c0bc99a74cbaeb5723cd7f4d38bc336de2c1fe30b2fff3cf029</x:v>
      </x:c>
      <x:c r="K79" s="11" t="str">
        <x:v>0a3b6ddf57d88cab0f6e7a8327abdab5b6b69c2b4bcb594e98a16c8d437170ef</x:v>
      </x:c>
    </x:row>
    <x:row r="80" ht="39" customHeight="1">
      <x:c r="A80" s="9" t="str">
        <x:v>COR-076</x:v>
      </x:c>
      <x:c r="B80" s="9" t="str">
        <x:v>necropolis-1.PDF</x:v>
      </x:c>
      <x:c r="C80" s="9" t="str">
        <x:v>Research files</x:v>
      </x:c>
      <x:c r="D80" s="9" t="str">
        <x:v>libfile_5c52c84de37c8191a888b54285018646</x:v>
      </x:c>
      <x:c r="E80" s="9" t="str">
        <x:v>library/necropolis-1.PDF</x:v>
      </x:c>
      <x:c r="F80" s="9" t="str"/>
      <x:c r="G80" s="9" t="str">
        <x:v>Retrieved source document</x:v>
      </x:c>
      <x:c r="H80" s="12" t="str">
        <x:f>IFERROR(HYPERLINK(I80,"Open source"),"Open source")</x:f>
        <x:v>Open source</x:v>
      </x:c>
      <x:c r="I80" s="11" t="str">
        <x:v>sandbox:/workspace/scratch/f26806cbdc5e/sources/library/necropolis-1.PDF</x:v>
      </x:c>
      <x:c r="J80" s="11" t="str">
        <x:v>ad681e0580d52a51f2d879f8855afa59a55d0a89ec3c3902c2ec82d00222ecb0</x:v>
      </x:c>
      <x:c r="K80" s="11" t="str">
        <x:v>685434d0f2929bda938a1995a9d1b53e0b24e785af60136c594300959f41cce7</x:v>
      </x:c>
    </x:row>
    <x:row r="81" ht="39" customHeight="1">
      <x:c r="A81" s="9" t="str">
        <x:v>COR-077</x:v>
      </x:c>
      <x:c r="B81" s="9" t="str">
        <x:v>nobrakesallpwn.md</x:v>
      </x:c>
      <x:c r="C81" s="9" t="str">
        <x:v>Research files</x:v>
      </x:c>
      <x:c r="D81" s="9" t="str">
        <x:v>libfile_600098bf2a4c819180df065e5f1dc995</x:v>
      </x:c>
      <x:c r="E81" s="9" t="str">
        <x:v>library/nobrakesallpwn.md</x:v>
      </x:c>
      <x:c r="F81" s="9" t="str"/>
      <x:c r="G81" s="9" t="str">
        <x:v>Retrieved source document</x:v>
      </x:c>
      <x:c r="H81" s="12" t="str">
        <x:f>IFERROR(HYPERLINK(I81,"Open source"),"Open source")</x:f>
        <x:v>Open source</x:v>
      </x:c>
      <x:c r="I81" s="11" t="str">
        <x:v>sandbox:/workspace/scratch/f26806cbdc5e/sources/library/nobrakesallpwn.md</x:v>
      </x:c>
      <x:c r="J81" s="11" t="str">
        <x:v>ad8bd034772bda063607adeadff3e1a60f491f40de18de06102d74ef50e140c6</x:v>
      </x:c>
      <x:c r="K81" s="11" t="str">
        <x:v>fde304a8c88da595d67c57ff8377eb44966e3f8b21f6be99f4e0db3d55e3e1cb</x:v>
      </x:c>
    </x:row>
    <x:row r="82" ht="39" customHeight="1">
      <x:c r="A82" s="9" t="str">
        <x:v>COR-078</x:v>
      </x:c>
      <x:c r="B82" s="9" t="str">
        <x:v>HUMAN_SIDE_INSTITUTIONAL_PAPER_v1.0.md</x:v>
      </x:c>
      <x:c r="C82" s="9" t="str">
        <x:v>Archive member</x:v>
      </x:c>
      <x:c r="D82" s="9" t="str"/>
      <x:c r="E82" s="9" t="str">
        <x:v>zip/Politics_Myth_Scripts_Investigation-main/HUMAN_SIDE_INSTITUTIONAL_PAPER_v1.0.md</x:v>
      </x:c>
      <x:c r="F82" s="9" t="str">
        <x:v>COR-044</x:v>
      </x:c>
      <x:c r="G82" s="9" t="str">
        <x:v>Member of Politics_Myth_Scripts_Investigation-main.zip; same normalized text as COR-044</x:v>
      </x:c>
      <x:c r="H82" s="12" t="str">
        <x:f>IFERROR(HYPERLINK(I82,"Open source"),"Open source")</x:f>
        <x:v>Open source</x:v>
      </x:c>
      <x:c r="I82" s="11" t="str">
        <x:v>sandbox:/workspace/scratch/f26806cbdc5e/sources/zip/Politics_Myth_Scripts_Investigation-main/HUMAN_SIDE_INSTITUTIONAL_PAPER_v1.0.md</x:v>
      </x:c>
      <x:c r="J82" s="11" t="str">
        <x:v>c78321f2c6ac54eeed93a326c589cf118dd08eb9cc58304f9383afa8714dd1d3</x:v>
      </x:c>
      <x:c r="K82" s="11" t="str">
        <x:v>f5cb5705289bd9d9b7f757eec457054772f8ccb353c0cc810cdc975a14f9fc81</x:v>
      </x:c>
    </x:row>
    <x:row r="83" ht="39" customHeight="1">
      <x:c r="A83" s="9" t="str">
        <x:v>COR-079</x:v>
      </x:c>
      <x:c r="B83" s="9" t="str">
        <x:v>HUMAN_SIDE_SOURCE_REGISTER_v0.2.md</x:v>
      </x:c>
      <x:c r="C83" s="9" t="str">
        <x:v>Archive member</x:v>
      </x:c>
      <x:c r="D83" s="9" t="str"/>
      <x:c r="E83" s="9" t="str">
        <x:v>zip/Politics_Myth_Scripts_Investigation-main/HUMAN_SIDE_SOURCE_REGISTER_v0.2.md</x:v>
      </x:c>
      <x:c r="F83" s="9" t="str">
        <x:v>COR-051</x:v>
      </x:c>
      <x:c r="G83" s="9" t="str">
        <x:v>Member of Politics_Myth_Scripts_Investigation-main.zip; same normalized text as COR-051</x:v>
      </x:c>
      <x:c r="H83" s="12" t="str">
        <x:f>IFERROR(HYPERLINK(I83,"Open source"),"Open source")</x:f>
        <x:v>Open source</x:v>
      </x:c>
      <x:c r="I83" s="11" t="str">
        <x:v>sandbox:/workspace/scratch/f26806cbdc5e/sources/zip/Politics_Myth_Scripts_Investigation-main/HUMAN_SIDE_SOURCE_REGISTER_v0.2.md</x:v>
      </x:c>
      <x:c r="J83" s="11" t="str">
        <x:v>b40fbfc06f41b6bd4c4dd8277a4283283efafb0d3c6d2760c8b9ab68ea203e0b</x:v>
      </x:c>
      <x:c r="K83" s="11" t="str">
        <x:v>d918a6a07f0961b4775535d7a7d114eb00cfc774511fad19cca6ec38272952f2</x:v>
      </x:c>
    </x:row>
    <x:row r="84" ht="39" customHeight="1">
      <x:c r="A84" s="9" t="str">
        <x:v>COR-080</x:v>
      </x:c>
      <x:c r="B84" s="9" t="str">
        <x:v>README.md</x:v>
      </x:c>
      <x:c r="C84" s="9" t="str">
        <x:v>Archive member</x:v>
      </x:c>
      <x:c r="D84" s="9" t="str"/>
      <x:c r="E84" s="9" t="str">
        <x:v>zip/Politics_Myth_Scripts_Investigation-main/README.md</x:v>
      </x:c>
      <x:c r="F84" s="9" t="str"/>
      <x:c r="G84" s="9" t="str">
        <x:v>Member of Politics_Myth_Scripts_Investigation-main.zip</x:v>
      </x:c>
      <x:c r="H84" s="12" t="str">
        <x:f>IFERROR(HYPERLINK(I84,"Open source"),"Open source")</x:f>
        <x:v>Open source</x:v>
      </x:c>
      <x:c r="I84" s="11" t="str">
        <x:v>sandbox:/workspace/scratch/f26806cbdc5e/sources/zip/Politics_Myth_Scripts_Investigation-main/README.md</x:v>
      </x:c>
      <x:c r="J84" s="11" t="str">
        <x:v>6eb95ef44d7b8a2e7d86b8cb81019cd6b574490295ca81504d02decc021f7d32</x:v>
      </x:c>
      <x:c r="K84" s="11" t="str">
        <x:v>6eb95ef44d7b8a2e7d86b8cb81019cd6b574490295ca81504d02decc021f7d32</x:v>
      </x:c>
    </x:row>
    <x:row r="85" ht="39" customHeight="1">
      <x:c r="A85" s="9" t="str">
        <x:v>COR-081</x:v>
      </x:c>
      <x:c r="B85" s="9" t="str">
        <x:v>REVELATION_FUNCTIONAL_CAST_MAP.md</x:v>
      </x:c>
      <x:c r="C85" s="9" t="str">
        <x:v>Archive member</x:v>
      </x:c>
      <x:c r="D85" s="9" t="str"/>
      <x:c r="E85" s="9" t="str">
        <x:v>zip/Politics_Myth_Scripts_Investigation-main/REVELATION_FUNCTIONAL_CAST_MAP.md</x:v>
      </x:c>
      <x:c r="F85" s="9" t="str"/>
      <x:c r="G85" s="9" t="str">
        <x:v>Member of Politics_Myth_Scripts_Investigation-main.zip</x:v>
      </x:c>
      <x:c r="H85" s="12" t="str">
        <x:f>IFERROR(HYPERLINK(I85,"Open source"),"Open source")</x:f>
        <x:v>Open source</x:v>
      </x:c>
      <x:c r="I85" s="11" t="str">
        <x:v>sandbox:/workspace/scratch/f26806cbdc5e/sources/zip/Politics_Myth_Scripts_Investigation-main/REVELATION_FUNCTIONAL_CAST_MAP.md</x:v>
      </x:c>
      <x:c r="J85" s="11" t="str">
        <x:v>f8b8485f5878a2707aba88b6984e59acc457829a5615d684b45a9aae012f1329</x:v>
      </x:c>
      <x:c r="K85" s="11" t="str">
        <x:v>04585a672684dd561e1b106f7b145815358622c54fe6f3664f5c7195d270eff3</x:v>
      </x:c>
    </x:row>
    <x:row r="86" ht="39" customHeight="1">
      <x:c r="A86" s="9" t="str">
        <x:v>COR-082</x:v>
      </x:c>
      <x:c r="B86" s="9" t="str">
        <x:v>REVELATION_FUNCTIONAL_CAST_MAP_V2.md</x:v>
      </x:c>
      <x:c r="C86" s="9" t="str">
        <x:v>Archive member</x:v>
      </x:c>
      <x:c r="D86" s="9" t="str"/>
      <x:c r="E86" s="9" t="str">
        <x:v>zip/Politics_Myth_Scripts_Investigation-main/REVELATION_FUNCTIONAL_CAST_MAP_V2.md</x:v>
      </x:c>
      <x:c r="F86" s="9" t="str"/>
      <x:c r="G86" s="9" t="str">
        <x:v>Member of Politics_Myth_Scripts_Investigation-main.zip</x:v>
      </x:c>
      <x:c r="H86" s="12" t="str">
        <x:f>IFERROR(HYPERLINK(I86,"Open source"),"Open source")</x:f>
        <x:v>Open source</x:v>
      </x:c>
      <x:c r="I86" s="11" t="str">
        <x:v>sandbox:/workspace/scratch/f26806cbdc5e/sources/zip/Politics_Myth_Scripts_Investigation-main/REVELATION_FUNCTIONAL_CAST_MAP_V2.md</x:v>
      </x:c>
      <x:c r="J86" s="11" t="str">
        <x:v>6c264f8eb8f83be83d6348862133b5b504a0c4f996235e9983756f0e9a7b3595</x:v>
      </x:c>
      <x:c r="K86" s="11" t="str">
        <x:v>0bc81298c84944e2be1f816eae69d2e7103ecb7f0d2a5b1cfb8d469f4c58f224</x:v>
      </x:c>
    </x:row>
    <x:row r="87" ht="39" customHeight="1">
      <x:c r="A87" s="9" t="str">
        <x:v>COR-083</x:v>
      </x:c>
      <x:c r="B87" s="9" t="str">
        <x:v>ROUTES_OF_INSTITUTIONAL_POWER_PUBLIC_DRAFT_v1.0.md</x:v>
      </x:c>
      <x:c r="C87" s="9" t="str">
        <x:v>Archive member</x:v>
      </x:c>
      <x:c r="D87" s="9" t="str"/>
      <x:c r="E87" s="9" t="str">
        <x:v>zip/Politics_Myth_Scripts_Investigation-main/ROUTES_OF_INSTITUTIONAL_POWER_PUBLIC_DRAFT_v1.0.md</x:v>
      </x:c>
      <x:c r="F87" s="9" t="str"/>
      <x:c r="G87" s="9" t="str">
        <x:v>Member of Politics_Myth_Scripts_Investigation-main.zip</x:v>
      </x:c>
      <x:c r="H87" s="12" t="str">
        <x:f>IFERROR(HYPERLINK(I87,"Open source"),"Open source")</x:f>
        <x:v>Open source</x:v>
      </x:c>
      <x:c r="I87" s="11" t="str">
        <x:v>sandbox:/workspace/scratch/f26806cbdc5e/sources/zip/Politics_Myth_Scripts_Investigation-main/ROUTES_OF_INSTITUTIONAL_POWER_PUBLIC_DRAFT_v1.0.md</x:v>
      </x:c>
      <x:c r="J87" s="11" t="str">
        <x:v>e7bd1536f7254630581db38338462ad14602f31676051ca288e63cbe3eb89d44</x:v>
      </x:c>
      <x:c r="K87" s="11" t="str">
        <x:v>add483f8170273cb3d59435ca39c18c1c6ec3869a4a3813539ceab0debe0bcd7</x:v>
      </x:c>
    </x:row>
    <x:row r="88" ht="39" customHeight="1">
      <x:c r="A88" s="9" t="str">
        <x:v>COR-084</x:v>
      </x:c>
      <x:c r="B88" s="9" t="str">
        <x:v>Wobble_v2.3_7_14_26.md</x:v>
      </x:c>
      <x:c r="C88" s="9" t="str">
        <x:v>Archive member</x:v>
      </x:c>
      <x:c r="D88" s="9" t="str"/>
      <x:c r="E88" s="9" t="str">
        <x:v>zip/Politics_Myth_Scripts_Investigation-main/Wobble_v2.3_7_14_26.md</x:v>
      </x:c>
      <x:c r="F88" s="9" t="str"/>
      <x:c r="G88" s="9" t="str">
        <x:v>Member of Politics_Myth_Scripts_Investigation-main.zip</x:v>
      </x:c>
      <x:c r="H88" s="12" t="str">
        <x:f>IFERROR(HYPERLINK(I88,"Open source"),"Open source")</x:f>
        <x:v>Open source</x:v>
      </x:c>
      <x:c r="I88" s="11" t="str">
        <x:v>sandbox:/workspace/scratch/f26806cbdc5e/sources/zip/Politics_Myth_Scripts_Investigation-main/Wobble_v2.3_7_14_26.md</x:v>
      </x:c>
      <x:c r="J88" s="11" t="str">
        <x:v>2936c79612f95367999f8eb0205ceef3a1cc16da2fc9ce6a7e6cbe7f7dafa0b1</x:v>
      </x:c>
      <x:c r="K88" s="11" t="str">
        <x:v>03c7c23aa4646285f754f8c00d4df504e674987a1eca4a5078d0f9f05f0e64ff</x:v>
      </x:c>
    </x:row>
    <x:row r="89" ht="39" customHeight="1">
      <x:c r="A89" s="9" t="str">
        <x:v>COR-085</x:v>
      </x:c>
      <x:c r="B89" s="9" t="str">
        <x:v>Wobble_v2.4_8_17_26.md</x:v>
      </x:c>
      <x:c r="C89" s="9" t="str">
        <x:v>Archive member</x:v>
      </x:c>
      <x:c r="D89" s="9" t="str"/>
      <x:c r="E89" s="9" t="str">
        <x:v>zip/Politics_Myth_Scripts_Investigation-main/Wobble_v2.4_8_17_26.md</x:v>
      </x:c>
      <x:c r="F89" s="9" t="str"/>
      <x:c r="G89" s="9" t="str">
        <x:v>Member of Politics_Myth_Scripts_Investigation-main.zip</x:v>
      </x:c>
      <x:c r="H89" s="12" t="str">
        <x:f>IFERROR(HYPERLINK(I89,"Open source"),"Open source")</x:f>
        <x:v>Open source</x:v>
      </x:c>
      <x:c r="I89" s="11" t="str">
        <x:v>sandbox:/workspace/scratch/f26806cbdc5e/sources/zip/Politics_Myth_Scripts_Investigation-main/Wobble_v2.4_8_17_26.md</x:v>
      </x:c>
      <x:c r="J89" s="11" t="str">
        <x:v>967c33afeff9b1a3c1b4d016a08c7fd5cbd142ff6a7c7221137b66fb341385f4</x:v>
      </x:c>
      <x:c r="K89" s="11" t="str">
        <x:v>242ee95c2c7fac08383478a2f8716261eb7c1bb63b2cc749f00dc1e95415e2d8</x:v>
      </x:c>
    </x:row>
    <x:row r="90" ht="39" customHeight="1">
      <x:c r="A90" s="9" t="str">
        <x:v>COR-086</x:v>
      </x:c>
      <x:c r="B90" s="9" t="str">
        <x:v>13th_hour(20260822-070859).md</x:v>
      </x:c>
      <x:c r="C90" s="9" t="str">
        <x:v>Research files</x:v>
      </x:c>
      <x:c r="D90" s="9" t="str">
        <x:v>libfile_fcace19a60ac8191b5ff86cfd9d2f8e0</x:v>
      </x:c>
      <x:c r="E90" s="9" t="str">
        <x:v>library/13th_hour(20260822-070859).md</x:v>
      </x:c>
      <x:c r="F90" s="9" t="str"/>
      <x:c r="G90" s="9" t="str">
        <x:v>Retrieved source document</x:v>
      </x:c>
      <x:c r="H90" s="12" t="str">
        <x:f>IFERROR(HYPERLINK(I90,"Open source"),"Open source")</x:f>
        <x:v>Open source</x:v>
      </x:c>
      <x:c r="I90" s="11" t="str">
        <x:v>sandbox:/workspace/scratch/f26806cbdc5e/sources/library/13th_hour(20260822-070859).md</x:v>
      </x:c>
      <x:c r="J90" s="11" t="str">
        <x:v>a8ca464d45bcbbf18d10fafed7aa62123fc15778e49e8127267f2d2b74ddf0be</x:v>
      </x:c>
      <x:c r="K90" s="11" t="str">
        <x:v>754fc128813759d941ee1b400c5684d0037ad4033fb1590fd239d9acae81ad57</x:v>
      </x:c>
    </x:row>
    <x:row r="91" ht="39" customHeight="1">
      <x:c r="A91" s="9" t="str">
        <x:v>COR-087</x:v>
      </x:c>
      <x:c r="B91" s="9" t="str">
        <x:v>13th_hour.md</x:v>
      </x:c>
      <x:c r="C91" s="9" t="str">
        <x:v>Research files</x:v>
      </x:c>
      <x:c r="D91" s="9" t="str">
        <x:v>libfile_a22624341e1081918ef27bda8a8d60a2</x:v>
      </x:c>
      <x:c r="E91" s="9" t="str">
        <x:v>library/13th_hour.md</x:v>
      </x:c>
      <x:c r="F91" s="9" t="str">
        <x:v>COR-086</x:v>
      </x:c>
      <x:c r="G91" s="9" t="str">
        <x:v>Retrieved source document; same normalized text as COR-086</x:v>
      </x:c>
      <x:c r="H91" s="12" t="str">
        <x:f>IFERROR(HYPERLINK(I91,"Open source"),"Open source")</x:f>
        <x:v>Open source</x:v>
      </x:c>
      <x:c r="I91" s="11" t="str">
        <x:v>sandbox:/workspace/scratch/f26806cbdc5e/sources/library/13th_hour.md</x:v>
      </x:c>
      <x:c r="J91" s="11" t="str">
        <x:v>a8ca464d45bcbbf18d10fafed7aa62123fc15778e49e8127267f2d2b74ddf0be</x:v>
      </x:c>
      <x:c r="K91" s="11" t="str">
        <x:v>754fc128813759d941ee1b400c5684d0037ad4033fb1590fd239d9acae81ad57</x:v>
      </x:c>
    </x:row>
    <x:row r="92" ht="39" customHeight="1">
      <x:c r="A92" s="9" t="str">
        <x:v>COR-088</x:v>
      </x:c>
      <x:c r="B92" s="9" t="str">
        <x:v>Monkey_Myth_Matrix_v0_21.pdf</x:v>
      </x:c>
      <x:c r="C92" s="9" t="str">
        <x:v>Research files</x:v>
      </x:c>
      <x:c r="D92" s="9" t="str">
        <x:v>libfile_f8ada321941c8191bc29c7ebdf9cc60b</x:v>
      </x:c>
      <x:c r="E92" s="9" t="str">
        <x:v>library/Monkey_Myth_Matrix_v0_21.pdf</x:v>
      </x:c>
      <x:c r="F92" s="9" t="str"/>
      <x:c r="G92" s="9" t="str">
        <x:v>Retrieved source document</x:v>
      </x:c>
      <x:c r="H92" s="12" t="str">
        <x:f>IFERROR(HYPERLINK(I92,"Open source"),"Open source")</x:f>
        <x:v>Open source</x:v>
      </x:c>
      <x:c r="I92" s="11" t="str">
        <x:v>sandbox:/workspace/scratch/f26806cbdc5e/sources/library/Monkey_Myth_Matrix_v0_21.pdf</x:v>
      </x:c>
      <x:c r="J92" s="11" t="str">
        <x:v>47017f8377d6aea9b9b4aa155136336460c78b7b0e43617c49b080c8af787a2a</x:v>
      </x:c>
      <x:c r="K92" s="11" t="str">
        <x:v>f335b0e27887e3468989b85ee00822b7648d3a3c704d8799c780330206ae5091</x:v>
      </x:c>
    </x:row>
    <x:row r="93" ht="39" customHeight="1">
      <x:c r="A93" s="9" t="str">
        <x:v>COR-089</x:v>
      </x:c>
      <x:c r="B93" s="9" t="str">
        <x:v>Revelation_Verified_Edition_2026-08-14(1).md</x:v>
      </x:c>
      <x:c r="C93" s="9" t="str">
        <x:v>Research files</x:v>
      </x:c>
      <x:c r="D93" s="9" t="str">
        <x:v>libfile_2d00ff2dfdb08191bd73081a8f9a397f</x:v>
      </x:c>
      <x:c r="E93" s="9" t="str">
        <x:v>library/Revelation_Verified_Edition_2026-08-14(1).md</x:v>
      </x:c>
      <x:c r="F93" s="9" t="str"/>
      <x:c r="G93" s="9" t="str">
        <x:v>Retrieved source document</x:v>
      </x:c>
      <x:c r="H93" s="12" t="str">
        <x:f>IFERROR(HYPERLINK(I93,"Open source"),"Open source")</x:f>
        <x:v>Open source</x:v>
      </x:c>
      <x:c r="I93" s="11" t="str">
        <x:v>sandbox:/workspace/scratch/f26806cbdc5e/sources/library/Revelation_Verified_Edition_2026-08-14(1).md</x:v>
      </x:c>
      <x:c r="J93" s="11" t="str">
        <x:v>a1a6252d538e4a22419e75e3da0cecc3371385d49d4c9d777ac1e17d672b626d</x:v>
      </x:c>
      <x:c r="K93" s="11" t="str">
        <x:v>c4d158b962aada43edbbb872329199ee6bb0870a8e0c3884b199537f2531ed1b</x:v>
      </x:c>
    </x:row>
    <x:row r="94" ht="39" customHeight="1">
      <x:c r="A94" s="9" t="str">
        <x:v>COR-090</x:v>
      </x:c>
      <x:c r="B94" s="9" t="str">
        <x:v>Revelation_Verified_Edition_2026-08-14.md</x:v>
      </x:c>
      <x:c r="C94" s="9" t="str">
        <x:v>Research files</x:v>
      </x:c>
      <x:c r="D94" s="9" t="str">
        <x:v>libfile_77d608d290f08191b3db6ea03f956464</x:v>
      </x:c>
      <x:c r="E94" s="9" t="str">
        <x:v>library/Revelation_Verified_Edition_2026-08-14.md</x:v>
      </x:c>
      <x:c r="F94" s="9" t="str">
        <x:v>COR-089</x:v>
      </x:c>
      <x:c r="G94" s="9" t="str">
        <x:v>Retrieved source document; same normalized text as COR-089</x:v>
      </x:c>
      <x:c r="H94" s="12" t="str">
        <x:f>IFERROR(HYPERLINK(I94,"Open source"),"Open source")</x:f>
        <x:v>Open source</x:v>
      </x:c>
      <x:c r="I94" s="11" t="str">
        <x:v>sandbox:/workspace/scratch/f26806cbdc5e/sources/library/Revelation_Verified_Edition_2026-08-14.md</x:v>
      </x:c>
      <x:c r="J94" s="11" t="str">
        <x:v>a1a6252d538e4a22419e75e3da0cecc3371385d49d4c9d777ac1e17d672b626d</x:v>
      </x:c>
      <x:c r="K94" s="11" t="str">
        <x:v>c4d158b962aada43edbbb872329199ee6bb0870a8e0c3884b199537f2531ed1b</x:v>
      </x:c>
    </x:row>
    <x:row r="95" ht="39" customHeight="1">
      <x:c r="A95" s="9" t="str">
        <x:v>COR-091</x:v>
      </x:c>
      <x:c r="B95" s="9" t="str">
        <x:v># NO ONE OWNS TUESDAY.pdf</x:v>
      </x:c>
      <x:c r="C95" s="9" t="str">
        <x:v>Research files</x:v>
      </x:c>
      <x:c r="D95" s="9" t="str">
        <x:v>libfile_94d402b014c081919a4192db90884189</x:v>
      </x:c>
      <x:c r="E95" s="9" t="str">
        <x:v>library/humans/# NO ONE OWNS TUESDAY.pdf</x:v>
      </x:c>
      <x:c r="F95" s="9" t="str"/>
      <x:c r="G95" s="9" t="str">
        <x:v>Retrieved source document</x:v>
      </x:c>
      <x:c r="H95" s="12" t="str">
        <x:f>IFERROR(HYPERLINK(I95,"Open source"),"Open source")</x:f>
        <x:v>Open source</x:v>
      </x:c>
      <x:c r="I95" s="11" t="str">
        <x:v>sandbox:/workspace/scratch/f26806cbdc5e/sources/library/humans/# NO ONE OWNS TUESDAY.pdf</x:v>
      </x:c>
      <x:c r="J95" s="11" t="str">
        <x:v>1b4c34c6a7904c56f9250c05c3f58dff4e83afa7005ae9c3308151150702fb32</x:v>
      </x:c>
      <x:c r="K95" s="11" t="str">
        <x:v>879453306e5ab80e075bf9e08a7b7068725ba412575aca80cdfd62968ea32ef8</x:v>
      </x:c>
    </x:row>
    <x:row r="96" ht="39" customHeight="1">
      <x:c r="A96" s="9" t="str">
        <x:v>COR-092</x:v>
      </x:c>
      <x:c r="B96" s="9" t="str">
        <x:v>monkey_myth_matrix_v0_20(6).xlsx</x:v>
      </x:c>
      <x:c r="C96" s="9" t="str">
        <x:v>Research files</x:v>
      </x:c>
      <x:c r="D96" s="9" t="str">
        <x:v>libfile_73574a3ad3148191a04467cb701c43a2</x:v>
      </x:c>
      <x:c r="E96" s="9" t="str">
        <x:v>library/monkey_myth_matrix_v0_20(6).xlsx</x:v>
      </x:c>
      <x:c r="F96" s="9" t="str"/>
      <x:c r="G96" s="9" t="str">
        <x:v>Retrieved source document</x:v>
      </x:c>
      <x:c r="H96" s="12" t="str">
        <x:f>IFERROR(HYPERLINK(I96,"Open source"),"Open source")</x:f>
        <x:v>Open source</x:v>
      </x:c>
      <x:c r="I96" s="11" t="str">
        <x:v>sandbox:/workspace/scratch/f26806cbdc5e/sources/library/monkey_myth_matrix_v0_20(6).xlsx</x:v>
      </x:c>
      <x:c r="J96" s="11" t="str">
        <x:v>e9142e45d854ad88f34aa92fd43467e8f106dc2df8edffc74ed4d1e32fbd2750</x:v>
      </x:c>
      <x:c r="K96" s="11" t="str">
        <x:v>15bd6449998aaa751540617c6e2a4e0a58da407dc9433936e60d47861bba5471</x:v>
      </x:c>
    </x:row>
    <x:row r="97" ht="39" customHeight="1">
      <x:c r="A97" s="9" t="str">
        <x:v>COR-093</x:v>
      </x:c>
      <x:c r="B97" s="9" t="str">
        <x:v>monkey_myth_matrix_v0_2_model_packet (1).xlsx</x:v>
      </x:c>
      <x:c r="C97" s="9" t="str">
        <x:v>Research files</x:v>
      </x:c>
      <x:c r="D97" s="9" t="str">
        <x:v>libfile_8970ee0ca8788191bf4be8fcbe34ae13</x:v>
      </x:c>
      <x:c r="E97" s="9" t="str">
        <x:v>library/monkey_myth_matrix_v0_2_model_packet (1).xlsx</x:v>
      </x:c>
      <x:c r="F97" s="9" t="str"/>
      <x:c r="G97" s="9" t="str">
        <x:v>Retrieved source document</x:v>
      </x:c>
      <x:c r="H97" s="12" t="str">
        <x:f>IFERROR(HYPERLINK(I97,"Open source"),"Open source")</x:f>
        <x:v>Open source</x:v>
      </x:c>
      <x:c r="I97" s="11" t="str">
        <x:v>sandbox:/workspace/scratch/f26806cbdc5e/sources/library/monkey_myth_matrix_v0_2_model_packet (1).xlsx</x:v>
      </x:c>
      <x:c r="J97" s="11" t="str">
        <x:v>24d3ea2cb33a276eeb734a25093ee525c9a29d086fc822c42cedef0ab0edad67</x:v>
      </x:c>
      <x:c r="K97" s="11" t="str">
        <x:v>27874a4b1d2a5b3f3bc14dca815943a83d75306503b5c38b485e302266c84bad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97cad22cb504b69"/>
  </x:tableParts>
</x:worksheet>
</file>